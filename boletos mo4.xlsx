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<sst xmlns="http://schemas.openxmlformats.org/spreadsheetml/2006/main" count="35074" uniqueCount="4062">
  <si>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</si>
  <si>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</si>
  <si>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</si>
  <si>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</si>
  <si>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</si>
  <si>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</si>
  <si>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</si>
  <si>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</si>
  <si>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</si>
  <si>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</si>
  <si>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</si>
  <si>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</si>
  <si>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</si>
  <si>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</si>
  <si>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</si>
  <si>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</si>
  <si>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</si>
  <si>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</si>
  <si>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</si>
  <si>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</si>
  <si>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</si>
  <si>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</si>
  <si>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</si>
  <si>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</si>
  <si>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</si>
  <si>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</si>
  <si>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</si>
  <si>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</si>
  <si>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</si>
  <si>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</si>
  <si>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</si>
  <si>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</si>
  <si>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</si>
  <si>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</si>
  <si>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</si>
  <si>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</si>
  <si>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</si>
  <si>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</si>
  <si>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</si>
  <si>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</si>
  <si>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</si>
  <si>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</si>
  <si>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</si>
  <si>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</si>
  <si>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</si>
  <si>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</si>
  <si>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</si>
  <si>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</si>
  <si>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</si>
  <si>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</si>
  <si>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</si>
  <si>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</si>
  <si>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</si>
  <si>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</si>
  <si>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</si>
  <si>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</si>
  <si>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</si>
  <si>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</si>
  <si>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</si>
  <si>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</si>
  <si>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</si>
  <si>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</si>
  <si>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</si>
  <si>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</si>
  <si>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</si>
  <si>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</si>
  <si>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</si>
  <si>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</si>
  <si>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</si>
  <si>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</si>
  <si>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</si>
  <si>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</si>
  <si>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</si>
  <si>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</si>
  <si>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</si>
  <si>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</si>
  <si>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</si>
  <si>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</si>
  <si>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</si>
  <si>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</si>
  <si>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</si>
  <si>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</si>
  <si>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</si>
  <si>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</si>
  <si>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</si>
  <si>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</si>
  <si>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</si>
  <si>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</si>
  <si>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</si>
  <si>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</si>
  <si>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</si>
  <si>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</si>
  <si>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</si>
  <si>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</si>
  <si>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</si>
  <si>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</si>
  <si>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</si>
  <si>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</si>
  <si>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</si>
  <si>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</si>
  <si>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</si>
  <si>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</si>
  <si>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</si>
  <si>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</si>
  <si>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</si>
  <si>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</si>
  <si>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</si>
  <si>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</si>
  <si>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</si>
  <si>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</si>
  <si>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</si>
  <si>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</si>
  <si>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</si>
  <si>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</si>
  <si>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</si>
  <si>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</si>
  <si>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</si>
  <si>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</si>
  <si>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</si>
  <si>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</si>
  <si>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</si>
  <si>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</si>
  <si>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</si>
  <si>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</si>
  <si>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</si>
  <si>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</si>
  <si>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</si>
  <si>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</si>
  <si>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</si>
  <si>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</si>
  <si>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</si>
  <si>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</si>
  <si>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</si>
  <si>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</si>
  <si>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</si>
  <si>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</si>
  <si>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</si>
  <si>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</si>
  <si>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</si>
  <si>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</si>
  <si>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</si>
  <si>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</si>
  <si>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</si>
  <si>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</si>
  <si>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</si>
  <si>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</si>
  <si>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</si>
  <si>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</si>
  <si>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</si>
  <si>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</si>
  <si>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</si>
  <si>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</si>
  <si>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</si>
  <si>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</si>
  <si>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</si>
  <si>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</si>
  <si>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</si>
  <si>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</si>
  <si>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</si>
  <si>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</si>
  <si>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</si>
  <si>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</si>
  <si>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</si>
  <si>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</si>
  <si>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</si>
  <si>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</si>
  <si>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</si>
  <si>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</si>
  <si>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</si>
  <si>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</si>
  <si>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</si>
  <si>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</si>
  <si>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</si>
  <si>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</si>
  <si>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</si>
  <si>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</si>
  <si>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</si>
  <si>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</si>
  <si>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</si>
  <si>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</si>
  <si>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</si>
  <si>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</si>
  <si>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</si>
  <si>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</si>
  <si>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</si>
  <si>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</si>
  <si>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</si>
  <si>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</si>
  <si>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</si>
  <si>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</si>
  <si>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</si>
  <si>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</si>
  <si>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</si>
  <si>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</si>
  <si>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</si>
  <si>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</si>
  <si>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</si>
  <si>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</si>
  <si>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</si>
  <si>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</si>
  <si>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</si>
  <si>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</si>
  <si>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</si>
  <si>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</si>
  <si>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</si>
  <si>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</si>
  <si>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</si>
  <si>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</si>
  <si>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</si>
  <si>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</si>
  <si>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</si>
  <si>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</si>
  <si>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</si>
  <si>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</si>
  <si>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</si>
  <si>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</si>
  <si>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</si>
  <si>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</si>
  <si>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</si>
  <si>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</si>
  <si>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</si>
  <si>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</si>
  <si>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</si>
  <si>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</si>
  <si>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</si>
  <si>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</si>
  <si>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</si>
  <si>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</si>
  <si>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</si>
  <si>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</si>
  <si>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</si>
  <si>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</si>
  <si>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</si>
  <si>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</si>
  <si>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</si>
  <si>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</si>
  <si>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</si>
  <si>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</si>
  <si>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</si>
  <si>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</si>
  <si>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</si>
  <si>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</si>
  <si>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</si>
  <si>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</si>
  <si>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</si>
  <si>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</si>
  <si>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</si>
  <si>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</si>
  <si>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</si>
  <si>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</si>
  <si>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</si>
  <si>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</si>
  <si>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</si>
  <si>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</si>
  <si>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</si>
  <si>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</si>
  <si>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</si>
  <si>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</si>
  <si>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</si>
  <si>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</si>
  <si>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</si>
  <si>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</si>
  <si>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</si>
  <si>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</si>
  <si>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</si>
  <si>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</si>
  <si>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</si>
  <si>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</si>
  <si>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</si>
  <si>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</si>
  <si>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</si>
  <si>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</si>
  <si>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</si>
  <si>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</si>
  <si>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</si>
  <si>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</si>
  <si>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</si>
  <si>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</si>
  <si>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</si>
  <si>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</si>
  <si>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</si>
  <si>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</si>
  <si>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</si>
  <si>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</si>
  <si>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</si>
  <si>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</si>
  <si>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</si>
  <si>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</si>
  <si>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</si>
  <si>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</si>
  <si>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</si>
  <si>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</si>
  <si>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</si>
  <si>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</si>
  <si>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</si>
  <si>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</si>
  <si>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</si>
  <si>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</si>
  <si>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</si>
  <si>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</si>
  <si>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</si>
  <si>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</si>
  <si>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</si>
  <si>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</si>
  <si>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</si>
  <si>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</si>
  <si>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</si>
  <si>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</si>
  <si>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</si>
  <si>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</si>
  <si>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</si>
  <si>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</si>
  <si>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</si>
  <si>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</si>
  <si>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</si>
  <si>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</si>
  <si>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</si>
  <si>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</si>
  <si>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</si>
  <si>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</si>
  <si>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</si>
  <si>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</si>
  <si>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</si>
  <si>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</si>
  <si>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</si>
  <si>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</si>
  <si>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</si>
  <si>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</si>
  <si>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</si>
  <si>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</si>
  <si>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</si>
  <si>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</si>
  <si>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</si>
  <si>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</si>
  <si>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</si>
  <si>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</si>
  <si>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</si>
  <si>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</si>
  <si>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</si>
  <si>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</si>
  <si>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</si>
  <si>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</si>
  <si>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</si>
  <si>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</si>
  <si>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</si>
  <si>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</si>
  <si>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</si>
  <si>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</si>
  <si>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</si>
  <si>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</si>
  <si>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</si>
  <si>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</si>
  <si>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</si>
  <si>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</si>
  <si>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</si>
  <si>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</si>
  <si>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</si>
  <si>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</si>
  <si>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</si>
  <si>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</si>
  <si>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</si>
  <si>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</si>
  <si>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</si>
  <si>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</si>
  <si>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</si>
  <si>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</si>
  <si>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</si>
  <si>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</si>
  <si>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</si>
  <si>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</si>
  <si>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</si>
  <si>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</si>
  <si>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</si>
  <si>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</si>
  <si>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</si>
  <si>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</si>
  <si>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</si>
  <si>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</si>
  <si>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</si>
  <si>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</si>
  <si>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</si>
  <si>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</si>
  <si>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</si>
  <si>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</si>
  <si>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</si>
  <si>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</si>
  <si>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</si>
  <si>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</si>
  <si>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</si>
  <si>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</si>
  <si>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</si>
  <si>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</si>
  <si>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</si>
  <si>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</si>
  <si>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</si>
  <si>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</si>
  <si>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</si>
  <si>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</si>
  <si>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</si>
  <si>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</si>
  <si>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</si>
  <si>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</si>
  <si>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</si>
  <si>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</si>
  <si>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</si>
  <si>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</si>
  <si>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</si>
  <si>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</si>
  <si>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</si>
  <si>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</si>
  <si>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</si>
  <si>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</si>
  <si>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</si>
  <si>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</si>
  <si>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</si>
  <si>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</si>
  <si>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</si>
  <si>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</si>
  <si>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</si>
  <si>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</si>
  <si>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</si>
  <si>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</si>
  <si>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</si>
  <si>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</si>
  <si>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</si>
  <si>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</si>
  <si>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</si>
  <si>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</si>
  <si>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</si>
  <si>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</si>
  <si>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</si>
  <si>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</si>
  <si>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</si>
  <si>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</si>
  <si>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</si>
  <si>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</si>
  <si>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</si>
  <si>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</si>
  <si>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</si>
  <si>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</si>
  <si>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</si>
  <si>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</si>
  <si>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</si>
  <si>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</si>
  <si>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</si>
  <si>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</si>
  <si>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</si>
  <si>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</si>
  <si>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</si>
  <si>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</si>
  <si>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</si>
  <si>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</si>
  <si>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</si>
  <si>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</si>
  <si>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</si>
  <si>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</si>
  <si>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</si>
  <si>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</si>
  <si>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</si>
  <si>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</si>
  <si>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</si>
  <si>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</si>
  <si>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</si>
  <si>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</si>
  <si>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</si>
  <si>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</si>
  <si>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</si>
  <si>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</si>
  <si>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</si>
  <si>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</si>
  <si>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</si>
  <si>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</si>
  <si>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</si>
  <si>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</si>
  <si>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</si>
  <si>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</si>
  <si>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</si>
  <si>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</si>
  <si>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</si>
  <si>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</si>
  <si>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</si>
  <si>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</si>
  <si>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</si>
  <si>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</si>
  <si>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</si>
  <si>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</si>
  <si>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</si>
  <si>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</si>
  <si>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</si>
  <si>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</si>
  <si>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</si>
  <si>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</si>
  <si>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</si>
  <si>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</si>
  <si>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</si>
  <si>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</si>
  <si>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</si>
  <si>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</si>
  <si>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</si>
  <si>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</si>
  <si>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</si>
  <si>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</si>
  <si>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</si>
  <si>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</si>
  <si>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</si>
  <si>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</si>
  <si>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</si>
  <si>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</si>
  <si>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</si>
  <si>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</si>
  <si>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</si>
  <si>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</si>
  <si>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</si>
  <si>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</si>
  <si>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</si>
  <si>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</si>
  <si>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</si>
  <si>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</si>
  <si>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</si>
  <si>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</si>
  <si>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</si>
  <si>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</si>
  <si>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</si>
  <si>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</si>
  <si>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</si>
  <si>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</si>
  <si>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</si>
  <si>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</si>
  <si>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</si>
  <si>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</si>
  <si>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</si>
  <si>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</si>
  <si>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</si>
  <si>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</si>
  <si>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</si>
  <si>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</si>
  <si>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</si>
  <si>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</si>
  <si>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</si>
  <si>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</si>
  <si>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</si>
  <si>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</si>
  <si>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</si>
  <si>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</si>
  <si>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</si>
  <si>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</si>
  <si>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</si>
  <si>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</si>
  <si>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</si>
  <si>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</si>
  <si>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</si>
  <si>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</si>
  <si>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</si>
  <si>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</si>
  <si>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</si>
  <si>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</si>
  <si>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</si>
  <si>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</si>
  <si>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</si>
  <si>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</si>
  <si>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</si>
  <si>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</si>
  <si>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</si>
  <si>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</si>
  <si>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</si>
  <si>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</si>
  <si>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</si>
  <si>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</si>
  <si>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</si>
  <si>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</si>
  <si>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</si>
  <si>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</si>
  <si>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</si>
  <si>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</si>
  <si>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</si>
  <si>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</si>
  <si>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</si>
  <si>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</si>
  <si>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</si>
  <si>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</si>
  <si>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</si>
  <si>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</si>
  <si>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</si>
  <si>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</si>
  <si>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</si>
  <si>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</si>
  <si>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</si>
  <si>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</si>
  <si>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</si>
  <si>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</si>
  <si>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</si>
  <si>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</si>
  <si>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</si>
  <si>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</si>
  <si>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</si>
  <si>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</si>
  <si>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</si>
  <si>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</si>
  <si>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</si>
  <si>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</si>
  <si>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</si>
  <si>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</si>
  <si>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</si>
  <si>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</si>
  <si>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</si>
  <si>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</si>
  <si>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</si>
  <si>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</si>
  <si>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</si>
  <si>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</si>
  <si>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</si>
  <si>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</si>
  <si>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</si>
  <si>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</si>
  <si>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</si>
  <si>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</si>
  <si>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</si>
  <si>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</si>
  <si>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</si>
  <si>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</si>
  <si>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</si>
  <si>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</si>
  <si>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</si>
  <si>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</si>
  <si>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</si>
  <si>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</si>
  <si>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</si>
  <si>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</si>
  <si>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</si>
  <si>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</si>
  <si>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</si>
  <si>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</si>
  <si>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</si>
  <si>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</si>
  <si>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</si>
  <si>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</si>
  <si>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</si>
  <si>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</si>
  <si>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</si>
  <si>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</si>
  <si>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</si>
  <si>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</si>
  <si>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</si>
  <si>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</si>
  <si>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</si>
  <si>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</si>
  <si>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</si>
  <si>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</si>
  <si>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</si>
  <si>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</si>
  <si>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</si>
  <si>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</si>
  <si>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</si>
  <si>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</si>
  <si>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</si>
  <si>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</si>
  <si>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</si>
  <si>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</si>
  <si>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</si>
  <si>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</si>
  <si>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</si>
  <si>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</si>
  <si>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</si>
  <si>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</si>
  <si>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</si>
  <si>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</si>
  <si>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</si>
  <si>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</si>
  <si>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</si>
  <si>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</si>
  <si>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</si>
  <si>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</si>
  <si>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</si>
  <si>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</si>
  <si>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</si>
  <si>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</si>
  <si>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</si>
  <si>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</si>
  <si>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</si>
  <si>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</si>
  <si>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</si>
  <si>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</si>
  <si>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</si>
  <si>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</si>
  <si>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</si>
  <si>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</si>
  <si>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</si>
  <si>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</si>
  <si>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</si>
  <si>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</si>
  <si>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</si>
  <si>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</si>
  <si>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</si>
  <si>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</si>
  <si>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</si>
  <si>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</si>
  <si>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</si>
  <si>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</si>
  <si>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</si>
  <si>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</si>
  <si>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</si>
  <si>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</si>
  <si>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</si>
  <si>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</si>
  <si>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</si>
  <si>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</si>
  <si>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</si>
  <si>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</si>
  <si>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</si>
  <si>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</si>
  <si>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</si>
  <si>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</si>
  <si>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</si>
  <si>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</si>
  <si>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</si>
  <si>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</si>
  <si>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</si>
  <si>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</si>
  <si>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</si>
  <si>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</si>
  <si>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</si>
  <si>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</si>
  <si>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</si>
  <si>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</si>
  <si>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</si>
  <si>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</si>
  <si>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</si>
  <si>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</si>
  <si>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</si>
  <si>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</si>
  <si>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</si>
  <si>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</si>
  <si>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</si>
  <si>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</si>
  <si>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</si>
  <si>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</si>
  <si>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</si>
  <si>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</si>
  <si>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</si>
  <si>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</si>
  <si>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</si>
  <si>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</si>
  <si>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</si>
  <si>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</si>
  <si>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</si>
  <si>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</si>
  <si>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</si>
  <si>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</si>
  <si>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</si>
  <si>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</si>
  <si>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</si>
  <si>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</si>
  <si>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</si>
  <si>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</si>
  <si>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</si>
  <si>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</si>
  <si>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</si>
  <si>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</si>
  <si>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</si>
  <si>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</si>
  <si>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</si>
  <si>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</si>
  <si>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</si>
  <si>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</si>
  <si>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</si>
  <si>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</si>
  <si>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</si>
  <si>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</si>
  <si>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</si>
  <si>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</si>
  <si>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</si>
  <si>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</si>
  <si>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</si>
  <si>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</si>
  <si>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</si>
  <si>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</si>
  <si>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</si>
  <si>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</si>
  <si>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</si>
  <si>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</si>
  <si>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</si>
  <si>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</si>
  <si>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</si>
  <si>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</si>
  <si>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</si>
  <si>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</si>
  <si>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</si>
  <si>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</si>
  <si>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</si>
  <si>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</si>
  <si>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</si>
  <si>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</si>
  <si>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</si>
  <si>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</si>
  <si>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</si>
  <si>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</si>
  <si>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</si>
  <si>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</si>
  <si>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</si>
  <si>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</si>
  <si>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</si>
  <si>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</si>
  <si>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</si>
  <si>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</si>
  <si>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</si>
  <si>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</si>
  <si>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</si>
  <si>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</si>
  <si>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</si>
  <si>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</si>
  <si>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</si>
  <si>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</si>
  <si>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</si>
  <si>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</si>
  <si>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</si>
  <si>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</si>
  <si>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</si>
  <si>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</si>
  <si>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</si>
  <si>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</si>
  <si>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</si>
  <si>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</si>
  <si>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</si>
  <si>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</si>
  <si>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</si>
  <si>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</si>
  <si>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</si>
  <si>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</si>
  <si>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</si>
  <si>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</si>
  <si>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</si>
  <si>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</si>
  <si>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</si>
  <si>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</si>
  <si>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</si>
  <si>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</si>
  <si>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</si>
  <si>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</si>
  <si>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</si>
  <si>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</si>
  <si>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</si>
  <si>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</si>
  <si>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</si>
  <si>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</si>
  <si>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</si>
  <si>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</si>
  <si>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</si>
  <si>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</si>
  <si>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</si>
  <si>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</si>
  <si>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</si>
  <si>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</si>
  <si>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</si>
  <si>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</si>
  <si>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</si>
  <si>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</si>
  <si>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</si>
  <si>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</si>
  <si>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</si>
  <si>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</si>
  <si>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</si>
  <si>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</si>
  <si>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</si>
  <si>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</si>
  <si>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</si>
  <si>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</si>
  <si>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</si>
  <si>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</si>
  <si>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</si>
  <si>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</si>
  <si>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</si>
  <si>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</si>
  <si>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</si>
  <si>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</si>
  <si>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</si>
  <si>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</si>
  <si>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</si>
  <si>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</si>
  <si>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</si>
  <si>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</si>
  <si>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</si>
  <si>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</si>
  <si>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</si>
  <si>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</si>
  <si>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</si>
  <si>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</si>
  <si>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</si>
  <si>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</si>
  <si>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</si>
  <si>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</si>
  <si>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</si>
  <si>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</si>
  <si>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</si>
  <si>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</si>
  <si>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</si>
  <si>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</si>
  <si>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</si>
  <si>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</si>
  <si>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</si>
  <si>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</si>
  <si>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</si>
  <si>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</si>
  <si>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</si>
  <si>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</si>
  <si>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</si>
  <si>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</si>
  <si>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</si>
  <si>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</si>
  <si>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</si>
  <si>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</si>
  <si>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</si>
  <si>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</si>
  <si>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</si>
  <si>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</si>
  <si>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</si>
  <si>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</si>
  <si>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</si>
  <si>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</si>
  <si>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</si>
  <si>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</si>
  <si>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</si>
  <si>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</si>
  <si>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</si>
  <si>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</si>
  <si>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</si>
  <si>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</si>
  <si>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</si>
  <si>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</si>
  <si>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</si>
  <si>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</si>
  <si>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</si>
  <si>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</si>
  <si>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</si>
  <si>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</si>
  <si>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</si>
  <si>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</si>
  <si>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</si>
  <si>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</si>
  <si>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</si>
  <si>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</si>
  <si>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</si>
  <si>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</si>
  <si>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</si>
  <si>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</si>
  <si>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</si>
  <si>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</si>
  <si>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</si>
  <si>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</si>
  <si>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</si>
  <si>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</si>
  <si>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</si>
  <si>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</si>
  <si>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</si>
  <si>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</si>
  <si>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</si>
  <si>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</si>
  <si>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</si>
  <si>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</si>
  <si>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</si>
  <si>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</si>
  <si>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</si>
  <si>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</si>
  <si>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</si>
  <si>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</si>
  <si>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</si>
  <si>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</si>
  <si>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</si>
  <si>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</si>
  <si>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</si>
  <si>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</si>
  <si>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</si>
  <si>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</si>
  <si>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</si>
  <si>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</si>
  <si>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</si>
  <si>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</si>
  <si>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</si>
  <si>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</si>
  <si>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</si>
  <si>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</si>
  <si>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</si>
  <si>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</si>
  <si>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</si>
  <si>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</si>
  <si>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</si>
  <si>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</si>
  <si>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</si>
  <si>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</si>
  <si>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</si>
  <si>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</si>
  <si>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</si>
  <si>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</si>
  <si>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</si>
  <si>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</si>
  <si>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</si>
  <si>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</si>
  <si>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</si>
  <si>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</si>
  <si>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</si>
  <si>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</si>
  <si>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</si>
  <si>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</si>
  <si>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</si>
  <si>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</si>
  <si>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</si>
  <si>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</si>
  <si>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</si>
  <si>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</si>
  <si>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</si>
  <si>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</si>
  <si>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</si>
  <si>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</si>
  <si>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</si>
  <si>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</si>
  <si>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</si>
  <si>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</si>
  <si>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</si>
  <si>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</si>
  <si>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</si>
  <si>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</si>
  <si>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</si>
  <si>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</si>
  <si>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</si>
  <si>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</si>
  <si>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</si>
  <si>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</si>
  <si>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</si>
  <si>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</si>
  <si>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</si>
  <si>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</si>
  <si>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</si>
  <si>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</si>
  <si>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</si>
  <si>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</si>
  <si>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</si>
  <si>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</si>
  <si>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</si>
  <si>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</si>
  <si>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</si>
  <si>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</si>
  <si>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</si>
  <si>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</si>
  <si>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</si>
  <si>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</si>
  <si>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</si>
  <si>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</si>
  <si>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</si>
  <si>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</si>
  <si>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</si>
  <si>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</si>
  <si>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</si>
  <si>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</si>
  <si>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</si>
  <si>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</si>
  <si>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</si>
  <si>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</si>
  <si>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</si>
  <si>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</si>
  <si>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</si>
  <si>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</si>
  <si>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</si>
  <si>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</si>
  <si>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</si>
  <si>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</si>
  <si>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</si>
  <si>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</si>
  <si>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</si>
  <si>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</si>
  <si>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</si>
  <si>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</si>
  <si>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</si>
  <si>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</si>
  <si>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</si>
  <si>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</si>
  <si>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</si>
  <si>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</si>
  <si>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</si>
  <si>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</si>
  <si>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</si>
  <si>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</si>
  <si>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</si>
  <si>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</si>
  <si>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</si>
  <si>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</si>
  <si>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</si>
  <si>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</si>
  <si>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</si>
  <si>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</si>
  <si>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</si>
  <si>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</si>
  <si>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</si>
  <si>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</si>
  <si>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</si>
  <si>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</si>
  <si>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</si>
  <si>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</si>
  <si>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</si>
  <si>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</si>
  <si>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</si>
  <si>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</si>
  <si>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</si>
  <si>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</si>
  <si>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</si>
  <si>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</si>
  <si>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</si>
  <si>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</si>
  <si>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</si>
  <si>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</si>
  <si>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</si>
  <si>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</si>
  <si>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</si>
  <si>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</si>
  <si>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</si>
  <si>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</si>
  <si>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</si>
  <si>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</si>
  <si>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</si>
  <si>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</si>
  <si>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</si>
  <si>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</si>
  <si>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</si>
  <si>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</si>
  <si>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</si>
  <si>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</si>
  <si>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</si>
  <si>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</si>
  <si>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</si>
  <si>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</si>
  <si>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</si>
  <si>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</si>
  <si>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</si>
  <si>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</si>
  <si>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</si>
  <si>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</si>
  <si>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</si>
  <si>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</si>
  <si>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</si>
  <si>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</si>
  <si>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</si>
  <si>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</si>
  <si>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</si>
  <si>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</si>
  <si>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</si>
  <si>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</si>
  <si>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</si>
  <si>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</si>
  <si>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</si>
  <si>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</si>
  <si>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</si>
  <si>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</si>
  <si>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</si>
  <si>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</si>
  <si>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</si>
  <si>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</si>
  <si>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</si>
  <si>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</si>
  <si>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</si>
  <si>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</si>
  <si>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</si>
  <si>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</si>
  <si>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</si>
  <si>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</si>
  <si>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</si>
  <si>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</si>
  <si>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</si>
  <si>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</si>
  <si>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</si>
  <si>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</si>
  <si>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</si>
  <si>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</si>
  <si>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</si>
  <si>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</si>
  <si>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</si>
  <si>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</si>
  <si>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</si>
  <si>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</si>
  <si>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</si>
  <si>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</si>
  <si>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</si>
  <si>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</si>
  <si>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</si>
  <si>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</si>
  <si>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</si>
  <si>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</si>
  <si>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</si>
  <si>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</si>
  <si>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</si>
  <si>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</si>
  <si>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</si>
  <si>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</si>
  <si>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</si>
  <si>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</si>
  <si>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</si>
  <si>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</si>
  <si>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</si>
  <si>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</si>
  <si>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</si>
  <si>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</si>
  <si>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</si>
  <si>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</si>
  <si>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</si>
  <si>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</si>
  <si>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</si>
  <si>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</si>
  <si>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</si>
  <si>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</si>
  <si>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</si>
  <si>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</si>
  <si>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</si>
  <si>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</si>
  <si>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</si>
  <si>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</si>
  <si>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</si>
  <si>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</si>
  <si>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</si>
  <si>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</si>
  <si>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</si>
  <si>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</si>
  <si>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</si>
  <si>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</si>
  <si>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</si>
  <si>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</si>
  <si>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</si>
  <si>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</si>
  <si>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</si>
  <si>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</si>
  <si>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</si>
  <si>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</si>
  <si>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</si>
  <si>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</si>
  <si>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</si>
  <si>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</si>
  <si>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</si>
  <si>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</si>
  <si>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</si>
  <si>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</si>
  <si>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</si>
  <si>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</si>
  <si>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</si>
  <si>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</si>
  <si>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</si>
  <si>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</si>
  <si>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</si>
  <si>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</si>
  <si>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</si>
  <si>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</si>
  <si>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</si>
  <si>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</si>
  <si>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</si>
  <si>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</si>
  <si>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</si>
  <si>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</si>
  <si>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</si>
  <si>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</si>
  <si>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</si>
  <si>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</si>
  <si>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</si>
  <si>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</si>
  <si>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</si>
  <si>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</si>
  <si>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</si>
  <si>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</si>
  <si>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</si>
  <si>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</si>
  <si>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</si>
  <si>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</si>
  <si>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</si>
  <si>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</si>
  <si>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</si>
  <si>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</si>
  <si>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</si>
  <si>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</si>
  <si>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</si>
  <si>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</si>
  <si>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</si>
  <si>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</si>
  <si>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</si>
  <si>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</si>
  <si>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</si>
  <si>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</si>
  <si>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</si>
  <si>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</si>
  <si>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</si>
  <si>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</si>
  <si>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</si>
  <si>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</si>
  <si>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</si>
  <si>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</si>
  <si>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</si>
  <si>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</si>
  <si>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</si>
  <si>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</si>
  <si>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</si>
  <si>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</si>
  <si>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</si>
  <si>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</si>
  <si>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</si>
  <si>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</si>
  <si>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</si>
  <si>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</si>
  <si>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</si>
  <si>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</si>
  <si>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</si>
  <si>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</si>
  <si>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</si>
  <si>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</si>
  <si>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</si>
  <si>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</si>
  <si>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</si>
  <si>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</si>
  <si>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</si>
  <si>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</si>
  <si>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</si>
  <si>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</si>
  <si>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</si>
  <si>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</si>
  <si>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</si>
  <si>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</si>
  <si>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</si>
  <si>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</si>
  <si>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</si>
  <si>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</si>
  <si>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</si>
  <si>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</si>
  <si>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</si>
  <si>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</si>
  <si>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</si>
  <si>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</si>
  <si>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</si>
  <si>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</si>
  <si>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</si>
  <si>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</si>
  <si>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</si>
  <si>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</si>
  <si>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</si>
  <si>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</si>
  <si>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</si>
  <si>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</si>
  <si>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</si>
  <si>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</si>
  <si>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</si>
  <si>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</si>
  <si>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</si>
  <si>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</si>
  <si>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</si>
  <si>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</si>
  <si>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</si>
  <si>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</si>
  <si>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</si>
  <si>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</si>
  <si>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</si>
  <si>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</si>
  <si>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</si>
  <si>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</si>
  <si>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</si>
  <si>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</si>
  <si>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</si>
  <si>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</si>
  <si>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</si>
  <si>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</si>
  <si>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</si>
  <si>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</si>
  <si>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</si>
  <si>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</si>
  <si>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</si>
  <si>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</si>
  <si>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</si>
  <si>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</si>
  <si>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</si>
  <si>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</si>
  <si>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</si>
  <si>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</si>
  <si>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</si>
  <si>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</si>
  <si>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</si>
  <si>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</si>
  <si>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</si>
  <si>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</si>
  <si>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</si>
  <si>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</si>
  <si>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</si>
  <si>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</si>
  <si>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</si>
  <si>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</si>
  <si>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</si>
  <si>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</si>
  <si>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</si>
  <si>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</si>
  <si>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</si>
  <si>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</si>
  <si>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</si>
  <si>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</si>
  <si>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</si>
  <si>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</si>
  <si>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</si>
  <si>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</si>
  <si>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</si>
  <si>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</si>
  <si>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</si>
  <si>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</si>
  <si>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</si>
  <si>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</si>
  <si>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</si>
  <si>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</si>
  <si>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</si>
  <si>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</si>
  <si>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</si>
  <si>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</si>
  <si>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</si>
  <si>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</si>
  <si>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</si>
  <si>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</si>
  <si>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</si>
  <si>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</si>
  <si>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</si>
  <si>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</si>
  <si>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</si>
  <si>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</si>
  <si>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</si>
  <si>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</si>
  <si>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</si>
  <si>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</si>
  <si>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</si>
  <si>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</si>
  <si>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</si>
  <si>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</si>
  <si>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</si>
  <si>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</si>
  <si>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</si>
  <si>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</si>
  <si>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</si>
  <si>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</si>
  <si>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</si>
  <si>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</si>
  <si>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</si>
  <si>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</si>
  <si>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</si>
  <si>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</si>
  <si>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</si>
  <si>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</si>
  <si>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</si>
  <si>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</si>
  <si>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</si>
  <si>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</si>
  <si>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</si>
  <si>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</si>
  <si>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</si>
  <si>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</si>
  <si>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</si>
  <si>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</si>
  <si>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</si>
  <si>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</si>
  <si>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</si>
  <si>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</si>
  <si>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</si>
  <si>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</si>
  <si>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</si>
  <si>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</si>
  <si>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</si>
  <si>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</si>
  <si>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</si>
  <si>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</si>
  <si>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</si>
  <si>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</si>
  <si>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</si>
  <si>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</si>
  <si>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</si>
  <si>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</si>
  <si>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</si>
  <si>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</si>
  <si>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</si>
  <si>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</si>
  <si>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</si>
  <si>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</si>
  <si>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</si>
  <si>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</si>
  <si>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</si>
  <si>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</si>
  <si>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</si>
  <si>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</si>
  <si>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</si>
  <si>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</si>
  <si>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</si>
  <si>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</si>
  <si>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</si>
  <si>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</si>
  <si>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</si>
  <si>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</si>
  <si>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</si>
  <si>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</si>
  <si>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</si>
  <si>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</si>
  <si>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</si>
  <si>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</si>
  <si>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</si>
  <si>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</si>
  <si>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</si>
  <si>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</si>
  <si>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</si>
  <si>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</si>
  <si>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</si>
  <si>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</si>
  <si>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</si>
  <si>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</si>
  <si>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</si>
  <si>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</si>
  <si>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</si>
  <si>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</si>
  <si>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</si>
  <si>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</si>
  <si>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</si>
  <si>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</si>
  <si>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</si>
  <si>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</si>
  <si>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</si>
  <si>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</si>
  <si>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</si>
  <si>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</si>
  <si>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</si>
  <si>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</si>
  <si>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</si>
  <si>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</si>
  <si>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</si>
  <si>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</si>
  <si>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</si>
  <si>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</si>
  <si>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</si>
  <si>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</si>
  <si>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</si>
  <si>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</si>
  <si>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</si>
  <si>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</si>
  <si>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</si>
  <si>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</si>
  <si>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</si>
  <si>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</si>
  <si>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</si>
  <si>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</si>
  <si>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</si>
  <si>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</si>
  <si>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</si>
  <si>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</si>
  <si>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</si>
  <si>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</si>
  <si>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</si>
  <si>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</si>
  <si>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</si>
  <si>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</si>
  <si>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</si>
  <si>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</si>
  <si>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</si>
  <si>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</si>
  <si>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</si>
  <si>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</si>
  <si>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</si>
  <si>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</si>
  <si>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</si>
  <si>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</si>
  <si>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</si>
  <si>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</si>
  <si>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</si>
  <si>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</si>
  <si>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</si>
  <si>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</si>
  <si>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</si>
  <si>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</si>
  <si>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</si>
  <si>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</si>
  <si>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</si>
  <si>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</si>
  <si>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</si>
  <si>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</si>
  <si>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</si>
  <si>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</si>
  <si>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</si>
  <si>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</si>
  <si>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</si>
  <si>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</si>
  <si>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</si>
  <si>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</si>
  <si>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</si>
  <si>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</si>
  <si>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</si>
  <si>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</si>
  <si>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</si>
  <si>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</si>
  <si>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</si>
  <si>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</si>
  <si>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</si>
  <si>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</si>
  <si>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</si>
  <si>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</si>
  <si>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</si>
  <si>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</si>
  <si>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</si>
  <si>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</si>
  <si>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</si>
  <si>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</si>
  <si>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</si>
  <si>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</si>
  <si>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</si>
  <si>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</si>
  <si>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</si>
  <si>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</si>
  <si>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</si>
  <si>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</si>
  <si>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</si>
  <si>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</si>
  <si>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</si>
  <si>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</si>
  <si>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</si>
  <si>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</si>
  <si>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</si>
  <si>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</si>
  <si>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</si>
  <si>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</si>
  <si>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</si>
  <si>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</si>
  <si>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</si>
  <si>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</si>
  <si>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</si>
  <si>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</si>
  <si>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</si>
  <si>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</si>
  <si>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</si>
  <si>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</si>
  <si>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</si>
  <si>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</si>
  <si>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</si>
  <si>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</si>
  <si>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</si>
  <si>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</si>
  <si>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</si>
  <si>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</si>
  <si>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</si>
  <si>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</si>
  <si>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</si>
  <si>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</si>
  <si>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</si>
  <si>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</si>
  <si>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</si>
  <si>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</si>
  <si>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</si>
  <si>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</si>
  <si>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</si>
  <si>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</si>
  <si>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</si>
  <si>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</si>
  <si>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</si>
  <si>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</si>
  <si>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</si>
  <si>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</si>
  <si>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</si>
  <si>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</si>
  <si>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</si>
  <si>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</si>
  <si>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</si>
  <si>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</si>
  <si>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</si>
  <si>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</si>
  <si>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</si>
  <si>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</si>
  <si>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</si>
  <si>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</si>
  <si>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</si>
  <si>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</si>
  <si>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</si>
  <si>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</si>
  <si>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</si>
  <si>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</si>
  <si>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</si>
  <si>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</si>
  <si>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</si>
  <si>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</si>
  <si>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</si>
  <si>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</si>
  <si>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</si>
  <si>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</si>
  <si>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</si>
  <si>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</si>
  <si>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</si>
  <si>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</si>
  <si>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</si>
  <si>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</si>
  <si>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</si>
  <si>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</si>
  <si>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</si>
  <si>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</si>
  <si>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</si>
  <si>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</si>
  <si>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</si>
  <si>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</si>
  <si>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</si>
  <si>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</si>
  <si>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</si>
  <si>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</si>
  <si>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</si>
  <si>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</si>
  <si>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</si>
  <si>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</si>
  <si>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</si>
  <si>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</si>
  <si>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</si>
  <si>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</si>
  <si>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</si>
  <si>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</si>
  <si>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</si>
  <si>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</si>
  <si>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</si>
  <si>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</si>
  <si>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</si>
  <si>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</si>
  <si>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</si>
  <si>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</si>
  <si>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</si>
  <si>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</si>
  <si>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</si>
  <si>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</si>
  <si>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</si>
  <si>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</si>
  <si>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</si>
  <si>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</si>
  <si>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</si>
  <si>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</si>
  <si>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</si>
  <si>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</si>
  <si>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</si>
  <si>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</si>
  <si>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</si>
  <si>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</si>
  <si>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</si>
  <si>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</si>
  <si>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</si>
  <si>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</si>
  <si>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</si>
  <si>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</si>
  <si>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</si>
  <si>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</si>
  <si>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</si>
  <si>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</si>
  <si>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</si>
  <si>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</si>
  <si>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</si>
  <si>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</si>
  <si>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</si>
  <si>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</si>
  <si>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</si>
  <si>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</si>
  <si>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</si>
  <si>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</si>
  <si>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</si>
  <si>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</si>
  <si>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</si>
  <si>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</si>
  <si>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</si>
  <si>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</si>
  <si>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</si>
  <si>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</si>
  <si>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</si>
  <si>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</si>
  <si>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</si>
  <si>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</si>
  <si>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</si>
  <si>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</si>
  <si>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</si>
  <si>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</si>
  <si>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</si>
  <si>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</si>
  <si>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</si>
  <si>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</si>
  <si>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</si>
  <si>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</si>
  <si>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</si>
  <si>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</si>
  <si>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</si>
  <si>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</si>
  <si>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</si>
  <si>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</si>
  <si>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</si>
  <si>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</si>
  <si>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</si>
  <si>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</si>
  <si>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</si>
  <si>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</si>
  <si>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</si>
  <si>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</si>
  <si>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</si>
  <si>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</si>
  <si>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</si>
  <si>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</si>
  <si>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</si>
  <si>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</si>
  <si>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</si>
  <si>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</si>
  <si>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</si>
  <si>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</si>
  <si>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</si>
  <si>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</si>
  <si>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</si>
  <si>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</si>
  <si>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</si>
  <si>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</si>
  <si>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</si>
  <si>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</si>
  <si>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</si>
  <si>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</si>
  <si>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</si>
  <si>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</si>
  <si>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</si>
  <si>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</si>
  <si>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</si>
  <si>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</si>
  <si>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</si>
  <si>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</si>
  <si>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</si>
  <si>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</si>
  <si>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</si>
  <si>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</si>
  <si>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</si>
  <si>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</si>
  <si>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</si>
  <si>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</si>
  <si>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</si>
  <si>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</si>
  <si>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</si>
  <si>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</si>
  <si>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</si>
  <si>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</si>
  <si>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</si>
  <si>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</si>
  <si>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</si>
  <si>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</si>
  <si>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</si>
  <si>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</si>
  <si>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</si>
  <si>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</si>
  <si>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</si>
  <si>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</si>
  <si>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</si>
  <si>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</si>
  <si>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</si>
  <si>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</si>
  <si>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</si>
  <si>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</si>
  <si>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</si>
  <si>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</si>
  <si>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</si>
  <si>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</si>
  <si>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</si>
  <si>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</si>
  <si>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</si>
  <si>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</si>
  <si>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</si>
  <si>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</si>
  <si>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</si>
  <si>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</si>
  <si>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</si>
  <si>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</si>
  <si>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</si>
  <si>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</si>
  <si>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</si>
  <si>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</si>
  <si>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</si>
  <si>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</si>
  <si>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</si>
  <si>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</si>
  <si>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</si>
  <si>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</si>
  <si>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</si>
  <si>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</si>
  <si>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</si>
  <si>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</si>
  <si>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</si>
  <si>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</si>
  <si>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</si>
  <si>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</si>
  <si>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</si>
  <si>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</si>
  <si>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</si>
  <si>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</si>
  <si>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</si>
  <si>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</si>
  <si>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</si>
  <si>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</si>
  <si>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</si>
  <si>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</si>
  <si>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</si>
  <si>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</si>
  <si>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</si>
  <si>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</si>
  <si>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</si>
  <si>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</si>
  <si>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</si>
  <si>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</si>
  <si>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</si>
  <si>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</si>
  <si>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</si>
  <si>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</si>
  <si>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</si>
  <si>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</si>
  <si>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</si>
  <si>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</si>
  <si>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</si>
  <si>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</si>
  <si>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</si>
  <si>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</si>
  <si>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</si>
  <si>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</si>
  <si>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</si>
  <si>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</si>
  <si>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</si>
  <si>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</si>
  <si>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</si>
  <si>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</si>
  <si>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</si>
  <si>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</si>
  <si>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</si>
  <si>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</si>
  <si>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</si>
  <si>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</si>
  <si>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</si>
  <si>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</si>
  <si>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</si>
  <si>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</si>
  <si>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</si>
  <si>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</si>
  <si>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</si>
  <si>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</si>
  <si>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</si>
  <si>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</si>
  <si>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</si>
  <si>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</si>
  <si>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</si>
  <si>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</si>
  <si>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</si>
  <si>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</si>
  <si>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</si>
  <si>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</si>
  <si>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</si>
  <si>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</si>
  <si>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</si>
  <si>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</si>
  <si>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</si>
  <si>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</si>
  <si>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</si>
  <si>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</si>
  <si>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</si>
  <si>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</si>
  <si>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</si>
  <si>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</si>
  <si>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</si>
  <si>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</si>
  <si>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</si>
  <si>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</si>
  <si>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</si>
  <si>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</si>
  <si>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</si>
  <si>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</si>
  <si>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</si>
  <si>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</si>
  <si>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</si>
  <si>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</si>
  <si>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</si>
  <si>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</si>
  <si>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</si>
  <si>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</si>
  <si>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</si>
  <si>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</si>
  <si>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</si>
  <si>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</si>
  <si>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</si>
  <si>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</si>
  <si>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</si>
  <si>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</si>
  <si>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</si>
  <si>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</si>
  <si>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</si>
  <si>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</si>
  <si>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</si>
  <si>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</si>
  <si>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</si>
  <si>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</si>
  <si>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</si>
  <si>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</si>
  <si>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</si>
  <si>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</si>
  <si>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</si>
  <si>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</si>
  <si>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</si>
  <si>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</si>
  <si>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</si>
  <si>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</si>
  <si>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</si>
  <si>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</si>
  <si>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</si>
  <si>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</si>
  <si>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</si>
  <si>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</si>
  <si>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</si>
  <si>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</si>
  <si>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</si>
  <si>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</si>
  <si>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</si>
  <si>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</si>
  <si>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</si>
  <si>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</si>
  <si>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</si>
  <si>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</si>
  <si>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</si>
  <si>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</si>
  <si>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</si>
  <si>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</si>
  <si>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</si>
  <si>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</si>
  <si>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</si>
  <si>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</si>
  <si>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</si>
  <si>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</si>
  <si>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</si>
  <si>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</si>
  <si>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</si>
  <si>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</si>
  <si>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</si>
  <si>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</si>
  <si>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</si>
  <si>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</si>
  <si>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</si>
  <si>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</si>
  <si>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</si>
  <si>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</si>
  <si>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</si>
  <si>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</si>
  <si>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</si>
  <si>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</si>
  <si>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</si>
  <si>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</si>
  <si>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</si>
  <si>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</si>
  <si>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</si>
  <si>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</si>
  <si>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</si>
  <si>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</si>
  <si>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</si>
  <si>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</si>
  <si>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</si>
  <si>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</si>
  <si>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</si>
  <si>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</si>
  <si>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</si>
  <si>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</si>
  <si>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</si>
  <si>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</si>
  <si>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</si>
  <si>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</si>
  <si>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</si>
  <si>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</si>
  <si>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</si>
  <si>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</si>
  <si>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</si>
  <si>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</si>
  <si>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</si>
  <si>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</si>
  <si>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</si>
  <si>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</si>
  <si>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</si>
  <si>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</si>
  <si>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</si>
  <si>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</si>
  <si>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</si>
  <si>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</si>
  <si>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</si>
  <si>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</si>
  <si>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</si>
  <si>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</si>
  <si>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</si>
  <si>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</si>
  <si>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</si>
  <si>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</si>
  <si>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</si>
  <si>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</si>
  <si>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</si>
  <si>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</si>
  <si>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</si>
  <si>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</si>
  <si>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</si>
  <si>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</si>
  <si>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</si>
  <si>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</si>
  <si>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</si>
  <si>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</si>
  <si>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</si>
  <si>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</si>
  <si>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</si>
  <si>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</si>
  <si>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</si>
  <si>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</si>
  <si>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</si>
  <si>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</si>
  <si>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</si>
  <si>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</si>
  <si>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</si>
  <si>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</si>
  <si>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</si>
  <si>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</si>
  <si>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</si>
  <si>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</si>
  <si>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</si>
  <si>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</si>
  <si>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</si>
  <si>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</si>
  <si>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</si>
  <si>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</si>
  <si>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</si>
  <si>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</si>
  <si>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</si>
  <si>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</si>
  <si>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</si>
  <si>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</si>
  <si>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</si>
  <si>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CASTANHA DE CAJU S/ SAL CR 20G</t>
  </si>
  <si>
    <t xml:space="preserve">BANANA FRITA EM POTE - TIPO CHIPS</t>
  </si>
  <si>
    <t xml:space="preserve">DOCE DE LEITE EM BARRA</t>
  </si>
  <si>
    <t xml:space="preserve">COMPRA DE PRODUTOR RURAL - LANÇAMENTO NF PRODUTOR</t>
  </si>
  <si>
    <t xml:space="preserve">COUVE MACO</t>
  </si>
  <si>
    <t xml:space="preserve">CHEIRO VERDE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</si>
  <si>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</si>
  <si>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</si>
  <si>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</si>
  <si>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</si>
  <si>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</si>
  <si>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FRUTAPINHO PETIT MOR</t>
  </si>
  <si>
    <t xml:space="preserve">IOG GREGO C POLPA FR</t>
  </si>
  <si>
    <t xml:space="preserve">IOG GREGO C POLPA MO</t>
  </si>
  <si>
    <t xml:space="preserve">IOG GREGO TRAD FRUTA</t>
  </si>
  <si>
    <t xml:space="preserve">IOG MORANGO FRUTAP B</t>
  </si>
  <si>
    <t xml:space="preserve">IOG MOR C CONFEITOS</t>
  </si>
  <si>
    <t xml:space="preserve">FRUTAP MANSAO MAROMBA IOG. MORANGO BANDE</t>
  </si>
  <si>
    <t xml:space="preserve">DIANTEIRO DE BOI L</t>
  </si>
  <si>
    <t xml:space="preserve">SORVETE TOYA MORANGO</t>
  </si>
  <si>
    <t xml:space="preserve">SORV TOYA CHOCOLA50G</t>
  </si>
  <si>
    <t xml:space="preserve">SORV SUNDAE MORANGO</t>
  </si>
  <si>
    <t xml:space="preserve">SORV TOYAACAI250ML</t>
  </si>
  <si>
    <t xml:space="preserve">SORVETE 400ML NAPOLITANO . TOYA</t>
  </si>
  <si>
    <t xml:space="preserve">SORVETE 400ML ACAI E TAPIOCA . TOYA</t>
  </si>
  <si>
    <t xml:space="preserve">SORVETE 2 LTS CHOCOL</t>
  </si>
  <si>
    <t xml:space="preserve">SORVETE 2 LTS FLOCOS</t>
  </si>
  <si>
    <t xml:space="preserve">SORVETE 1 LT CHOCOLA</t>
  </si>
  <si>
    <t xml:space="preserve">SORVETE 2 LTS NAPOLI</t>
  </si>
  <si>
    <t xml:space="preserve">SORVETE 1 LT NAPOLIT</t>
  </si>
  <si>
    <t xml:space="preserve">SORVETE 2 LTS LEITIN</t>
  </si>
  <si>
    <t xml:space="preserve">SORVETE TOYA 1L</t>
  </si>
  <si>
    <t xml:space="preserve">SORVET TOYA 1L AVELA</t>
  </si>
  <si>
    <t xml:space="preserve">SORVET TOY BRIG 500G</t>
  </si>
  <si>
    <t xml:space="preserve">SORVETE TOYA CREM 2L</t>
  </si>
  <si>
    <t xml:space="preserve">SORVETE 2 LTS ACAI .</t>
  </si>
  <si>
    <t xml:space="preserve">SORVETE 1 5LT PREMIU</t>
  </si>
  <si>
    <t xml:space="preserve">SORV PREM TENT TOYA</t>
  </si>
  <si>
    <t xml:space="preserve">SORVETE 1 5 LT PREMIUM PETIT GATEAU . TO</t>
  </si>
  <si>
    <t xml:space="preserve">IOG BI-CAMADA MGO CO</t>
  </si>
  <si>
    <t xml:space="preserve">REQUEIJÃO NESTLE 200G</t>
  </si>
  <si>
    <t xml:space="preserve">REQUEIJAO CREM LIGHT NESTLE 200G</t>
  </si>
  <si>
    <t xml:space="preserve">IOG GRFA VITAMINA NE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</si>
  <si>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</si>
  <si>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</si>
  <si>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</si>
  <si>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</si>
  <si>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SUCO DE LARANJA PRAT</t>
  </si>
  <si>
    <t xml:space="preserve">SUCO GOIABA E MACA P</t>
  </si>
  <si>
    <t xml:space="preserve">SUCO LARANJA E ACERO</t>
  </si>
  <si>
    <t xml:space="preserve">LIMONADA PRATS 6X900</t>
  </si>
  <si>
    <t xml:space="preserve">LINGUI DE FRANGO KG</t>
  </si>
  <si>
    <t xml:space="preserve">ASACOMP.FRAG1K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</si>
  <si>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</si>
  <si>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</si>
  <si>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</si>
  <si>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</si>
  <si>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</si>
  <si>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</si>
  <si>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</si>
  <si>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</si>
  <si>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</si>
  <si>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</si>
  <si>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BONIFICAÇÕES/DOAÇÕES RECEBIDAS</t>
  </si>
  <si>
    <t xml:space="preserve">IOG NAT NEST 170G</t>
  </si>
  <si>
    <t xml:space="preserve">NESTLE IOG POLPA 2 S</t>
  </si>
  <si>
    <t xml:space="preserve">IOG GRFA MORANGO NESTLE 1150G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</si>
  <si>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</si>
  <si>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</si>
  <si>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</si>
  <si>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</si>
  <si>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</si>
  <si>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</si>
  <si>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PIMENTA MALAQUETA</t>
  </si>
  <si>
    <t xml:space="preserve">BANANA PRATAKG</t>
  </si>
  <si>
    <t xml:space="preserve">ALFACE MACO </t>
  </si>
  <si>
    <t xml:space="preserve">ACAI DE ANORI</t>
  </si>
  <si>
    <t xml:space="preserve">SAB BARRA ECON 500G</t>
  </si>
  <si>
    <t xml:space="preserve">ARROZ BRA. FACCIO 1K</t>
  </si>
  <si>
    <t xml:space="preserve">ARR.BRAC.CACAROLA1K</t>
  </si>
  <si>
    <t xml:space="preserve">MAC QDELICIA400G</t>
  </si>
  <si>
    <t xml:space="preserve">LEITE PO DOBOM 400G</t>
  </si>
  <si>
    <t xml:space="preserve">LEITE PO DOBOM 120G</t>
  </si>
  <si>
    <t xml:space="preserve">SAB BAR ECONOMICO 900G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</si>
  <si>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</si>
  <si>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</si>
  <si>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</si>
  <si>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</si>
  <si>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</si>
  <si>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</si>
  <si>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</si>
  <si>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</si>
  <si>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</si>
  <si>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</si>
  <si>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TRASEIRO DE BOI L1</t>
  </si>
  <si>
    <t xml:space="preserve">DUNHILL CARLTON BLEN</t>
  </si>
  <si>
    <t xml:space="preserve">LUCKY STRIKE FRESH MINT X</t>
  </si>
  <si>
    <t xml:space="preserve">LUCKY  STRIKE DOUBLE ICE</t>
  </si>
  <si>
    <t xml:space="preserve">CIGARRO ROTHMANS BLUE</t>
  </si>
  <si>
    <t xml:space="preserve">ROTH LONDON PURPLE BOOST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</si>
  <si>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</si>
  <si>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</si>
  <si>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</si>
  <si>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</si>
  <si>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</si>
  <si>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</si>
  <si>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</si>
  <si>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</si>
  <si>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</si>
  <si>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</si>
  <si>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</si>
  <si>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</si>
  <si>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</si>
  <si>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</si>
  <si>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</si>
  <si>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</si>
  <si>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</si>
  <si>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</si>
  <si>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</si>
  <si>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</si>
  <si>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COMPRA PARA USO OU CONSUMO - SEM FINANCEIRO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</si>
  <si>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</si>
  <si>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</si>
  <si>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</si>
  <si>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</si>
  <si>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TROCA</t>
  </si>
  <si>
    <t xml:space="preserve">ENERGETICO BALYABA</t>
  </si>
  <si>
    <t xml:space="preserve">CARVAO VEGETAL 3KG</t>
  </si>
  <si>
    <t xml:space="preserve">PRESUNTO DE PERU</t>
  </si>
  <si>
    <t xml:space="preserve">QUEIJO MUSSARELA</t>
  </si>
  <si>
    <t xml:space="preserve">QUEIJO MUSSARELA 200</t>
  </si>
  <si>
    <t xml:space="preserve">OVOS MARROM UNID</t>
  </si>
  <si>
    <t xml:space="preserve">OVOS BRANCO UNID</t>
  </si>
  <si>
    <t xml:space="preserve">FARINHA DE TAPIOCA 4</t>
  </si>
  <si>
    <t xml:space="preserve">MACA FUJI KG</t>
  </si>
  <si>
    <t xml:space="preserve">PERA KG</t>
  </si>
  <si>
    <t xml:space="preserve">UVA VITORIA 250G</t>
  </si>
  <si>
    <t xml:space="preserve">GOMA DE MANDIOCA 500</t>
  </si>
  <si>
    <t xml:space="preserve">GOMA DE MANDIOCA 1KG</t>
  </si>
  <si>
    <t xml:space="preserve">FARINHA OVINHA DELIC</t>
  </si>
  <si>
    <t xml:space="preserve">ABACATE KG</t>
  </si>
  <si>
    <t xml:space="preserve">BATATA DOCE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</si>
  <si>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</si>
  <si>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</si>
  <si>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</si>
  <si>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</si>
  <si>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</si>
  <si>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</si>
  <si>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</si>
  <si>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QUIABO KG</t>
  </si>
  <si>
    <t xml:space="preserve">REPOLHO VERDE KG</t>
  </si>
  <si>
    <t xml:space="preserve">MELANCIA KG</t>
  </si>
  <si>
    <t xml:space="preserve">MAMAO KG</t>
  </si>
  <si>
    <t xml:space="preserve">TANGERINAREGION KG</t>
  </si>
  <si>
    <t xml:space="preserve">BANANA PAVOVAN KG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</si>
  <si>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</si>
  <si>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</si>
  <si>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</si>
  <si>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</si>
  <si>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</si>
  <si>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LING CALABRESA PERD</t>
  </si>
  <si>
    <t xml:space="preserve">FRANGO MARINGA KG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</si>
  <si>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</si>
  <si>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</si>
  <si>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</si>
  <si>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</si>
  <si>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</si>
  <si>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</si>
  <si>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</si>
  <si>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</si>
  <si>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</si>
  <si>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</si>
  <si>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</si>
  <si>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ABS ALWAYS NOITE TRA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</si>
  <si>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</si>
  <si>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</si>
  <si>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</si>
  <si>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</si>
  <si>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</si>
  <si>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</si>
  <si>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</si>
  <si>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</si>
  <si>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</si>
  <si>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</si>
  <si>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</si>
  <si>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</si>
  <si>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</si>
  <si>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</si>
  <si>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</si>
  <si>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</si>
  <si>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POLPA DE MANGA 1 KG</t>
  </si>
  <si>
    <t xml:space="preserve">POLPA DE TAPEREBA 1K</t>
  </si>
  <si>
    <t xml:space="preserve">POLPA DE CUPUACU 1K</t>
  </si>
  <si>
    <t xml:space="preserve">POLPA DE GOIABA 1K</t>
  </si>
  <si>
    <t xml:space="preserve">POLPA DE ACEROLA 1K</t>
  </si>
  <si>
    <t xml:space="preserve">MORANGO  CONGELADO</t>
  </si>
  <si>
    <t xml:space="preserve">CEREAL MOC FLAK120G</t>
  </si>
  <si>
    <t xml:space="preserve">CEREAL SNOW FLAK120G</t>
  </si>
  <si>
    <t xml:space="preserve">BIS NEST PRESTÍG140G</t>
  </si>
  <si>
    <t xml:space="preserve">BIS NEST NESCAU 140G</t>
  </si>
  <si>
    <t xml:space="preserve">BISCOITO PASSATEMPO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</si>
  <si>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</si>
  <si>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</si>
  <si>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</si>
  <si>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</si>
  <si>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</si>
  <si>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</si>
  <si>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</si>
  <si>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</si>
  <si>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</si>
  <si>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</si>
  <si>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</si>
  <si>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</si>
  <si>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</si>
  <si>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BISC NEGRESCO CHOC</t>
  </si>
  <si>
    <t xml:space="preserve">NEGRESCO CEREAL MATI</t>
  </si>
  <si>
    <t xml:space="preserve">KIT KAT CEREAL MATIN</t>
  </si>
  <si>
    <t xml:space="preserve">PSTMP BISC RECH CHOC 130G</t>
  </si>
  <si>
    <t xml:space="preserve">FRALDINHA BOVINO KG</t>
  </si>
  <si>
    <t xml:space="preserve">CARVAO VEGETAL 1,5 K</t>
  </si>
  <si>
    <t xml:space="preserve">CARVAO VEGETAL 5KG</t>
  </si>
  <si>
    <t xml:space="preserve">BOLO BLOOM 600G</t>
  </si>
  <si>
    <t xml:space="preserve">REFR. ANTAR DIET 350ML</t>
  </si>
  <si>
    <t xml:space="preserve">GUARANA  ANTARLT 350</t>
  </si>
  <si>
    <t xml:space="preserve">AGUA TONICAANTAR L</t>
  </si>
  <si>
    <t xml:space="preserve">REFRIG SUKITA 2L</t>
  </si>
  <si>
    <t xml:space="preserve">REFR GUAR ANT DIET2L</t>
  </si>
  <si>
    <t xml:space="preserve">REFRI. GUARANA BARE 2L</t>
  </si>
  <si>
    <t xml:space="preserve">REFR. GUARANA CHP AN</t>
  </si>
  <si>
    <t xml:space="preserve">PEPSI LT 350ML</t>
  </si>
  <si>
    <t xml:space="preserve">GATORADE UVA 500ML</t>
  </si>
  <si>
    <t xml:space="preserve">BARE DE LATINHA 350M</t>
  </si>
  <si>
    <t xml:space="preserve">RED BULL SUGAR FREE</t>
  </si>
  <si>
    <t xml:space="preserve">GATORADE LARANJA 500</t>
  </si>
  <si>
    <t xml:space="preserve">CERVEJÃO BRAHMA 1L</t>
  </si>
  <si>
    <t xml:space="preserve">CERVEJA SKOL PILSEN LT 269ML</t>
  </si>
  <si>
    <t xml:space="preserve">CERVEJA STELLA ARTO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</si>
  <si>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</si>
  <si>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</si>
  <si>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</si>
  <si>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</si>
  <si>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</si>
  <si>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</si>
  <si>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</si>
  <si>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</si>
  <si>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</si>
  <si>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</si>
  <si>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</si>
  <si>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</si>
  <si>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CERVEJA STELLA ARTOI</t>
  </si>
  <si>
    <t xml:space="preserve">CERVEJA LATA STELLA</t>
  </si>
  <si>
    <t xml:space="preserve">CERV ORIGI ANTAR269M</t>
  </si>
  <si>
    <t xml:space="preserve">CERVEJA SKOL BEATS S</t>
  </si>
  <si>
    <t xml:space="preserve">BRAHMA DUPLO MALTE L</t>
  </si>
  <si>
    <t xml:space="preserve">BRAHMA DUPLO MALTE G</t>
  </si>
  <si>
    <t xml:space="preserve">ANTARCTICA SUBZERO LT 269ML</t>
  </si>
  <si>
    <t xml:space="preserve">PEPSI BLACK PET 1 L</t>
  </si>
  <si>
    <t xml:space="preserve">CERV CORONA EXTRA N</t>
  </si>
  <si>
    <t xml:space="preserve">STELLA ARTOIS PURE G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</si>
  <si>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</si>
  <si>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</si>
  <si>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</si>
  <si>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</si>
  <si>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</si>
  <si>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RED BULL ENERGY 250ML</t>
  </si>
  <si>
    <t xml:space="preserve">LEITE PO ITAMBE 400G</t>
  </si>
  <si>
    <t xml:space="preserve">RECARGA COMBO TIM R$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</si>
  <si>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</si>
  <si>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</si>
  <si>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</si>
  <si>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</si>
  <si>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</si>
  <si>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CHIP VIVO PRE RECARG</t>
  </si>
  <si>
    <t xml:space="preserve">CHIP VIV 4G MUITAS O</t>
  </si>
  <si>
    <t xml:space="preserve">COSTELA INTEIRA</t>
  </si>
  <si>
    <t xml:space="preserve">CAFE MARATA 250G</t>
  </si>
  <si>
    <t xml:space="preserve">EXT TOM OLE 190G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</si>
  <si>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</si>
  <si>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</si>
  <si>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</si>
  <si>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</si>
  <si>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</si>
  <si>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AMENDOIM JAPONES DORI 30G</t>
  </si>
  <si>
    <t xml:space="preserve">KETCH TRA QUERO 300G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</si>
  <si>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</si>
  <si>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</si>
  <si>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</si>
  <si>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</si>
  <si>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</si>
  <si>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</si>
  <si>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</si>
  <si>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</si>
  <si>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COSTELA KG</t>
  </si>
  <si>
    <t xml:space="preserve">RECARGA - TIM ON LIN</t>
  </si>
  <si>
    <t xml:space="preserve">RECARGA - VIVO ON LI</t>
  </si>
  <si>
    <t xml:space="preserve">RECARGA - CLARO ON L</t>
  </si>
  <si>
    <t xml:space="preserve">BRIGADEIRO</t>
  </si>
  <si>
    <t xml:space="preserve">UVA THOMPSON VERDE</t>
  </si>
  <si>
    <t xml:space="preserve">REAL CLASSICO 2L PET</t>
  </si>
  <si>
    <t xml:space="preserve">REFRI. REAL GOLD 2L PET</t>
  </si>
  <si>
    <t xml:space="preserve">REFRI. PLANETE COLA 2 L</t>
  </si>
  <si>
    <t xml:space="preserve">REFRIG ORANGE 2 L</t>
  </si>
  <si>
    <t xml:space="preserve">SANTA CLAUDIA 5L</t>
  </si>
  <si>
    <t xml:space="preserve">PIMENTA CHEIROSA KG</t>
  </si>
  <si>
    <t xml:space="preserve">PIMENTAO VERDE KG</t>
  </si>
  <si>
    <t xml:space="preserve">TOMATE KG</t>
  </si>
  <si>
    <t xml:space="preserve">GENGIBRE KG</t>
  </si>
  <si>
    <t xml:space="preserve">PIMENTAARDOSAKG</t>
  </si>
  <si>
    <t xml:space="preserve">MARGARINA QUALY 250G</t>
  </si>
  <si>
    <t xml:space="preserve">MARGARINA DELINE 250</t>
  </si>
  <si>
    <t xml:space="preserve">FEIJAO RAJADO DONA DE 500G</t>
  </si>
  <si>
    <t xml:space="preserve">FEIJÃO PRETO 500G</t>
  </si>
  <si>
    <t xml:space="preserve">FEIJAO FRADINHO 500G</t>
  </si>
  <si>
    <t xml:space="preserve">SALSICHA MANA KG</t>
  </si>
  <si>
    <t xml:space="preserve">QUEIJO MUSSARELA FAT</t>
  </si>
  <si>
    <t xml:space="preserve">PRESUNTO PERU FATIAD</t>
  </si>
  <si>
    <t xml:space="preserve">PICANHA FRIBOI  KG</t>
  </si>
  <si>
    <t xml:space="preserve">AGUA SANI BRILUX1L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</si>
  <si>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</si>
  <si>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</si>
  <si>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</si>
  <si>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</si>
  <si>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</si>
  <si>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</si>
  <si>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</si>
  <si>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</si>
  <si>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</si>
  <si>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</si>
  <si>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</si>
  <si>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</si>
  <si>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</si>
  <si>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</si>
  <si>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</si>
  <si>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</si>
  <si>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</si>
  <si>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</si>
  <si>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</si>
  <si>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</si>
  <si>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</si>
  <si>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</si>
  <si>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</si>
  <si>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</si>
  <si>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</si>
  <si>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</si>
  <si>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</si>
  <si>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</si>
  <si>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</si>
  <si>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</si>
  <si>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CHOCOMOUSSE FLM 400G</t>
  </si>
  <si>
    <t xml:space="preserve">MIST BOLO BROWNIE FLM 400G</t>
  </si>
  <si>
    <t xml:space="preserve">MIST BOLO CEN 390G</t>
  </si>
  <si>
    <t xml:space="preserve">BISC MAIZENA MARILAN 140GR</t>
  </si>
  <si>
    <t xml:space="preserve">AGUAYARA GALAO 20L</t>
  </si>
  <si>
    <t xml:space="preserve">AGUACRIM 20L</t>
  </si>
  <si>
    <t xml:space="preserve">FARINHA DE FEIRA OVINHA 1KG</t>
  </si>
  <si>
    <t xml:space="preserve">PAO INTEGRAL 400G</t>
  </si>
  <si>
    <t xml:space="preserve">PAO DE FORMA DE LEIT</t>
  </si>
  <si>
    <t xml:space="preserve">FRUTAPINHO PETIT BAN</t>
  </si>
  <si>
    <t xml:space="preserve">FRUTAP B. LACTEA UHT</t>
  </si>
  <si>
    <t xml:space="preserve">PICOLE BRIGAD TOYA</t>
  </si>
  <si>
    <t xml:space="preserve">PICOLE PREMIUM COOKI</t>
  </si>
  <si>
    <t xml:space="preserve">PICOLE TOYAACAI FR</t>
  </si>
  <si>
    <t xml:space="preserve">PICOLE TOYA CREAM MO</t>
  </si>
  <si>
    <t xml:space="preserve">PICOLE KITOYA MORANG</t>
  </si>
  <si>
    <t xml:space="preserve">PICOLE MILHO VERDE</t>
  </si>
  <si>
    <t xml:space="preserve">MOLHO DE PIMENTA CEP</t>
  </si>
  <si>
    <t xml:space="preserve">ACHOCOLATADO APTI 40</t>
  </si>
  <si>
    <t xml:space="preserve">KETCHUP OLE BG 400G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</si>
  <si>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</si>
  <si>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</si>
  <si>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</si>
  <si>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MOSTARDA OLE BISNA</t>
  </si>
  <si>
    <t xml:space="preserve">LAMPADA 9W LUZ</t>
  </si>
  <si>
    <t xml:space="preserve">MIST P/BOLO CHOC400G</t>
  </si>
  <si>
    <t xml:space="preserve">BISC. STICK LOOK WAFER MORANGO 55G</t>
  </si>
  <si>
    <t xml:space="preserve">COCO RALADO SANSSINI 100</t>
  </si>
  <si>
    <t xml:space="preserve">EXTRA TOMAT OLE140G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</si>
  <si>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</si>
  <si>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</si>
  <si>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</si>
  <si>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</si>
  <si>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</si>
  <si>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</si>
  <si>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STICK LOOK WAFER BRIGADEIRO 55G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</si>
  <si>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</si>
  <si>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</si>
  <si>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</si>
  <si>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</si>
  <si>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</si>
  <si>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PAP. TOALHA YURI FIT FD 100T</t>
  </si>
  <si>
    <t xml:space="preserve">PAP. HIG. PRIMAVERA PLUS 30M 16X4R COD.0</t>
  </si>
  <si>
    <t xml:space="preserve">LAMPADA QLUZ LED ALTA POTENCIA 40W</t>
  </si>
  <si>
    <t xml:space="preserve">LAMPADA QLUZ LED 15W BIV 1X10UND</t>
  </si>
  <si>
    <t xml:space="preserve">FARINHA D AGUA DELIC</t>
  </si>
  <si>
    <t xml:space="preserve">SUCO DE LARANJA VIGOR 200ML</t>
  </si>
  <si>
    <t xml:space="preserve">SUCO DE UVA VIGOR 200ML</t>
  </si>
  <si>
    <t xml:space="preserve">SUCO DE MORANGO VIGOR 200ML</t>
  </si>
  <si>
    <t xml:space="preserve">LEITE ITALAC DESN 1L</t>
  </si>
  <si>
    <t xml:space="preserve">LEITE ITALAC INTE 1L</t>
  </si>
  <si>
    <t xml:space="preserve">SUCO DE MARACUJA TURMA VIGOR 200ML</t>
  </si>
  <si>
    <t xml:space="preserve">SUCO VIGOR MACA 200M</t>
  </si>
  <si>
    <t xml:space="preserve">-KETCHUP TRADICIONAL</t>
  </si>
  <si>
    <t xml:space="preserve">MILH VERD OLE VDR300</t>
  </si>
  <si>
    <t xml:space="preserve">SELETA DE LEGUMES OL</t>
  </si>
  <si>
    <t xml:space="preserve">MILHO VERDE OLE 170G</t>
  </si>
  <si>
    <t xml:space="preserve">AVEIA EM FLOCOS 200G</t>
  </si>
  <si>
    <t xml:space="preserve">SOPAO APTI CARNE 200</t>
  </si>
  <si>
    <t xml:space="preserve">ACHOCOLATADO EM PO A</t>
  </si>
  <si>
    <t xml:space="preserve">PAPEL HIGIENICO ECOT</t>
  </si>
  <si>
    <t xml:space="preserve">PAPEL HIGIENICO ALPE</t>
  </si>
  <si>
    <t xml:space="preserve">CAPRICCHE COOKIES B</t>
  </si>
  <si>
    <t xml:space="preserve">FERMENTO QUIMICO EM</t>
  </si>
  <si>
    <t xml:space="preserve">LEITE EM PO INTEGRAL</t>
  </si>
  <si>
    <t xml:space="preserve">-BANANINHA CHIPS  SALGADO AMAZONAS</t>
  </si>
  <si>
    <t xml:space="preserve">SORVETE 2 LTS ACAI E</t>
  </si>
  <si>
    <t xml:space="preserve">SORVETE 2 LTS SONHO</t>
  </si>
  <si>
    <t xml:space="preserve">SORVETE 1 LT FLOCOS</t>
  </si>
  <si>
    <t xml:space="preserve">SORVE TOYA MORANGO1L</t>
  </si>
  <si>
    <t xml:space="preserve">SORVETES TOYA FLOCOS</t>
  </si>
  <si>
    <t xml:space="preserve">SORVETE 2 LTS DOCE D</t>
  </si>
  <si>
    <t xml:space="preserve">SORVETE 2 LTS MILHO</t>
  </si>
  <si>
    <t xml:space="preserve">RAÇÃO CHAMP CÃO FILHOTE 900G</t>
  </si>
  <si>
    <t xml:space="preserve">RACAO WHISKAS CAST CARNE 900GR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</si>
  <si>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</si>
  <si>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</si>
  <si>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</si>
  <si>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</si>
  <si>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</si>
  <si>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</si>
  <si>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</si>
  <si>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</si>
  <si>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</si>
  <si>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</si>
  <si>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</si>
  <si>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</si>
  <si>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</si>
  <si>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</si>
  <si>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</si>
  <si>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ISQUEIRO BIC G</t>
  </si>
  <si>
    <t xml:space="preserve">CANETA BIC FASHION 4 CORES</t>
  </si>
  <si>
    <t xml:space="preserve">LAMINA BIC C5</t>
  </si>
  <si>
    <t xml:space="preserve">ISQUEIRO DES MINI J5</t>
  </si>
  <si>
    <t xml:space="preserve">CAFE PILAO SOLUVEL S</t>
  </si>
  <si>
    <t xml:space="preserve">CANETA 4 CORES GRIP 929824 C/1 3138 SM</t>
  </si>
  <si>
    <t xml:space="preserve">FANTA LAR LT 350ML</t>
  </si>
  <si>
    <t xml:space="preserve">CERVEJA KAISER LATA</t>
  </si>
  <si>
    <t xml:space="preserve">MONSTER ENERGY 473ML</t>
  </si>
  <si>
    <t xml:space="preserve">MONST ZERO SUGAR LT</t>
  </si>
  <si>
    <t xml:space="preserve">POWERADE FRUTA 500ML</t>
  </si>
  <si>
    <t xml:space="preserve">AGUA MIN CRYSTAL 500ML S/GAS</t>
  </si>
  <si>
    <t xml:space="preserve">AGUA CRISTAL 1,5 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</si>
  <si>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</si>
  <si>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</si>
  <si>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</si>
  <si>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</si>
  <si>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</si>
  <si>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REQUEIJAO CREMO TRAD</t>
  </si>
  <si>
    <t xml:space="preserve">LING CHURRAS AURO KG</t>
  </si>
  <si>
    <t xml:space="preserve">MORTADELA FRANGO 180G</t>
  </si>
  <si>
    <t xml:space="preserve">EMPANADO AUROGGETS C</t>
  </si>
  <si>
    <t xml:space="preserve">AGUA DE COCO AQUACOCO 300ML</t>
  </si>
  <si>
    <t xml:space="preserve">SPRITE 2L RETORNAVEL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</si>
  <si>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</si>
  <si>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</si>
  <si>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</si>
  <si>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</si>
  <si>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</si>
  <si>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</si>
  <si>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</si>
  <si>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</si>
  <si>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</si>
  <si>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SUCO DEL VALLE FRUT</t>
  </si>
  <si>
    <t xml:space="preserve">REFRI. COCA COLA RETORNAVEL 2L</t>
  </si>
  <si>
    <t xml:space="preserve">SUCO DEL VALLE FRUIT</t>
  </si>
  <si>
    <t xml:space="preserve">REFRI. COCA COLA 1L</t>
  </si>
  <si>
    <t xml:space="preserve">REFRI. SPRITE LEMON</t>
  </si>
  <si>
    <t xml:space="preserve">REFRI. FANTA UVA RET</t>
  </si>
  <si>
    <t xml:space="preserve">COCA COLA SEM AÇUCAR</t>
  </si>
  <si>
    <t xml:space="preserve">GUARANA TUCHAUA CHAM</t>
  </si>
  <si>
    <t xml:space="preserve">REFRIG SPRITE 2L</t>
  </si>
  <si>
    <t xml:space="preserve">REFRI.COCA COLA ZERO 600ML</t>
  </si>
  <si>
    <t xml:space="preserve">DREAMIES SALMAO 40G</t>
  </si>
  <si>
    <t xml:space="preserve">PEDIGREE FILEZITOS AD FRANGO 60G</t>
  </si>
  <si>
    <t xml:space="preserve">TUCUPI DA RAI 500ML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</si>
  <si>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</si>
  <si>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</si>
  <si>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</si>
  <si>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</si>
  <si>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</si>
  <si>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</si>
  <si>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</si>
  <si>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</si>
  <si>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</si>
  <si>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</si>
  <si>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</si>
  <si>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</si>
  <si>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</si>
  <si>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</si>
  <si>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PURAGUA LEMON 497ML</t>
  </si>
  <si>
    <t xml:space="preserve">TAMPICO FRUTAS CITRI</t>
  </si>
  <si>
    <t xml:space="preserve">SUCO TAMPICO FRUTAS</t>
  </si>
  <si>
    <t xml:space="preserve">BATATA PORTUGUESA KG</t>
  </si>
  <si>
    <t xml:space="preserve">ABACAXI UND</t>
  </si>
  <si>
    <t xml:space="preserve">KRO QUEIJO 100G</t>
  </si>
  <si>
    <t xml:space="preserve">JUPOCA DOCE 100G PIP</t>
  </si>
  <si>
    <t xml:space="preserve">MILITOS JUMBITOS QUE</t>
  </si>
  <si>
    <t xml:space="preserve">KRO PRESUNTO 10X100G</t>
  </si>
  <si>
    <t xml:space="preserve">TIME PIZZA 50G</t>
  </si>
  <si>
    <t xml:space="preserve">PILHA  ALCALINA  AA</t>
  </si>
  <si>
    <t xml:space="preserve">KRO CEBOLA 100G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</si>
  <si>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</si>
  <si>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</si>
  <si>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</si>
  <si>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</si>
  <si>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</si>
  <si>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SAG TIME PIMENTA 50G</t>
  </si>
  <si>
    <t xml:space="preserve">SALG TIME CHURRASCO 50G</t>
  </si>
  <si>
    <t xml:space="preserve">FINI GELATINAS DENTA</t>
  </si>
  <si>
    <t xml:space="preserve">FINI MINI BANANAS 15G</t>
  </si>
  <si>
    <t xml:space="preserve">FINI MINI BEIJOS 15G</t>
  </si>
  <si>
    <t xml:space="preserve">CIGARRO KENT BLUE</t>
  </si>
  <si>
    <t xml:space="preserve">DUNHILL VOYAGE DOUBLE REFRESH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</si>
  <si>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</si>
  <si>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</si>
  <si>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</si>
  <si>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</si>
  <si>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</si>
  <si>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</si>
  <si>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</si>
  <si>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</si>
  <si>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IOGURTE FRUT GURT 30</t>
  </si>
  <si>
    <t xml:space="preserve">BAND. IOGURT SACHE F</t>
  </si>
  <si>
    <t xml:space="preserve">IOGURTE FUT GURT 900</t>
  </si>
  <si>
    <t xml:space="preserve">IOGURTE FRUTGURT MOR</t>
  </si>
  <si>
    <t xml:space="preserve">IOGUTE CREMOSIN 90G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</si>
  <si>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</si>
  <si>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</si>
  <si>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</si>
  <si>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</si>
  <si>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</si>
  <si>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</si>
  <si>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</si>
  <si>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</si>
  <si>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</si>
  <si>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</si>
  <si>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</si>
  <si>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</si>
  <si>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</si>
  <si>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</si>
  <si>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</si>
  <si>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</si>
  <si>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</si>
  <si>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</si>
  <si>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</si>
  <si>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</si>
  <si>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</si>
  <si>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</si>
  <si>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</si>
  <si>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</si>
  <si>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GORDURA BOVINA KG</t>
  </si>
  <si>
    <t xml:space="preserve">SAB LUX LAVANDA 85G</t>
  </si>
  <si>
    <t xml:space="preserve">SEDA SH 300ML TOQUE </t>
  </si>
  <si>
    <t xml:space="preserve">FRUTAPINHO PETIT CHO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</si>
  <si>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</si>
  <si>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</si>
  <si>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</si>
  <si>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</si>
  <si>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IOGMACABANAN850G</t>
  </si>
  <si>
    <t xml:space="preserve">QUEIJO MUSS FAT GALB</t>
  </si>
  <si>
    <t xml:space="preserve">IOGURTE GRFA MORANGO</t>
  </si>
  <si>
    <t xml:space="preserve">CHANDELLE CHOC CHANTILLY 90G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</si>
  <si>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</si>
  <si>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</si>
  <si>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</si>
  <si>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</si>
  <si>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</si>
  <si>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</si>
  <si>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</si>
  <si>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</si>
  <si>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</si>
  <si>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NESTON FLO 3 CER210G</t>
  </si>
  <si>
    <t xml:space="preserve">BATON BRANCO 16G</t>
  </si>
  <si>
    <t xml:space="preserve">BATON CREME 16G</t>
  </si>
  <si>
    <t xml:space="preserve">CHOCOLATE BATON DUOB</t>
  </si>
  <si>
    <t xml:space="preserve">MUCILON MULTICER180G</t>
  </si>
  <si>
    <t xml:space="preserve">MUCIL ARRZ AVEI 180G</t>
  </si>
  <si>
    <t xml:space="preserve">MUCILON ARROZ 180G</t>
  </si>
  <si>
    <t xml:space="preserve">TALENTO CSTN 85G</t>
  </si>
  <si>
    <t xml:space="preserve">TALENTO AVELAS 85G</t>
  </si>
  <si>
    <t xml:space="preserve">CHO TALENTO AMEND85G</t>
  </si>
  <si>
    <t xml:space="preserve">FARI.LACTA NEST 160G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</si>
  <si>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</si>
  <si>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</si>
  <si>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</si>
  <si>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</si>
  <si>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</si>
  <si>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</si>
  <si>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</si>
  <si>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</si>
  <si>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</si>
  <si>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</si>
  <si>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</si>
  <si>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</si>
  <si>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</si>
  <si>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</si>
  <si>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</si>
  <si>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</si>
  <si>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</si>
  <si>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</si>
  <si>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</si>
  <si>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</si>
  <si>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</si>
  <si>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</si>
  <si>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</si>
  <si>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</si>
  <si>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PAO TORRADO BROTHERS</t>
  </si>
  <si>
    <t xml:space="preserve">TORRADOBROTHER´S</t>
  </si>
  <si>
    <t xml:space="preserve">BROCOLISKG</t>
  </si>
  <si>
    <t xml:space="preserve">COCO SECO UN</t>
  </si>
  <si>
    <t xml:space="preserve">ALHO KG</t>
  </si>
  <si>
    <t xml:space="preserve">CAFE KIMINO 250G</t>
  </si>
  <si>
    <t xml:space="preserve">CAFE STA CLARA TRAD</t>
  </si>
  <si>
    <t xml:space="preserve">CAFE KIMIMO 100G</t>
  </si>
  <si>
    <t xml:space="preserve">NISSIN LAMEN SUAVE TOMATE</t>
  </si>
  <si>
    <t xml:space="preserve">NISSIN LAMEN SUAVE CARNE</t>
  </si>
  <si>
    <t xml:space="preserve">NISSIN LAMEN CARNE 85G</t>
  </si>
  <si>
    <t xml:space="preserve">TRIGO TRIGOLAR SF 1K</t>
  </si>
  <si>
    <t xml:space="preserve">FAR DONA CLARA FLOC</t>
  </si>
  <si>
    <t xml:space="preserve">OLEO SOJA SOYA900M</t>
  </si>
  <si>
    <t xml:space="preserve">OLEO DE SOJA CONCORD</t>
  </si>
  <si>
    <t xml:space="preserve">NISS GALINHA CAIPIRA 70G</t>
  </si>
  <si>
    <t xml:space="preserve">NISSIN COSTELA 70G</t>
  </si>
  <si>
    <t xml:space="preserve">NISSIN NOSSO SABOR CARNE 70G</t>
  </si>
  <si>
    <t xml:space="preserve">ACUCA ITAMARATI 1KG</t>
  </si>
  <si>
    <t xml:space="preserve">LEITE NINHO INTEGRAL380G LT</t>
  </si>
  <si>
    <t xml:space="preserve">DET.PO ALA LAVANDA</t>
  </si>
  <si>
    <t xml:space="preserve">DET.PO ALA CUIDADO D</t>
  </si>
  <si>
    <t xml:space="preserve">ALA LAV ROUP PO SC 4</t>
  </si>
  <si>
    <t xml:space="preserve">POLPA MORANGO 100G I</t>
  </si>
  <si>
    <t xml:space="preserve">POLPA DE UVA 100GR N</t>
  </si>
  <si>
    <t xml:space="preserve">POLPA DE GRAVIOLA 1K</t>
  </si>
  <si>
    <t xml:space="preserve">POLPA DE MARACUJA 1K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</si>
  <si>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</si>
  <si>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</si>
  <si>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</si>
  <si>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</si>
  <si>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</si>
  <si>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</si>
  <si>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</si>
  <si>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</si>
  <si>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</si>
  <si>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FANTA UVA LATA 350ML</t>
  </si>
  <si>
    <t xml:space="preserve">SUC DEL VALLE UVA 1L</t>
  </si>
  <si>
    <t xml:space="preserve">REFRI.FANTA LARA1L</t>
  </si>
  <si>
    <t xml:space="preserve">ENERG.MONSTER ABSOLU</t>
  </si>
  <si>
    <t xml:space="preserve">MONSTER ENERGY ULTRA</t>
  </si>
  <si>
    <t xml:space="preserve">CERV. AMSTEL SLEEK LT 350ML</t>
  </si>
  <si>
    <t xml:space="preserve">MONST RIO PUNCH LT 473ML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</si>
  <si>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</si>
  <si>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</si>
  <si>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</si>
  <si>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</si>
  <si>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</si>
  <si>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</si>
  <si>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</si>
  <si>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COXA E SOBRECOXA KG</t>
  </si>
  <si>
    <t xml:space="preserve">SUCO JANDAI CAJU500M</t>
  </si>
  <si>
    <t xml:space="preserve">ARROZ BLUE VILLE 1KG</t>
  </si>
  <si>
    <t xml:space="preserve">FILE DE PEITO SADIA</t>
  </si>
  <si>
    <t xml:space="preserve">FEIJAO CARIOCA KICAL</t>
  </si>
  <si>
    <t xml:space="preserve">STEAK DE FRANGO PERD</t>
  </si>
  <si>
    <t xml:space="preserve">FEIJAO JALO KICALDO 1KG</t>
  </si>
  <si>
    <t xml:space="preserve">CARRE SUI CONG SADIA</t>
  </si>
  <si>
    <t xml:space="preserve">FEIJAO CARIOCA DONA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</si>
  <si>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</si>
  <si>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</si>
  <si>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</si>
  <si>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</si>
  <si>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</si>
  <si>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</si>
  <si>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</si>
  <si>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</si>
  <si>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</si>
  <si>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</si>
  <si>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</si>
  <si>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</si>
  <si>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</si>
  <si>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</si>
  <si>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</si>
  <si>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</si>
  <si>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</si>
  <si>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</si>
  <si>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</si>
  <si>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</si>
  <si>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</si>
  <si>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</si>
  <si>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</si>
  <si>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</si>
  <si>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</si>
  <si>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</si>
  <si>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</si>
  <si>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HOT DOG PER</t>
  </si>
  <si>
    <t xml:space="preserve">SALSICHA COPACOL KG</t>
  </si>
  <si>
    <t xml:space="preserve">NAFTALINA SANILAR 50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</si>
  <si>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</si>
  <si>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</si>
  <si>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</si>
  <si>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</si>
  <si>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</si>
  <si>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CONHAQUE SERESTEIRO 900ML</t>
  </si>
  <si>
    <t xml:space="preserve">CEVADA SUPERBOM 500G</t>
  </si>
  <si>
    <t xml:space="preserve">VINA COLOR VIR 750ML</t>
  </si>
  <si>
    <t xml:space="preserve">VINAGRE DE ALCO COLO</t>
  </si>
  <si>
    <t xml:space="preserve">VINAGRE DE ALC AROM </t>
  </si>
  <si>
    <t xml:space="preserve">VINAG ALHO VIR 500ML</t>
  </si>
  <si>
    <t xml:space="preserve">VINAG ALC VIRROSA LIMAO 500ML</t>
  </si>
  <si>
    <t xml:space="preserve">MOLHO GOTA INGLES 150ML</t>
  </si>
  <si>
    <t xml:space="preserve">CONDIMENTO MISTO MARATA 97G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</si>
  <si>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</si>
  <si>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</si>
  <si>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</si>
  <si>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</si>
  <si>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PIPOC MICRO SIN 90G</t>
  </si>
  <si>
    <t xml:space="preserve">MOLHO SHOYU GOTA 150ML</t>
  </si>
  <si>
    <t xml:space="preserve">VINAG VIRR MAC 750ML</t>
  </si>
  <si>
    <t xml:space="preserve">ALCOOL NOBRE 500ML</t>
  </si>
  <si>
    <t xml:space="preserve">VINAG ALCO VIR 750ML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</si>
  <si>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</si>
  <si>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</si>
  <si>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</si>
  <si>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</si>
  <si>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</si>
  <si>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</si>
  <si>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</si>
  <si>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</si>
  <si>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</si>
  <si>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</si>
  <si>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POMAROLA TRADIC 520G</t>
  </si>
  <si>
    <t xml:space="preserve">MAIONESE LIZA REGULA</t>
  </si>
  <si>
    <t xml:space="preserve">CHOCO M&amp;M MINI TUB C</t>
  </si>
  <si>
    <t xml:space="preserve">CHOCO TWIX GDE CHOC/</t>
  </si>
  <si>
    <t xml:space="preserve">CHOCO SNICKERS ORIG</t>
  </si>
  <si>
    <t xml:space="preserve">OLEO OLIVIA TRADICIONAL 500ML</t>
  </si>
  <si>
    <t xml:space="preserve">OLEO PURILEV COCO CO</t>
  </si>
  <si>
    <t xml:space="preserve">OLEO COCO SEM SABOR</t>
  </si>
  <si>
    <t xml:space="preserve">BATATA PRINGLES ORIGINAL 104G</t>
  </si>
  <si>
    <t xml:space="preserve">BATATA PRINGLES CREME E CEBOLA 109G</t>
  </si>
  <si>
    <t xml:space="preserve">BATATA PRINGLES QUEIJO 109G</t>
  </si>
  <si>
    <t xml:space="preserve">BATATA PRINGLES CHEDDAR BACON 105G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</si>
  <si>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</si>
  <si>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</si>
  <si>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</si>
  <si>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</si>
  <si>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</si>
  <si>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</si>
  <si>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</si>
  <si>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CHOCOLATE M&amp;MS 40G</t>
  </si>
  <si>
    <t xml:space="preserve">PRINGLES BACONFEST 100G</t>
  </si>
  <si>
    <t xml:space="preserve">BETERRABA KG</t>
  </si>
  <si>
    <t xml:space="preserve">TOCO DE TRASEIRO BOV</t>
  </si>
  <si>
    <t xml:space="preserve">REFRI. FANTA UVA 1,5</t>
  </si>
  <si>
    <t xml:space="preserve">FANTA LAR 1,5L</t>
  </si>
  <si>
    <t xml:space="preserve">SUC DEL VALLE LAR 1L</t>
  </si>
  <si>
    <t xml:space="preserve">REFRI. G. TUCHAUA CH</t>
  </si>
  <si>
    <t xml:space="preserve">REFRI. TUCHAUA CHAMP PET1,5L</t>
  </si>
  <si>
    <t xml:space="preserve">ISOTONICOPOWERADE </t>
  </si>
  <si>
    <t xml:space="preserve">POWERADE ATAQUE CITRUS PET 500ML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</si>
  <si>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</si>
  <si>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</si>
  <si>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</si>
  <si>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</si>
  <si>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</si>
  <si>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</si>
  <si>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</si>
  <si>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</si>
  <si>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</si>
  <si>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</si>
  <si>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PAO MINI DOG RO 300G</t>
  </si>
  <si>
    <t xml:space="preserve">PAO BRIOCHE ROOLPAN</t>
  </si>
  <si>
    <t xml:space="preserve">PAO DE HAMBURGUER 40</t>
  </si>
  <si>
    <t xml:space="preserve">PAO HOT DOG 400G</t>
  </si>
  <si>
    <t xml:space="preserve">COCADA CASMORENINH</t>
  </si>
  <si>
    <t xml:space="preserve">COCADA CASEIRA MOREN</t>
  </si>
  <si>
    <t xml:space="preserve">REQUEIJAO TRAD FRUTA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</si>
  <si>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</si>
  <si>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</si>
  <si>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</si>
  <si>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</si>
  <si>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</si>
  <si>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</si>
  <si>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</si>
  <si>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</si>
  <si>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CHIA RAIZ 100G</t>
  </si>
  <si>
    <t xml:space="preserve">TEMP.EDU GUED RAIZ 30G</t>
  </si>
  <si>
    <t xml:space="preserve">CHIMICHURRI COM PIMENTA 15G RAIZ</t>
  </si>
  <si>
    <t xml:space="preserve">TEMP.CHIMICHURRI 15G</t>
  </si>
  <si>
    <t xml:space="preserve">COLORAU RAIZ 400G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</si>
  <si>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</si>
  <si>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</si>
  <si>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</si>
  <si>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</si>
  <si>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PIMENTA REINO MOIDA 25G RAIZ</t>
  </si>
  <si>
    <t xml:space="preserve">PIMENTA DO REINO GRAO 25G</t>
  </si>
  <si>
    <t xml:space="preserve">HIBISCO RAIZ 50G</t>
  </si>
  <si>
    <t xml:space="preserve">PAPRICAPICANT RAI30G</t>
  </si>
  <si>
    <t xml:space="preserve">PAPRICA DEFUMADA 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</si>
  <si>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</si>
  <si>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</si>
  <si>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</si>
  <si>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</si>
  <si>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REAL GOLD 250ML PET</t>
  </si>
  <si>
    <t xml:space="preserve">SANT CLA CM GAS500ML</t>
  </si>
  <si>
    <t xml:space="preserve">GUARANA BUMBA 1,5L</t>
  </si>
  <si>
    <t xml:space="preserve">REFR GUAR BUMBA 250M</t>
  </si>
  <si>
    <t xml:space="preserve">REFRI.UVA LOO 2L PET</t>
  </si>
  <si>
    <t xml:space="preserve">AGUA MIN SNT CLAU 2L</t>
  </si>
  <si>
    <t xml:space="preserve">SUCO ALEGRIA UV 200M</t>
  </si>
  <si>
    <t xml:space="preserve">SOCOCO 200ML TP200ML</t>
  </si>
  <si>
    <t xml:space="preserve">REFRIG MAGISTRAL 2L</t>
  </si>
  <si>
    <t xml:space="preserve">AGUA MINE YARA 350ML</t>
  </si>
  <si>
    <t xml:space="preserve">AGUA MINER YARA600M</t>
  </si>
  <si>
    <t xml:space="preserve">MAGISTRAL GOLD 2L</t>
  </si>
  <si>
    <t xml:space="preserve">AGUA MINERAL YARA GA</t>
  </si>
  <si>
    <t xml:space="preserve">ÁGUA TONICA YARA 350</t>
  </si>
  <si>
    <t xml:space="preserve">AGUA COCO SOCOCO 1L</t>
  </si>
  <si>
    <t xml:space="preserve">ENERGETICO VULCANO</t>
  </si>
  <si>
    <t xml:space="preserve">MAGISTRAL PET 1.5</t>
  </si>
  <si>
    <t xml:space="preserve">ENEGETIC VULCANO 1LT</t>
  </si>
  <si>
    <t xml:space="preserve">ENERGET VULCANO 2 L</t>
  </si>
  <si>
    <t xml:space="preserve">SOCOCO 330ML LT330ML</t>
  </si>
  <si>
    <t xml:space="preserve">ENERGETICO VULCANO L</t>
  </si>
  <si>
    <t xml:space="preserve">LA FRUIT MARACUJÁ 1L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</si>
  <si>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</si>
  <si>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</si>
  <si>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</si>
  <si>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</si>
  <si>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LA FRUIT NECTA DE GO</t>
  </si>
  <si>
    <t xml:space="preserve">AG DE COCO MAIS CO1L</t>
  </si>
  <si>
    <t xml:space="preserve">VULCANO SUGAR FRE 25</t>
  </si>
  <si>
    <t xml:space="preserve">REFR GRAPETE UVA 2L</t>
  </si>
  <si>
    <t xml:space="preserve">ÁGUA YARAGAS 600ML</t>
  </si>
  <si>
    <t xml:space="preserve">VULCANO COMBATE 473M</t>
  </si>
  <si>
    <t xml:space="preserve">GURY COLA 2 LTS</t>
  </si>
  <si>
    <t xml:space="preserve">GURY LARANJA PET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</si>
  <si>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</si>
  <si>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</si>
  <si>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</si>
  <si>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</si>
  <si>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</si>
  <si>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</si>
  <si>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</si>
  <si>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HYDRO LIMAO 500ML</t>
  </si>
  <si>
    <t xml:space="preserve">AGUACRIM 5 LT</t>
  </si>
  <si>
    <t xml:space="preserve">HYDRO LIMAO PET ZERO</t>
  </si>
  <si>
    <t xml:space="preserve">CARRE SUINO KG</t>
  </si>
  <si>
    <t xml:space="preserve">SALSICHA PERDIGÃO KG</t>
  </si>
  <si>
    <t xml:space="preserve">SOBRECOXAS SADIA 1KG</t>
  </si>
  <si>
    <t xml:space="preserve">MARGARINA VEG.CREM.C</t>
  </si>
  <si>
    <t xml:space="preserve">MORTADELA DE FRANGO</t>
  </si>
  <si>
    <t xml:space="preserve">COXINHA DE ASA KG</t>
  </si>
  <si>
    <t xml:space="preserve">FARINHA OVINHA REI DAVI 1KG</t>
  </si>
  <si>
    <t xml:space="preserve">FARINHA IMPERIAL D`A</t>
  </si>
  <si>
    <t xml:space="preserve">PICOLE TOYA CREAM CH</t>
  </si>
  <si>
    <t xml:space="preserve">PICOLE TOYA MAX CAST</t>
  </si>
  <si>
    <t xml:space="preserve">PICOLE TOYA TAPIOCA</t>
  </si>
  <si>
    <t xml:space="preserve">ACHO MARATA SCH 200G</t>
  </si>
  <si>
    <t xml:space="preserve">CONSERVA TARGET 320G</t>
  </si>
  <si>
    <t xml:space="preserve">ARROZ CACAROLA PARB 1K</t>
  </si>
  <si>
    <t xml:space="preserve">HAMBUR FRIBOI BO 56G</t>
  </si>
  <si>
    <t xml:space="preserve">AER ANT DOVE ORIG89G</t>
  </si>
  <si>
    <t xml:space="preserve">COLORÍFICO MARATÁ 49</t>
  </si>
  <si>
    <t xml:space="preserve">DEO AERO MONANGE FLO</t>
  </si>
  <si>
    <t xml:space="preserve">AEROSOL MONANGE HIDRATACAO INTENSIVA</t>
  </si>
  <si>
    <t xml:space="preserve">CARNE OIDA CONGELADA</t>
  </si>
  <si>
    <t xml:space="preserve">BISC. PAPAGUARA AGUA E SAL MOTOR 300G</t>
  </si>
  <si>
    <t xml:space="preserve">ROSQUINHA COCO PAPAG</t>
  </si>
  <si>
    <t xml:space="preserve">ROSQ LEITE PAPAGUARA 300G</t>
  </si>
  <si>
    <t xml:space="preserve">ROSQU CHOC PARA300G</t>
  </si>
  <si>
    <t xml:space="preserve">BOMBONS GAROTO SORTIDOS CX 220G</t>
  </si>
  <si>
    <t xml:space="preserve">FIGADO BOVINO KG</t>
  </si>
  <si>
    <t xml:space="preserve">FILE PEITOA GRANEL</t>
  </si>
  <si>
    <t xml:space="preserve">COSTELA SUINA ESP AU</t>
  </si>
  <si>
    <t xml:space="preserve">BATATA PROF. TRADICI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</si>
  <si>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</si>
  <si>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</si>
  <si>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</si>
  <si>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</si>
  <si>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</si>
  <si>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MANGA ROSA KG</t>
  </si>
  <si>
    <t xml:space="preserve">BOLO MIYAZAKI GRANDE</t>
  </si>
  <si>
    <t xml:space="preserve">FRUT GURT MORANGO</t>
  </si>
  <si>
    <t xml:space="preserve">SAZON CALDO CARNE 32</t>
  </si>
  <si>
    <t xml:space="preserve">TEMP SAB AMI300G</t>
  </si>
  <si>
    <t xml:space="preserve">TEMP COMP SAB AM300G</t>
  </si>
  <si>
    <t xml:space="preserve">TEMP AJI.NO.MOTO100G</t>
  </si>
  <si>
    <t xml:space="preserve">TEMPERO SAZON FRANGO</t>
  </si>
  <si>
    <t xml:space="preserve">SAZON VERMELHO FLOPP</t>
  </si>
  <si>
    <t xml:space="preserve">PILHA ALCAL PEQ</t>
  </si>
  <si>
    <t xml:space="preserve">AJI-NO-MOTO FLOPPY 3</t>
  </si>
  <si>
    <t xml:space="preserve">MOLH SHOY AJINOM150M</t>
  </si>
  <si>
    <t xml:space="preserve">MOLHO SHOYU INTENSO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</si>
  <si>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</si>
  <si>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</si>
  <si>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</si>
  <si>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</si>
  <si>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</si>
  <si>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</si>
  <si>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</si>
  <si>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</si>
  <si>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</si>
  <si>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</si>
  <si>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</si>
  <si>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</si>
  <si>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</si>
  <si>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</si>
  <si>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SAZON CALDO GALINHA</t>
  </si>
  <si>
    <t xml:space="preserve">CREM LEIT MOCOCA200G</t>
  </si>
  <si>
    <t xml:space="preserve">GOIABADA PALMEIRON 5</t>
  </si>
  <si>
    <t xml:space="preserve">LIMPA AR COND GLOBO</t>
  </si>
  <si>
    <t xml:space="preserve">KETCHUP QUERO 200G</t>
  </si>
  <si>
    <t xml:space="preserve">KETCHUP QUERO 400G</t>
  </si>
  <si>
    <t xml:space="preserve">SPRITE LT 350ML</t>
  </si>
  <si>
    <t xml:space="preserve">SCHWEPPES CITRUS LT 350ML</t>
  </si>
  <si>
    <t xml:space="preserve">COCA COLA ZERO 1L</t>
  </si>
  <si>
    <t xml:space="preserve">MONSTER ENERGY ENERG</t>
  </si>
  <si>
    <t xml:space="preserve">REFRI. SPRITE 350ML</t>
  </si>
  <si>
    <t xml:space="preserve">ENERG MONS PAI 473ML</t>
  </si>
  <si>
    <t xml:space="preserve">RC FRISK GATO ADULT MIX CARNE KG</t>
  </si>
  <si>
    <t xml:space="preserve">RACAO DOG CH.PAPITA KG</t>
  </si>
  <si>
    <t xml:space="preserve">KANINA FILHOTE CARNE</t>
  </si>
  <si>
    <t xml:space="preserve">RC FRISKIES GATO MAR DE SABORES 10,1KG</t>
  </si>
  <si>
    <t xml:space="preserve">REFR COCA COLA 200ML</t>
  </si>
  <si>
    <t xml:space="preserve">AGUA TONICA SCHWEPPE</t>
  </si>
  <si>
    <t xml:space="preserve">DEL VALLE FRUT UVA 1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</si>
  <si>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</si>
  <si>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</si>
  <si>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</si>
  <si>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</si>
  <si>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</si>
  <si>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</si>
  <si>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</si>
  <si>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</si>
  <si>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</si>
  <si>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AMENDOIM ELMA 40G</t>
  </si>
  <si>
    <t xml:space="preserve">TODDY RECHEADO CHOCO</t>
  </si>
  <si>
    <t xml:space="preserve">TODDY RECHEADO MORAN</t>
  </si>
  <si>
    <t xml:space="preserve">TODDY RECHEADO BAUNI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</si>
  <si>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</si>
  <si>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</si>
  <si>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</si>
  <si>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</si>
  <si>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</si>
  <si>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</si>
  <si>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</si>
  <si>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SALG FANDANGOS QUEIJ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</si>
  <si>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</si>
  <si>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</si>
  <si>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</si>
  <si>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PIMEN M</t>
  </si>
  <si>
    <t xml:space="preserve">SALG TORCIDA QUEIJO</t>
  </si>
  <si>
    <t xml:space="preserve">SALG DORITOS DINAMIT</t>
  </si>
  <si>
    <t xml:space="preserve">CHEETOS ONDA REQUEIJAO 160G</t>
  </si>
  <si>
    <t xml:space="preserve">DORITOS SWEET CHILI 32G</t>
  </si>
  <si>
    <t xml:space="preserve">DORITOS DINAMITA FLAM HOT 60G</t>
  </si>
  <si>
    <t xml:space="preserve">SALG CHEETOS MIX 36G</t>
  </si>
  <si>
    <t xml:space="preserve">BATATA RUFFLES CEB SALSA 68G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</si>
  <si>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</si>
  <si>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</si>
  <si>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</si>
  <si>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</si>
  <si>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RUFFLES SAL ORIG 33G</t>
  </si>
  <si>
    <t xml:space="preserve">DORITOS DINAM FLAMIN HOT 110G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</si>
  <si>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</si>
  <si>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</si>
  <si>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</si>
  <si>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</si>
  <si>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</si>
  <si>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</si>
  <si>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</si>
  <si>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</si>
  <si>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</si>
  <si>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</si>
  <si>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CUPNOODLES GALIN69G</t>
  </si>
  <si>
    <t xml:space="preserve">COP NOODLES CARN 69G</t>
  </si>
  <si>
    <t xml:space="preserve">CIGARRO BLACK</t>
  </si>
  <si>
    <t xml:space="preserve">CREAM CRACKER ESTREL</t>
  </si>
  <si>
    <t xml:space="preserve">BISC ESTRELA MARIA 3</t>
  </si>
  <si>
    <t xml:space="preserve">BISC AMORI RECH CHOC</t>
  </si>
  <si>
    <t xml:space="preserve">BISC AMORI RECH ESCU</t>
  </si>
  <si>
    <t xml:space="preserve">BISC AMORI RECH CHOCOLATE 125G</t>
  </si>
  <si>
    <t xml:space="preserve">BISC AMORI RECH ESCURETO 125G</t>
  </si>
  <si>
    <t xml:space="preserve">BISC AMORI RECH MORA</t>
  </si>
  <si>
    <t xml:space="preserve">BISC MAIZENA ESTRELA</t>
  </si>
  <si>
    <t xml:space="preserve">MITTOSQUEIJO</t>
  </si>
  <si>
    <t xml:space="preserve">MITTOS CHURRASCO</t>
  </si>
  <si>
    <t xml:space="preserve">MITTOS BACON</t>
  </si>
  <si>
    <t xml:space="preserve">MARBORO DOUBLE FUSIO</t>
  </si>
  <si>
    <t xml:space="preserve">SALGADINHO MITTOS PRESUNTO 35G</t>
  </si>
  <si>
    <t xml:space="preserve">SEDA GTI BROWN KS LARGE</t>
  </si>
  <si>
    <t xml:space="preserve">EMPANADO AUROGGETS 275G</t>
  </si>
  <si>
    <t xml:space="preserve">IOG GRFA MORANGO NES</t>
  </si>
  <si>
    <t xml:space="preserve">SUCO DE UVA PRAT'S 900ML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</si>
  <si>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</si>
  <si>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</si>
  <si>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</si>
  <si>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</si>
  <si>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</si>
  <si>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</si>
  <si>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</si>
  <si>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PAÇOCA TUBITOS JAZAM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</si>
  <si>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</si>
  <si>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</si>
  <si>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</si>
  <si>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</si>
  <si>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</si>
  <si>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</si>
  <si>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ACHOCOLATADO PATATI</t>
  </si>
  <si>
    <t xml:space="preserve">FRUTAP IOG. C/ PEDAC</t>
  </si>
  <si>
    <t xml:space="preserve">REQUEIJÃO CATUPIRY C</t>
  </si>
  <si>
    <t xml:space="preserve">REQUEIJAO LIGHT CATU</t>
  </si>
  <si>
    <t xml:space="preserve">SORVET TOYA FLOC 2L</t>
  </si>
  <si>
    <t xml:space="preserve">SORVETE 1 LT MORANGO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</si>
  <si>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</si>
  <si>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</si>
  <si>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</si>
  <si>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</si>
  <si>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</si>
  <si>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</si>
  <si>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</si>
  <si>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</si>
  <si>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</si>
  <si>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</si>
  <si>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</si>
  <si>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</si>
  <si>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</si>
  <si>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</si>
  <si>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</si>
  <si>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</si>
  <si>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</si>
  <si>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</si>
  <si>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</si>
  <si>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</si>
  <si>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MENTA 28G</t>
  </si>
  <si>
    <t xml:space="preserve">CHOC SONH DE VAL20G</t>
  </si>
  <si>
    <t xml:space="preserve">BIS XTRA BLACK 45G</t>
  </si>
  <si>
    <t xml:space="preserve">TRIDENT X. FRESH INTENSE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</si>
  <si>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</si>
  <si>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</si>
  <si>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</si>
  <si>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</si>
  <si>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CHOC LACTA LAKA 80G</t>
  </si>
  <si>
    <t xml:space="preserve">BARRA CHOC AMARO LAC</t>
  </si>
  <si>
    <t xml:space="preserve">BIS XTRA LACTA BRANC</t>
  </si>
  <si>
    <t xml:space="preserve">BIS FLOWPACK LEITE 6</t>
  </si>
  <si>
    <t xml:space="preserve">BIS FLOWPACK LAKA 63</t>
  </si>
  <si>
    <t xml:space="preserve">CHOC LACTA DIAMANTE NEGRO 28G</t>
  </si>
  <si>
    <t xml:space="preserve">CHOC LACTA LAKA 28G</t>
  </si>
  <si>
    <t xml:space="preserve">CHOC LACTA AO LEITE 28G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</si>
  <si>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</si>
  <si>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</si>
  <si>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</si>
  <si>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</si>
  <si>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</si>
  <si>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</si>
  <si>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</si>
  <si>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</si>
  <si>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</si>
  <si>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</si>
  <si>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</si>
  <si>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</si>
  <si>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</si>
  <si>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</si>
  <si>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</si>
  <si>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</si>
  <si>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</si>
  <si>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</si>
  <si>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</si>
  <si>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</si>
  <si>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</si>
  <si>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</si>
  <si>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</si>
  <si>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</si>
  <si>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</si>
  <si>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</si>
  <si>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</si>
  <si>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</si>
  <si>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</si>
  <si>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</si>
  <si>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</si>
  <si>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</si>
  <si>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</si>
  <si>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</si>
  <si>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</si>
  <si>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</si>
  <si>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</si>
  <si>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</si>
  <si>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</si>
  <si>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</si>
  <si>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</si>
  <si>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</si>
  <si>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</si>
  <si>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</si>
  <si>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</si>
  <si>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</si>
  <si>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</si>
  <si>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</si>
  <si>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</si>
  <si>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</si>
  <si>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</si>
  <si>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</si>
  <si>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</si>
  <si>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</si>
  <si>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</si>
  <si>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LEITE EM PO PIRACANJUBA 400G</t>
  </si>
  <si>
    <t xml:space="preserve">ROSQ COCO RANCHE 300</t>
  </si>
  <si>
    <t xml:space="preserve">ROSQ CHOC RANCH 300G</t>
  </si>
  <si>
    <t xml:space="preserve">BISC.MAIZENA RANCHEIRO 300G</t>
  </si>
  <si>
    <t xml:space="preserve">BISC MARIA RANCHEIRO 275G</t>
  </si>
  <si>
    <t xml:space="preserve">POLPA DE CAJU 100G</t>
  </si>
  <si>
    <t xml:space="preserve">POLPA BACAXI NOR100G</t>
  </si>
  <si>
    <t xml:space="preserve">POLPA DE ABACAXI 1K</t>
  </si>
  <si>
    <t xml:space="preserve">POLPA DE CAJU 1K</t>
  </si>
  <si>
    <t xml:space="preserve">POLPA DE JENIPAPO 1K</t>
  </si>
  <si>
    <t xml:space="preserve">LEIT COC SOCOCO 200M</t>
  </si>
  <si>
    <t xml:space="preserve">SELETA LEGUMES OLE VD 170G</t>
  </si>
  <si>
    <t xml:space="preserve">CREM LEIT ITALAC200G</t>
  </si>
  <si>
    <t xml:space="preserve">ERVILHAS OLE VD 300G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</si>
  <si>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</si>
  <si>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</si>
  <si>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</si>
  <si>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</si>
  <si>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</si>
  <si>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</si>
  <si>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</si>
  <si>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</si>
  <si>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</si>
  <si>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</si>
  <si>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LEITE DE COCO SANSSINI 500ML</t>
  </si>
  <si>
    <t xml:space="preserve">LAMPADA ELGIN BULBO</t>
  </si>
  <si>
    <t xml:space="preserve">LAMP ELGIN SUP BULBO LED BIVOLT 40W</t>
  </si>
  <si>
    <t xml:space="preserve">LAMP ELGIN SUP BULBO LED BIVOLT 20W</t>
  </si>
  <si>
    <t xml:space="preserve">LAMP ELGIN BULBO LED A60 BIVOLT 15W</t>
  </si>
  <si>
    <t xml:space="preserve">LAMPADA ELGIN LED BIVOLT 30W</t>
  </si>
  <si>
    <t xml:space="preserve">BISC MOTOR AFA 300G</t>
  </si>
  <si>
    <t xml:space="preserve">MACARRAO FAVORITA 400G</t>
  </si>
  <si>
    <t xml:space="preserve">LAMPADA ELGIN SUP BU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</si>
  <si>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</si>
  <si>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</si>
  <si>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</si>
  <si>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</si>
  <si>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</si>
  <si>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</si>
  <si>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</si>
  <si>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</si>
  <si>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</si>
  <si>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SKARLOFF ICE 275ML</t>
  </si>
  <si>
    <t xml:space="preserve">SARDINHA NAUTIQUE OL</t>
  </si>
  <si>
    <t xml:space="preserve">CACHAC CAMELINHO 50M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</si>
  <si>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</si>
  <si>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</si>
  <si>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</si>
  <si>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</si>
  <si>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</si>
  <si>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</si>
  <si>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</si>
  <si>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</si>
  <si>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</si>
  <si>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</si>
  <si>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ROTHMANS INTERNATIONAL DOUBLE CLICK</t>
  </si>
  <si>
    <t xml:space="preserve">ROTH TROBO 20/200 KR</t>
  </si>
  <si>
    <t xml:space="preserve">DUNHILL INSIGNIA RED BOX POS</t>
  </si>
  <si>
    <t xml:space="preserve">CERV HEINEKEN L/N 330ML</t>
  </si>
  <si>
    <t xml:space="preserve">AVEIA NESTL FLOC170G</t>
  </si>
  <si>
    <t xml:space="preserve">LEITE NINHO 1+ 400G</t>
  </si>
  <si>
    <t xml:space="preserve">ALPINO FAST 280</t>
  </si>
  <si>
    <t xml:space="preserve">NEGRESCO WAFER 110G</t>
  </si>
  <si>
    <t xml:space="preserve">PRESTÍGIO WAFER 110G</t>
  </si>
  <si>
    <t xml:space="preserve">BISC WAFFER CLASSIC CHOCOLATE 110G</t>
  </si>
  <si>
    <t xml:space="preserve">NESCAU 1L</t>
  </si>
  <si>
    <t xml:space="preserve">BIS MOCA NESTL 140G</t>
  </si>
  <si>
    <t xml:space="preserve">NESCAU 270ML</t>
  </si>
  <si>
    <t xml:space="preserve">BONO WAFER CHOCOLATE</t>
  </si>
  <si>
    <t xml:space="preserve">NESCAU WAF CHOC 110G</t>
  </si>
  <si>
    <t xml:space="preserve">NESCAFE TRADICAO FORTE SACHET 40G</t>
  </si>
  <si>
    <t xml:space="preserve">BISC. BONO WAFER MOR</t>
  </si>
  <si>
    <t xml:space="preserve">NESCAFE LATTE BEBGAR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</si>
  <si>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</si>
  <si>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</si>
  <si>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</si>
  <si>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</si>
  <si>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</si>
  <si>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NESCAU ACTIV-GO BLAC</t>
  </si>
  <si>
    <t xml:space="preserve">BISC NEGRESCO BAUNIL</t>
  </si>
  <si>
    <t xml:space="preserve">BISC.BONO RECH.CHO90</t>
  </si>
  <si>
    <t xml:space="preserve">NESQUIK BEB LACT MOR</t>
  </si>
  <si>
    <t xml:space="preserve">BACON KG</t>
  </si>
  <si>
    <t xml:space="preserve">LINGUICA SUINA KG</t>
  </si>
  <si>
    <t xml:space="preserve">MARGARINA DELINE 500</t>
  </si>
  <si>
    <t xml:space="preserve">LINGUICA MISTA COZ D</t>
  </si>
  <si>
    <t xml:space="preserve">NISSIN LAMEN SUAVE GALINHA 85G</t>
  </si>
  <si>
    <t xml:space="preserve">NISSIN LAMEN GALINHA</t>
  </si>
  <si>
    <t xml:space="preserve">NISSIN LAMEN GALINHA 85G</t>
  </si>
  <si>
    <t xml:space="preserve">MAC YAKISSOBA DESIDRADATO 500G</t>
  </si>
  <si>
    <t xml:space="preserve">PIRULITO SAMBLUE MIX</t>
  </si>
  <si>
    <t xml:space="preserve">COPNOODLE COSTEL 68G</t>
  </si>
  <si>
    <t xml:space="preserve">COP NOODLES YAKISSOB</t>
  </si>
  <si>
    <t xml:space="preserve">COP NOODLESGALINHA</t>
  </si>
  <si>
    <t xml:space="preserve">BALA SAMS CAFE 4,5G</t>
  </si>
  <si>
    <t xml:space="preserve">NISSIN ESPAGUETE T5 500G</t>
  </si>
  <si>
    <t xml:space="preserve">FANTA LARANJA S/ACUCAR LT 350ML</t>
  </si>
  <si>
    <t xml:space="preserve">BOBINA PVC FILME 38X</t>
  </si>
  <si>
    <t xml:space="preserve">BANDEJA B1 BRANCA C/</t>
  </si>
  <si>
    <t xml:space="preserve">BANDEJA B2 COPOBRAS</t>
  </si>
  <si>
    <t xml:space="preserve">TANG UVA 18GR</t>
  </si>
  <si>
    <t xml:space="preserve">MORTADELA DEFUM 200G</t>
  </si>
  <si>
    <t xml:space="preserve">MANTEIGA  SALGADA  APUI</t>
  </si>
  <si>
    <t xml:space="preserve">CERV. BRAHMA CHOPP L</t>
  </si>
  <si>
    <t xml:space="preserve">SUKITA LATA 350ML</t>
  </si>
  <si>
    <t xml:space="preserve">BOHEMIA LT 269ML SH</t>
  </si>
  <si>
    <t xml:space="preserve">PEPSI ZERO LT 350ML</t>
  </si>
  <si>
    <t xml:space="preserve">CERVEJA SPATEN N LT</t>
  </si>
  <si>
    <t xml:space="preserve">CERVEJA SPATENLT 2</t>
  </si>
  <si>
    <t xml:space="preserve">PEPSI COLA PET 1L CA</t>
  </si>
  <si>
    <t xml:space="preserve">CORONA EXTRA N LT 26</t>
  </si>
  <si>
    <t xml:space="preserve">CERV CORONA EXTRA LONG NECK 330ML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</si>
  <si>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</si>
  <si>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</si>
  <si>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</si>
  <si>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</si>
  <si>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</si>
  <si>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</si>
  <si>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</si>
  <si>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</si>
  <si>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</si>
  <si>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</si>
  <si>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</si>
  <si>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</si>
  <si>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</si>
  <si>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</si>
  <si>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</si>
  <si>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</si>
  <si>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</si>
  <si>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</si>
  <si>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</si>
  <si>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</si>
  <si>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</si>
  <si>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</si>
  <si>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</si>
  <si>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</si>
  <si>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</si>
  <si>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</si>
  <si>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</si>
  <si>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</si>
  <si>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</si>
  <si>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</si>
  <si>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</si>
  <si>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</si>
  <si>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PIPOCA CARAMELIZADA 125G</t>
  </si>
  <si>
    <t xml:space="preserve">BISC AMORI RECH BANANA SPLIT 125G</t>
  </si>
  <si>
    <t xml:space="preserve">ACHOC ITALAKIN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</si>
  <si>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</si>
  <si>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</si>
  <si>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</si>
  <si>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</si>
  <si>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</si>
  <si>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FLOCAO NORDESTINO 500G</t>
  </si>
  <si>
    <t xml:space="preserve">GELADINHO MIKITOS 55</t>
  </si>
  <si>
    <t xml:space="preserve">BOLACHA DE MOTOR MOD</t>
  </si>
  <si>
    <t xml:space="preserve">SOPAO APTI GALINHA 2</t>
  </si>
  <si>
    <t xml:space="preserve">MISTU BOLO APTI 400G</t>
  </si>
  <si>
    <t xml:space="preserve">CAFE NORDESTINO250G</t>
  </si>
  <si>
    <t xml:space="preserve">PAPEL HIG ECOTOP 4UN</t>
  </si>
  <si>
    <t xml:space="preserve">ARROZ BRANCO RIO GRANDINO TP1 1KG</t>
  </si>
  <si>
    <t xml:space="preserve">SABAO GUAMA 180G</t>
  </si>
  <si>
    <t xml:space="preserve">MILHO PIPOCA NORDESTINO 400G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</si>
  <si>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</si>
  <si>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</si>
  <si>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</si>
  <si>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</si>
  <si>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</si>
  <si>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</si>
  <si>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</si>
  <si>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</si>
  <si>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</si>
  <si>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</si>
  <si>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</si>
  <si>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</si>
  <si>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</si>
  <si>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</si>
  <si>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</si>
  <si>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</si>
  <si>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</si>
  <si>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</si>
  <si>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</si>
  <si>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</si>
  <si>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</si>
  <si>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</si>
  <si>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</si>
  <si>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</si>
  <si>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</si>
  <si>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</si>
  <si>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</si>
  <si>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AR COND 10000 MIDEA QCL108BB 127V</t>
  </si>
  <si>
    <t xml:space="preserve">SMARTPHONE MOTOROLA G06 4/128GB AZ</t>
  </si>
  <si>
    <t xml:space="preserve">-MASSA (GOMA) TAPIOCA 10 X KG NORDESTINO</t>
  </si>
  <si>
    <t xml:space="preserve">MILHO P/ PIPOCA 200G</t>
  </si>
  <si>
    <t xml:space="preserve">MILHO P/ PIPOCA GIOV</t>
  </si>
  <si>
    <t xml:space="preserve">PIMENTA MOIDA 50G GI</t>
  </si>
  <si>
    <t xml:space="preserve">LOURO EM FOLHAS 20G</t>
  </si>
  <si>
    <t xml:space="preserve">COLORAL 80G TAPAJOS</t>
  </si>
  <si>
    <t xml:space="preserve">COLORAL 160G GIOVANN</t>
  </si>
  <si>
    <t xml:space="preserve">BICARBONATO DE SODIO</t>
  </si>
  <si>
    <t xml:space="preserve">CRAVO 15G GIOVANNA</t>
  </si>
  <si>
    <t xml:space="preserve">ALPISTE 200G GIOVANN</t>
  </si>
  <si>
    <t xml:space="preserve">PIMENTA EM GRAO 30G</t>
  </si>
  <si>
    <t xml:space="preserve">PIMENTA COM COMINHO</t>
  </si>
  <si>
    <t xml:space="preserve">OREGANO DE 10GR POR</t>
  </si>
  <si>
    <t xml:space="preserve">ERVA DOCE DE 10GR PO</t>
  </si>
  <si>
    <t xml:space="preserve">ALHO FRITO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</si>
  <si>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</si>
  <si>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</si>
  <si>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</si>
  <si>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</si>
  <si>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</si>
  <si>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</si>
  <si>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</si>
  <si>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</si>
  <si>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</si>
  <si>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</si>
  <si>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</si>
  <si>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</si>
  <si>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</si>
  <si>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</si>
  <si>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</si>
  <si>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</si>
  <si>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</si>
  <si>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</si>
  <si>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</si>
  <si>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</si>
  <si>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</si>
  <si>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</si>
  <si>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</si>
  <si>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</si>
  <si>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</si>
  <si>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</si>
  <si>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COADOR DE CAFÉ CABO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</si>
  <si>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</si>
  <si>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</si>
  <si>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</si>
  <si>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</si>
  <si>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</si>
  <si>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</si>
  <si>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</si>
  <si>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</t>
  </si>
  <si>
    <t xml:space="preserve">PANO MICROFIBRA 28CM</t>
  </si>
  <si>
    <t xml:space="preserve">TAPETE DAMA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</si>
  <si>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</si>
  <si>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</si>
  <si>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</si>
  <si>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</si>
  <si>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</si>
  <si>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</si>
  <si>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COXINHA DA ASA KG</t>
  </si>
  <si>
    <t xml:space="preserve">FRUTAP IOG MORANGO G</t>
  </si>
  <si>
    <t xml:space="preserve">FRUTAP PATATI PATATA</t>
  </si>
  <si>
    <t xml:space="preserve">PICOLE PREMIUM PISTA</t>
  </si>
  <si>
    <t xml:space="preserve">SORVETE TOYAACAI</t>
  </si>
  <si>
    <t xml:space="preserve">SORVETE 1 LT ACAI .</t>
  </si>
  <si>
    <t xml:space="preserve">SORV PREM LEIT TRUFA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</si>
  <si>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</si>
  <si>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</si>
  <si>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</si>
  <si>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</si>
  <si>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</si>
  <si>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</si>
  <si>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FRISCO UVA 25G</t>
  </si>
  <si>
    <t xml:space="preserve">CAFE TM 3C EF INT SPACK 250G</t>
  </si>
  <si>
    <t xml:space="preserve">CAPPUC 3 COR CHO260M</t>
  </si>
  <si>
    <t xml:space="preserve">BEB.LACT.CAPP 3CR260</t>
  </si>
  <si>
    <t xml:space="preserve">FRISCO SABOR LARANJA</t>
  </si>
  <si>
    <t xml:space="preserve">SUCO FRISCO SABOR MARACUJA</t>
  </si>
  <si>
    <t xml:space="preserve">CHOCOLATTO 3CORACOES LT 350G</t>
  </si>
  <si>
    <t xml:space="preserve">COXAS SADIA 1KG</t>
  </si>
  <si>
    <t xml:space="preserve">COXINHA DA ASA SADIA</t>
  </si>
  <si>
    <t xml:space="preserve">COSTE SUIN NB PER KG</t>
  </si>
  <si>
    <t xml:space="preserve">QUEIJO PRATO FATIADO</t>
  </si>
  <si>
    <t xml:space="preserve">MILHO PRA PIPOCA DON</t>
  </si>
  <si>
    <t xml:space="preserve">MILHO PARA CANJICA DONA DE 500G</t>
  </si>
  <si>
    <t xml:space="preserve">FARINHA MAND OVINHA</t>
  </si>
  <si>
    <t xml:space="preserve">FARINHA MAND DONA D CRUZEIRO DO SUL</t>
  </si>
  <si>
    <t xml:space="preserve">BOLINHO MORANGO 7308</t>
  </si>
  <si>
    <t xml:space="preserve">FERMEN DR.OETKER 100G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</si>
  <si>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</si>
  <si>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</si>
  <si>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</si>
  <si>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</si>
  <si>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</si>
  <si>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</si>
  <si>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</si>
  <si>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</si>
  <si>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</si>
  <si>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</si>
  <si>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</si>
  <si>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</si>
  <si>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</si>
  <si>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BOLINHO DUPLO CHOCOL</t>
  </si>
  <si>
    <t xml:space="preserve">CHA MISTO DR.OETKER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</si>
  <si>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</si>
  <si>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</si>
  <si>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</si>
  <si>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</si>
  <si>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</si>
  <si>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</si>
  <si>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</si>
  <si>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</si>
  <si>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BISC COOKIES CHOCO UNIAO PERF 4117</t>
  </si>
  <si>
    <t xml:space="preserve">BISC.COOKIES MAXI CH</t>
  </si>
  <si>
    <t xml:space="preserve">BISC COOKIES ORIGINA</t>
  </si>
  <si>
    <t xml:space="preserve">BISC. COOKIES CHO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</si>
  <si>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</si>
  <si>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</si>
  <si>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</si>
  <si>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</si>
  <si>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PAO BAUDUCCO TRAD 390G</t>
  </si>
  <si>
    <t xml:space="preserve">PAO 37% INTEGRAL BAUD 390G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</si>
  <si>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</si>
  <si>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</si>
  <si>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</si>
  <si>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</si>
  <si>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</si>
  <si>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</si>
  <si>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</si>
  <si>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</si>
  <si>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BISC RECH DUPLO CHOC</t>
  </si>
  <si>
    <t xml:space="preserve">BISC RECH MORANGO 10</t>
  </si>
  <si>
    <t xml:space="preserve">BISC RECH CHOCOLATE</t>
  </si>
  <si>
    <t xml:space="preserve">MIST BOLO MOUSSE 300</t>
  </si>
  <si>
    <t xml:space="preserve">SUCO ALEGRIA FRUIT S</t>
  </si>
  <si>
    <t xml:space="preserve">GUARANA REGENTE ZERO</t>
  </si>
  <si>
    <t xml:space="preserve">REFR MAGISTR GOL1,5L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</si>
  <si>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</si>
  <si>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</si>
  <si>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</si>
  <si>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</si>
  <si>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</si>
  <si>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</si>
  <si>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</si>
  <si>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</si>
  <si>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</si>
  <si>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</si>
  <si>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</si>
  <si>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</si>
  <si>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</si>
  <si>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</si>
  <si>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</si>
  <si>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</si>
  <si>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</si>
  <si>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MIST.BOLO CHOCOLATE 390G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</si>
  <si>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</si>
  <si>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</si>
  <si>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</si>
  <si>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</si>
  <si>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</si>
  <si>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</si>
  <si>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</si>
  <si>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</si>
  <si>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</si>
  <si>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</si>
  <si>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</si>
  <si>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</si>
  <si>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</si>
  <si>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</si>
  <si>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</si>
  <si>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</si>
  <si>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</si>
  <si>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</si>
  <si>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</si>
  <si>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RED BULL SUMMER EDIT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</si>
  <si>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</si>
  <si>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</si>
  <si>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</si>
  <si>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</si>
  <si>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</si>
  <si>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</si>
  <si>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</si>
  <si>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</si>
  <si>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</si>
  <si>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PIPOCA JUPOCA 40G</t>
  </si>
  <si>
    <t xml:space="preserve">PILHA ALCALINA PANAS</t>
  </si>
  <si>
    <t xml:space="preserve">BATATA PALHA AMARELI</t>
  </si>
  <si>
    <t xml:space="preserve">SALG TIME BACON 50G</t>
  </si>
  <si>
    <t xml:space="preserve">ESCOVA DENTAL WIT BASIC (VERDE)</t>
  </si>
  <si>
    <t xml:space="preserve">BARBEADOR LORD 3 BLUE SKY COM 2 UNIDADES</t>
  </si>
  <si>
    <t xml:space="preserve">ESCOVA DENTAL WIT BASIC (ROXA) 1 UNIDADE</t>
  </si>
  <si>
    <t xml:space="preserve">DEPILADOR LORD QUEEN 3 C/ 2 UNIDADES</t>
  </si>
  <si>
    <t xml:space="preserve">TRIGO D MARIA C/FERM 1KG</t>
  </si>
  <si>
    <t xml:space="preserve">TRIGO DONA MARIA S/F1KG</t>
  </si>
  <si>
    <t xml:space="preserve">CONS CARNE BO320G</t>
  </si>
  <si>
    <t xml:space="preserve">AERO ANT REXOBAMB 90</t>
  </si>
  <si>
    <t xml:space="preserve">CARNE MISTA CONSERVA</t>
  </si>
  <si>
    <t xml:space="preserve">REXONA MEN SEM PERFUME 90G</t>
  </si>
  <si>
    <t xml:space="preserve">ANT. AEROSOL DOVE TO</t>
  </si>
  <si>
    <t xml:space="preserve">FIAMBRE TARGET 320G</t>
  </si>
  <si>
    <t xml:space="preserve">TRIGO TRIGOLAR C/F1K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</si>
  <si>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</si>
  <si>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</si>
  <si>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</si>
  <si>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</si>
  <si>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</si>
  <si>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</si>
  <si>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</si>
  <si>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</si>
  <si>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</si>
  <si>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</si>
  <si>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</si>
  <si>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</si>
  <si>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</si>
  <si>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</si>
  <si>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</si>
  <si>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</si>
  <si>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</si>
  <si>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</si>
  <si>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</si>
  <si>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</si>
  <si>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</si>
  <si>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</si>
  <si>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</si>
  <si>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</si>
  <si>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</si>
  <si>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</si>
  <si>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 ULTRA FIESTA M</t>
  </si>
  <si>
    <t xml:space="preserve">MONSTER STRAWBERRY DREAMS LT 473ML</t>
  </si>
  <si>
    <t xml:space="preserve">REFRI. COCA COLA 3L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</si>
  <si>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</si>
  <si>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</si>
  <si>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</si>
  <si>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</si>
  <si>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</si>
  <si>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</si>
  <si>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</si>
  <si>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</si>
  <si>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</si>
  <si>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</si>
  <si>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</si>
  <si>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</si>
  <si>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</si>
  <si>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</si>
  <si>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</si>
  <si>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</si>
  <si>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TRASEIRO DE BOI - BISTECA</t>
  </si>
  <si>
    <t xml:space="preserve">RAC WHISKAS CARNE KG</t>
  </si>
  <si>
    <t xml:space="preserve">RACAO WHISKAS PEIXE</t>
  </si>
  <si>
    <t xml:space="preserve">RACAO WHISKAS FILH.K</t>
  </si>
  <si>
    <t xml:space="preserve">R WHISK ADUL CAST KG</t>
  </si>
  <si>
    <t xml:space="preserve">RAC. PEDIGRE FILHOTE RMG KG</t>
  </si>
  <si>
    <t xml:space="preserve">WHISKA CASTRADO PEIXE KG</t>
  </si>
  <si>
    <t xml:space="preserve">CONTRA FILE KG</t>
  </si>
  <si>
    <t xml:space="preserve">SORV PREM ACAI/LEITI</t>
  </si>
  <si>
    <t xml:space="preserve">SORVETE TOYA TOYETTO</t>
  </si>
  <si>
    <t xml:space="preserve">PICOLE TOYA BURITI F</t>
  </si>
  <si>
    <t xml:space="preserve">SORVETE 250 ML TAPIO</t>
  </si>
  <si>
    <t xml:space="preserve">CHARQUE RIO MAR 400G</t>
  </si>
  <si>
    <t xml:space="preserve">SANTA CLAUDIA350ML P</t>
  </si>
  <si>
    <t xml:space="preserve">ALVORADA MANAUS 1 KG</t>
  </si>
  <si>
    <t xml:space="preserve">CHANTY MIX AMELIA 1L</t>
  </si>
  <si>
    <t xml:space="preserve">TALCO BARLA 140G</t>
  </si>
  <si>
    <t xml:space="preserve">ABS MILI SUA C/A 16U</t>
  </si>
  <si>
    <t xml:space="preserve">QUEIJO RAL SANTIN50G</t>
  </si>
  <si>
    <t xml:space="preserve">AZEITE DENDE MARIZA</t>
  </si>
  <si>
    <t xml:space="preserve">OLEO DE MAQ KING 100</t>
  </si>
  <si>
    <t xml:space="preserve">DUREPOXI 100G</t>
  </si>
  <si>
    <t xml:space="preserve">FLOCAO DE ARROZ 500G</t>
  </si>
  <si>
    <t xml:space="preserve">DOC LEIT BOCARD 250G</t>
  </si>
  <si>
    <t xml:space="preserve">VINHO DOM BOSCO750ML</t>
  </si>
  <si>
    <t xml:space="preserve">ALCOOL NOBRE 1L</t>
  </si>
  <si>
    <t xml:space="preserve">CATUABA FELINA 500ML</t>
  </si>
  <si>
    <t xml:space="preserve">BORCADO ALIMENTOS BR</t>
  </si>
  <si>
    <t xml:space="preserve">LEIT COND MOCOCA395G</t>
  </si>
  <si>
    <t xml:space="preserve">CREME DE LEIT MISTURA MOCOCA 200G</t>
  </si>
  <si>
    <t xml:space="preserve">QUEIJO RALADO SANSSINI 40G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</si>
  <si>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</si>
  <si>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</si>
  <si>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</si>
  <si>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</si>
  <si>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</si>
  <si>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</si>
  <si>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</si>
  <si>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</si>
  <si>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</si>
  <si>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</si>
  <si>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</si>
  <si>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</si>
  <si>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</si>
  <si>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LIMPOL LIMP PERFUM A</t>
  </si>
  <si>
    <t xml:space="preserve">LIMPOL PERFUM PASSION 500ML</t>
  </si>
  <si>
    <t xml:space="preserve">LIMPADOR PERF LUXURY 500ML - 7206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</si>
  <si>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</si>
  <si>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</si>
  <si>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</si>
  <si>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</si>
  <si>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</si>
  <si>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</si>
  <si>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</si>
  <si>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</si>
  <si>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</si>
  <si>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</si>
  <si>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</si>
  <si>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AZEITE MARIA TRAD. 5</t>
  </si>
  <si>
    <t xml:space="preserve">ATUM RALADO EM OLEO</t>
  </si>
  <si>
    <t xml:space="preserve">FEIJOADA BORDON 430G</t>
  </si>
  <si>
    <t xml:space="preserve">ATUM RALADO GOMES DA</t>
  </si>
  <si>
    <t xml:space="preserve">OLEO LIZA MILHO 900M</t>
  </si>
  <si>
    <t xml:space="preserve">ATUM RALADO NATURAL</t>
  </si>
  <si>
    <t xml:space="preserve">CHOCO SNICKERS DARK</t>
  </si>
  <si>
    <t xml:space="preserve">CONSERVA MISTA TRAD BORDON 320G</t>
  </si>
  <si>
    <t xml:space="preserve">MOLHO TOMA  TRAD POMOD SC 300G</t>
  </si>
  <si>
    <t xml:space="preserve">MOLHO TOMATE TARANTE TRAD SC 300G</t>
  </si>
  <si>
    <t xml:space="preserve">EXT TOMATE ELEFANTE TP 275G</t>
  </si>
  <si>
    <t xml:space="preserve">CHOC BRANCO SNICKERS</t>
  </si>
  <si>
    <t xml:space="preserve">LAV ROU GLOBO 1,8L</t>
  </si>
  <si>
    <t xml:space="preserve">TEMP. BAIAN RAIZ 30G</t>
  </si>
  <si>
    <t xml:space="preserve">PAPRICA DOCE RAIZ 30G</t>
  </si>
  <si>
    <t xml:space="preserve">CANELA EM CASCA RAIZ 30G</t>
  </si>
  <si>
    <t xml:space="preserve">CONFEI CHOCOLATE GRANULADO 50G RAIZ</t>
  </si>
  <si>
    <t xml:space="preserve">FOLHA DE LOURO 10G</t>
  </si>
  <si>
    <t xml:space="preserve">OREGANO 15G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</si>
  <si>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</si>
  <si>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</si>
  <si>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</si>
  <si>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</si>
  <si>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</si>
  <si>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SODA CAUSTICA NUTRILAR 450G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</si>
  <si>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</si>
  <si>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</si>
  <si>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</si>
  <si>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</si>
  <si>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</si>
  <si>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</si>
  <si>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</si>
  <si>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</si>
  <si>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BATATA PALHA FAISAO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</si>
  <si>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</si>
  <si>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</si>
  <si>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</si>
  <si>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</si>
  <si>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</si>
  <si>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</si>
  <si>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</si>
  <si>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</si>
  <si>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</si>
  <si>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</si>
  <si>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</si>
  <si>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</si>
  <si>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</si>
  <si>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</si>
  <si>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</si>
  <si>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</si>
  <si>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EX-SET AZUL 230G</t>
  </si>
  <si>
    <t xml:space="preserve">GEL EX SET BRILHO MO</t>
  </si>
  <si>
    <t xml:space="preserve">GEL FIXADOR AZUL 250G</t>
  </si>
  <si>
    <t xml:space="preserve">GEL EX-SET VERDE 250</t>
  </si>
  <si>
    <t xml:space="preserve">GEL EX-SET TRANSPARE</t>
  </si>
  <si>
    <t xml:space="preserve">GEL EX-SET ROXO 230G</t>
  </si>
  <si>
    <t xml:space="preserve">GEL FIXADOR 1KG</t>
  </si>
  <si>
    <t xml:space="preserve">GEL EX-SET 230G</t>
  </si>
  <si>
    <t xml:space="preserve">COLA EM GEL THREE BO</t>
  </si>
  <si>
    <t xml:space="preserve">SAB BAR NUTRILA 500G</t>
  </si>
  <si>
    <t xml:space="preserve">GEL EX-SET ROXO 250G</t>
  </si>
  <si>
    <t xml:space="preserve">THREE BOND 20G</t>
  </si>
  <si>
    <t xml:space="preserve">VASSOURA SUTILE C/CA</t>
  </si>
  <si>
    <t xml:space="preserve">VASSOURA PLURI C/CAB</t>
  </si>
  <si>
    <t xml:space="preserve">ACENDEDOR BIC MULTIU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</si>
  <si>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</si>
  <si>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</si>
  <si>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</si>
  <si>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</si>
  <si>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MOCOQUINHA 200ML</t>
  </si>
  <si>
    <t xml:space="preserve">EXTRATO DE TOMATE BONARE 190G</t>
  </si>
  <si>
    <t xml:space="preserve">KETCHUP BONARE 190G</t>
  </si>
  <si>
    <t xml:space="preserve">DULEIT SABOR MORANGO</t>
  </si>
  <si>
    <t xml:space="preserve">LEITE EM PO INTEGRAL DULEIT 400G</t>
  </si>
  <si>
    <t xml:space="preserve">DULEIT MIST P/CH400G</t>
  </si>
  <si>
    <t xml:space="preserve">MILHO BONARE 170G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</si>
  <si>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</si>
  <si>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</si>
  <si>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</si>
  <si>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</si>
  <si>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</si>
  <si>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FARINHA LACTEA MARAT</t>
  </si>
  <si>
    <t xml:space="preserve">CERV BRAHMA ZERO 350ML</t>
  </si>
  <si>
    <t xml:space="preserve">RED BULL 250ML</t>
  </si>
  <si>
    <t xml:space="preserve">GUARANA SODA ANTAR</t>
  </si>
  <si>
    <t xml:space="preserve">CERVEJA LATA SKOL PI</t>
  </si>
  <si>
    <t xml:space="preserve">CERVEJÃO SKOL DE 1LI</t>
  </si>
  <si>
    <t xml:space="preserve">HALLS CEREJA 28G</t>
  </si>
  <si>
    <t xml:space="preserve">HALLS MELANCIA 28G</t>
  </si>
  <si>
    <t xml:space="preserve">MICHELOB ULTRA N LT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</si>
  <si>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</si>
  <si>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</si>
  <si>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</si>
  <si>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</si>
  <si>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</si>
  <si>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BISCOITOS DA MARIA S</t>
  </si>
  <si>
    <t xml:space="preserve">NESCAU 200G</t>
  </si>
  <si>
    <t xml:space="preserve">MILHO VERDE OLE 190G</t>
  </si>
  <si>
    <t xml:space="preserve">KETCHUP OLE SACHE 30</t>
  </si>
  <si>
    <t xml:space="preserve">DOCE DE LEITE DOCES</t>
  </si>
  <si>
    <t xml:space="preserve">ESSENCIA DE BAUNILHA</t>
  </si>
  <si>
    <t xml:space="preserve">LAMPADA QLUZ LED ALTA POTENCIA 50W</t>
  </si>
  <si>
    <t xml:space="preserve">FIO DENTAL DENTAL FLEX 12X100M</t>
  </si>
  <si>
    <t xml:space="preserve">LAMPADA QLUZ LED 07W BIV</t>
  </si>
  <si>
    <t xml:space="preserve">VELAS D'LUZ 8UN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</si>
  <si>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</si>
  <si>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</si>
  <si>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</si>
  <si>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</si>
  <si>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VELAS COMETA CARTUCH</t>
  </si>
  <si>
    <t xml:space="preserve">VELAS ESTRELA C/8</t>
  </si>
  <si>
    <t xml:space="preserve">ACENDEDOR DE CHURRASQUEIRA D'LUZ</t>
  </si>
  <si>
    <t xml:space="preserve">VELA 7 DIA DLUZVER</t>
  </si>
  <si>
    <t xml:space="preserve">VELA 7 DIAS DLUZ AMA</t>
  </si>
  <si>
    <t xml:space="preserve">VELA COMETA 7DIAS BR</t>
  </si>
  <si>
    <t xml:space="preserve">VELAS COMETA 8UN 22G</t>
  </si>
  <si>
    <t xml:space="preserve">VELAS D LUZ BRANC</t>
  </si>
  <si>
    <t xml:space="preserve">VELA COM PARAFINA VOTIVA  VERDE</t>
  </si>
  <si>
    <t xml:space="preserve">VELA COM PARAFINA VOTIVA VM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</si>
  <si>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</si>
  <si>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</si>
  <si>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</si>
  <si>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</si>
  <si>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</si>
  <si>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</si>
  <si>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</si>
  <si>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</si>
  <si>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</si>
  <si>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</si>
  <si>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</si>
  <si>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</si>
  <si>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</si>
  <si>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</si>
  <si>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</si>
  <si>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</si>
  <si>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</si>
  <si>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</si>
  <si>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</si>
  <si>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</si>
  <si>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</si>
  <si>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</si>
  <si>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</si>
  <si>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</si>
  <si>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</si>
  <si>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</si>
  <si>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</si>
  <si>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</si>
  <si>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</si>
  <si>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</si>
  <si>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</si>
  <si>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</si>
  <si>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</si>
  <si>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</si>
  <si>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</si>
  <si>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</si>
  <si>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</si>
  <si>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</si>
  <si>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</si>
  <si>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</si>
  <si>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</si>
  <si>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</si>
  <si>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</si>
  <si>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</si>
  <si>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</si>
  <si>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</si>
  <si>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</si>
  <si>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</si>
  <si>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</si>
  <si>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</si>
  <si>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</si>
  <si>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</si>
  <si>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</si>
  <si>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</si>
  <si>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</si>
  <si>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</si>
  <si>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</si>
  <si>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</si>
  <si>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</si>
  <si>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</si>
  <si>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</si>
  <si>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</si>
  <si>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</si>
  <si>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</si>
  <si>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</si>
  <si>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</si>
  <si>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</si>
  <si>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</si>
  <si>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</si>
  <si>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</si>
  <si>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</si>
  <si>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</si>
  <si>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</si>
  <si>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</si>
  <si>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</si>
  <si>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</si>
  <si>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</si>
  <si>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</si>
  <si>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</si>
  <si>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</si>
  <si>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</si>
  <si>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PH FLORAL 4UNI NEUTR</t>
  </si>
  <si>
    <t xml:space="preserve">PAP HIG FLORAL PERFU</t>
  </si>
  <si>
    <t xml:space="preserve">PAPEL TOALHA SCALA N</t>
  </si>
  <si>
    <t xml:space="preserve">PALITO DENTE THEOTO</t>
  </si>
  <si>
    <t xml:space="preserve">COPO DESC COPOBRAS B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</si>
  <si>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</si>
  <si>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</si>
  <si>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</si>
  <si>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</si>
  <si>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</si>
  <si>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</si>
  <si>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</si>
  <si>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</si>
  <si>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</si>
  <si>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</si>
  <si>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</si>
  <si>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</si>
  <si>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</si>
  <si>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</si>
  <si>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</si>
  <si>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</si>
  <si>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</si>
  <si>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</si>
  <si>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</si>
  <si>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CARN 200</t>
  </si>
  <si>
    <t xml:space="preserve">SOPAO MAGGI GALINHA</t>
  </si>
  <si>
    <t xml:space="preserve">KANINA CARNE ADULTO</t>
  </si>
  <si>
    <t xml:space="preserve">NESQUIK 380G</t>
  </si>
  <si>
    <t xml:space="preserve">BEBIDA LNESTON 280ML</t>
  </si>
  <si>
    <t xml:space="preserve">AVEIA NESTL FLO 170G</t>
  </si>
  <si>
    <t xml:space="preserve">MUCILON MULTCER 600G</t>
  </si>
  <si>
    <t xml:space="preserve">KIT KAT LEITE 41,5G</t>
  </si>
  <si>
    <t xml:space="preserve">SRT AMOR TABLETE RECHEADO 4(14X90G)BR</t>
  </si>
  <si>
    <t xml:space="preserve">SABOR A MI T COMP C/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</si>
  <si>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</si>
  <si>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</si>
  <si>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</si>
  <si>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</si>
  <si>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</si>
  <si>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</si>
  <si>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HELLMANNS SH 200G</t>
  </si>
  <si>
    <t xml:space="preserve">MAIONESE QUERO SH 200G</t>
  </si>
  <si>
    <t xml:space="preserve">LAV ROUP CONC BRIN2L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</si>
  <si>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</si>
  <si>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</si>
  <si>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</si>
  <si>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</si>
  <si>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</si>
  <si>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</si>
  <si>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</si>
  <si>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</si>
  <si>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</si>
  <si>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</si>
  <si>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</si>
  <si>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PICOLE TOYTO CHOC</t>
  </si>
  <si>
    <t xml:space="preserve">PICOLE KITOYA COCO</t>
  </si>
  <si>
    <t xml:space="preserve">BATATA PALITO CONG A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</si>
  <si>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</si>
  <si>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</si>
  <si>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</si>
  <si>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</si>
  <si>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</si>
  <si>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</si>
  <si>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TODDYNHO CHOCOLATE</t>
  </si>
  <si>
    <t xml:space="preserve">ÁGUA COCO KERO 1L</t>
  </si>
  <si>
    <t xml:space="preserve">CHEETOS BOLA 33G</t>
  </si>
  <si>
    <t xml:space="preserve">CEBOLITOS 35G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</si>
  <si>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</si>
  <si>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</si>
  <si>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</si>
  <si>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</si>
  <si>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</si>
  <si>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</si>
  <si>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</si>
  <si>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</si>
  <si>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</si>
  <si>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</si>
  <si>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</si>
  <si>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</si>
  <si>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INSET. RAID PROT420M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</si>
  <si>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</si>
  <si>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</si>
  <si>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</si>
  <si>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</si>
  <si>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</si>
  <si>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</si>
  <si>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</si>
  <si>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</si>
  <si>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</si>
  <si>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BOM AR GLADE LAVANDA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</si>
  <si>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</si>
  <si>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</si>
  <si>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</si>
  <si>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</si>
  <si>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</si>
  <si>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</si>
  <si>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BOM AR GLADE FRUTAS</t>
  </si>
  <si>
    <t xml:space="preserve">PEDRA SANITARIA S.PA</t>
  </si>
  <si>
    <t xml:space="preserve">PEDRRA PATO OINHO 1G</t>
  </si>
  <si>
    <t xml:space="preserve">COND.ELS HIDR200ML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</si>
  <si>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</si>
  <si>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</si>
  <si>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</si>
  <si>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</si>
  <si>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</si>
  <si>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</si>
  <si>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</si>
  <si>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</si>
  <si>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COND ELSEVE GLYCOLIC</t>
  </si>
  <si>
    <t xml:space="preserve">SH ELSEVE GLYCOLIC G</t>
  </si>
  <si>
    <t xml:space="preserve">INSETIC RAID AERO BA</t>
  </si>
  <si>
    <t xml:space="preserve">FRALDA LOONEY TUNES</t>
  </si>
  <si>
    <t xml:space="preserve">KIT SH275+CO175ML NI</t>
  </si>
  <si>
    <t xml:space="preserve">ESMAL COLORAMA COBER</t>
  </si>
  <si>
    <t xml:space="preserve">ELSEVE CO 200ML LISO</t>
  </si>
  <si>
    <t xml:space="preserve">ELSEVE SH 200ML LISO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</si>
  <si>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</si>
  <si>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</si>
  <si>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</si>
  <si>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</si>
  <si>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</si>
  <si>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</si>
  <si>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</si>
  <si>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</si>
  <si>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FRALDA LOONEY TUNES JUMBINHO XXG 12UN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</si>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</sst>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_-* #,##0.00_-;\-* #,##0.00_-;_-* \-??_-;_-@_-"/>
    <numFmt numFmtId="173" formatCode="&quot;R$ &quot;#,##0.00"/>
    <numFmt numFmtId="174" formatCode="dd/mm/yyyy"/>
    <numFmt numFmtId="175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0" t="str">
        <f aca="false">IFERROR(INDEX('Mov Entradas (Rel 10497)'!$L:$L,MATCH(AC11,'Mov Entradas (Rel 10497)'!$I:$I,0)),"nao encontrado")</f>
        <v>nao encontrado</v>
      </c>
      <c r="AC11" s="0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0" t="str">
        <f aca="false">IFERROR(INDEX('Mov Entradas (Rel 10497)'!$L:$L,MATCH(AC12,'Mov Entradas (Rel 10497)'!$I:$I,0)),"nao encontrado")</f>
        <v>nao encontrado</v>
      </c>
      <c r="AC12" s="0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0" t="str">
        <f aca="false">IFERROR(INDEX('Mov Entradas (Rel 10497)'!$L:$L,MATCH(AC13,'Mov Entradas (Rel 10497)'!$I:$I,0)),"nao encontrado")</f>
        <v>nao encontrado</v>
      </c>
      <c r="AC13" s="0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0" t="str">
        <f aca="false">IFERROR(INDEX('Mov Entradas (Rel 10497)'!$L:$L,MATCH(AC14,'Mov Entradas (Rel 10497)'!$I:$I,0)),"nao encontrado")</f>
        <v>nao encontrado</v>
      </c>
      <c r="AC14" s="0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0" t="str">
        <f aca="false">IFERROR(INDEX('Mov Entradas (Rel 10497)'!$L:$L,MATCH(AC15,'Mov Entradas (Rel 10497)'!$I:$I,0)),"nao encontrado")</f>
        <v>nao encontrado</v>
      </c>
      <c r="AC15" s="0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0" t="str">
        <f aca="false">IFERROR(INDEX('Mov Entradas (Rel 10497)'!$L:$L,MATCH(AC16,'Mov Entradas (Rel 10497)'!$I:$I,0)),"nao encontrado")</f>
        <v>nao encontrado</v>
      </c>
      <c r="AC16" s="0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0" t="str">
        <f aca="false">IFERROR(INDEX('Mov Entradas (Rel 10497)'!$L:$L,MATCH(AC17,'Mov Entradas (Rel 10497)'!$I:$I,0)),"nao encontrado")</f>
        <v>nao encontrado</v>
      </c>
      <c r="AC17" s="0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0" t="str">
        <f aca="false">IFERROR(INDEX('Mov Entradas (Rel 10497)'!$L:$L,MATCH(AC18,'Mov Entradas (Rel 10497)'!$I:$I,0)),"nao encontrado")</f>
        <v>nao encontrado</v>
      </c>
      <c r="AC18" s="0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0" t="str">
        <f aca="false">IFERROR(INDEX('Mov Entradas (Rel 10497)'!$L:$L,MATCH(AC19,'Mov Entradas (Rel 10497)'!$I:$I,0)),"nao encontrado")</f>
        <v>nao encontrado</v>
      </c>
      <c r="AC19" s="0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0" t="str">
        <f aca="false">IFERROR(INDEX('Mov Entradas (Rel 10497)'!$L:$L,MATCH(AC21,'Mov Entradas (Rel 10497)'!$I:$I,0)),"nao encontrado")</f>
        <v>nao encontrado</v>
      </c>
      <c r="AC21" s="0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0" t="str">
        <f aca="false">IFERROR(INDEX('Mov Entradas (Rel 10497)'!$L:$L,MATCH(AC22,'Mov Entradas (Rel 10497)'!$I:$I,0)),"nao encontrado")</f>
        <v>nao encontrado</v>
      </c>
      <c r="AC22" s="0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0" t="str">
        <f aca="false">IFERROR(INDEX('Mov Entradas (Rel 10497)'!$L:$L,MATCH(AC23,'Mov Entradas (Rel 10497)'!$I:$I,0)),"nao encontrado")</f>
        <v>nao encontrado</v>
      </c>
      <c r="AC23" s="0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0" t="str">
        <f aca="false">IFERROR(INDEX('Mov Entradas (Rel 10497)'!$L:$L,MATCH(AC26,'Mov Entradas (Rel 10497)'!$I:$I,0)),"nao encontrado")</f>
        <v>nao encontrado</v>
      </c>
      <c r="AC26" s="0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0" t="str">
        <f aca="false">IFERROR(INDEX('Mov Entradas (Rel 10497)'!$L:$L,MATCH(AC54,'Mov Entradas (Rel 10497)'!$I:$I,0)),"nao encontrado")</f>
        <v>nao encontrado</v>
      </c>
      <c r="AC54" s="0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0" t="str">
        <f aca="false">IFERROR(INDEX('Mov Entradas (Rel 10497)'!$L:$L,MATCH(AC55,'Mov Entradas (Rel 10497)'!$I:$I,0)),"nao encontrado")</f>
        <v>nao encontrado</v>
      </c>
      <c r="AC55" s="0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0" t="str">
        <f aca="false">IFERROR(INDEX('Mov Entradas (Rel 10497)'!$L:$L,MATCH(AC57,'Mov Entradas (Rel 10497)'!$I:$I,0)),"nao encontrado")</f>
        <v>nao encontrado</v>
      </c>
      <c r="AC57" s="0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0" t="str">
        <f aca="false">IFERROR(INDEX('Mov Entradas (Rel 10497)'!$L:$L,MATCH(AC58,'Mov Entradas (Rel 10497)'!$I:$I,0)),"nao encontrado")</f>
        <v>nao encontrado</v>
      </c>
      <c r="AC58" s="0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0" t="str">
        <f aca="false">IFERROR(INDEX('Mov Entradas (Rel 10497)'!$L:$L,MATCH(AC59,'Mov Entradas (Rel 10497)'!$I:$I,0)),"nao encontrado")</f>
        <v>nao encontrado</v>
      </c>
      <c r="AC59" s="0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0" t="str">
        <f aca="false">IFERROR(INDEX('Mov Entradas (Rel 10497)'!$L:$L,MATCH(AC60,'Mov Entradas (Rel 10497)'!$I:$I,0)),"nao encontrado")</f>
        <v>nao encontrado</v>
      </c>
      <c r="AC60" s="0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0" t="str">
        <f aca="false">IFERROR(INDEX('Mov Entradas (Rel 10497)'!$L:$L,MATCH(AC61,'Mov Entradas (Rel 10497)'!$I:$I,0)),"nao encontrado")</f>
        <v>nao encontrado</v>
      </c>
      <c r="AC61" s="0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0" t="str">
        <f aca="false">IFERROR(INDEX('Mov Entradas (Rel 10497)'!$L:$L,MATCH(AC62,'Mov Entradas (Rel 10497)'!$I:$I,0)),"nao encontrado")</f>
        <v>nao encontrado</v>
      </c>
      <c r="AC62" s="0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0" t="str">
        <f aca="false">IFERROR(INDEX('Mov Entradas (Rel 10497)'!$L:$L,MATCH(AC64,'Mov Entradas (Rel 10497)'!$I:$I,0)),"nao encontrado")</f>
        <v>nao encontrado</v>
      </c>
      <c r="AC64" s="0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0" t="str">
        <f aca="false">IFERROR(INDEX('Mov Entradas (Rel 10497)'!$L:$L,MATCH(AC66,'Mov Entradas (Rel 10497)'!$I:$I,0)),"nao encontrado")</f>
        <v>nao encontrado</v>
      </c>
      <c r="AC66" s="0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0" t="str">
        <f aca="false">IFERROR(INDEX('Mov Entradas (Rel 10497)'!$L:$L,MATCH(AC67,'Mov Entradas (Rel 10497)'!$I:$I,0)),"nao encontrado")</f>
        <v>DAN GELO CUBO 5 KG</v>
      </c>
      <c r="AC67" s="0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0" t="str">
        <f aca="false">IFERROR(INDEX('Mov Entradas (Rel 10497)'!$L:$L,MATCH(AC75,'Mov Entradas (Rel 10497)'!$I:$I,0)),"nao encontrado")</f>
        <v>nao encontrado</v>
      </c>
      <c r="AC75" s="0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0" t="str">
        <f aca="false">IFERROR(INDEX('Mov Entradas (Rel 10497)'!$L:$L,MATCH(AC76,'Mov Entradas (Rel 10497)'!$I:$I,0)),"nao encontrado")</f>
        <v>nao encontrado</v>
      </c>
      <c r="AC76" s="0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0" t="str">
        <f aca="false">IFERROR(INDEX('Mov Entradas (Rel 10497)'!$L:$L,MATCH(AC77,'Mov Entradas (Rel 10497)'!$I:$I,0)),"nao encontrado")</f>
        <v>nao encontrado</v>
      </c>
      <c r="AC77" s="0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0" t="str">
        <f aca="false">IFERROR(INDEX('Mov Entradas (Rel 10497)'!$L:$L,MATCH(AC78,'Mov Entradas (Rel 10497)'!$I:$I,0)),"nao encontrado")</f>
        <v>nao encontrado</v>
      </c>
      <c r="AC78" s="0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0" t="str">
        <f aca="false">IFERROR(INDEX('Mov Entradas (Rel 10497)'!$L:$L,MATCH(AC79,'Mov Entradas (Rel 10497)'!$I:$I,0)),"nao encontrado")</f>
        <v>nao encontrado</v>
      </c>
      <c r="AC79" s="0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0" t="str">
        <f aca="false">IFERROR(INDEX('Mov Entradas (Rel 10497)'!$L:$L,MATCH(AC80,'Mov Entradas (Rel 10497)'!$I:$I,0)),"nao encontrado")</f>
        <v>nao encontrado</v>
      </c>
      <c r="AC80" s="0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0" t="str">
        <f aca="false">IFERROR(INDEX('Mov Entradas (Rel 10497)'!$L:$L,MATCH(AC81,'Mov Entradas (Rel 10497)'!$I:$I,0)),"nao encontrado")</f>
        <v>nao encontrado</v>
      </c>
      <c r="AC81" s="0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0" t="str">
        <f aca="false">IFERROR(INDEX('Mov Entradas (Rel 10497)'!$L:$L,MATCH(AC82,'Mov Entradas (Rel 10497)'!$I:$I,0)),"nao encontrado")</f>
        <v>nao encontrado</v>
      </c>
      <c r="AC82" s="0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0" t="str">
        <f aca="false">IFERROR(INDEX('Mov Entradas (Rel 10497)'!$L:$L,MATCH(AC83,'Mov Entradas (Rel 10497)'!$I:$I,0)),"nao encontrado")</f>
        <v>nao encontrado</v>
      </c>
      <c r="AC83" s="0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0" t="str">
        <f aca="false">IFERROR(INDEX('Mov Entradas (Rel 10497)'!$L:$L,MATCH(AC84,'Mov Entradas (Rel 10497)'!$I:$I,0)),"nao encontrado")</f>
        <v>nao encontrado</v>
      </c>
      <c r="AC84" s="0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0" t="str">
        <f aca="false">IFERROR(INDEX('Mov Entradas (Rel 10497)'!$L:$L,MATCH(AC85,'Mov Entradas (Rel 10497)'!$I:$I,0)),"nao encontrado")</f>
        <v>nao encontrado</v>
      </c>
      <c r="AC85" s="0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0" t="str">
        <f aca="false">IFERROR(INDEX('Mov Entradas (Rel 10497)'!$L:$L,MATCH(AC86,'Mov Entradas (Rel 10497)'!$I:$I,0)),"nao encontrado")</f>
        <v>nao encontrado</v>
      </c>
      <c r="AC86" s="0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0" t="str">
        <f aca="false">IFERROR(INDEX('Mov Entradas (Rel 10497)'!$L:$L,MATCH(AC87,'Mov Entradas (Rel 10497)'!$I:$I,0)),"nao encontrado")</f>
        <v>nao encontrado</v>
      </c>
      <c r="AC87" s="0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0" t="str">
        <f aca="false">IFERROR(INDEX('Mov Entradas (Rel 10497)'!$L:$L,MATCH(AC88,'Mov Entradas (Rel 10497)'!$I:$I,0)),"nao encontrado")</f>
        <v>nao encontrado</v>
      </c>
      <c r="AC88" s="0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0" t="str">
        <f aca="false">IFERROR(INDEX('Mov Entradas (Rel 10497)'!$L:$L,MATCH(AC89,'Mov Entradas (Rel 10497)'!$I:$I,0)),"nao encontrado")</f>
        <v>nao encontrado</v>
      </c>
      <c r="AC89" s="0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0" t="str">
        <f aca="false">IFERROR(INDEX('Mov Entradas (Rel 10497)'!$L:$L,MATCH(AC90,'Mov Entradas (Rel 10497)'!$I:$I,0)),"nao encontrado")</f>
        <v>nao encontrado</v>
      </c>
      <c r="AC90" s="0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0" t="str">
        <f aca="false">IFERROR(INDEX('Mov Entradas (Rel 10497)'!$L:$L,MATCH(AC91,'Mov Entradas (Rel 10497)'!$I:$I,0)),"nao encontrado")</f>
        <v>nao encontrado</v>
      </c>
      <c r="AC91" s="0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0" t="str">
        <f aca="false">IFERROR(INDEX('Mov Entradas (Rel 10497)'!$L:$L,MATCH(AC92,'Mov Entradas (Rel 10497)'!$I:$I,0)),"nao encontrado")</f>
        <v>nao encontrado</v>
      </c>
      <c r="AC92" s="0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0" t="str">
        <f aca="false">IFERROR(INDEX('Mov Entradas (Rel 10497)'!$L:$L,MATCH(AC93,'Mov Entradas (Rel 10497)'!$I:$I,0)),"nao encontrado")</f>
        <v>nao encontrado</v>
      </c>
      <c r="AC93" s="0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0" t="str">
        <f aca="false">IFERROR(INDEX('Mov Entradas (Rel 10497)'!$L:$L,MATCH(AC99,'Mov Entradas (Rel 10497)'!$I:$I,0)),"nao encontrado")</f>
        <v>nao encontrado</v>
      </c>
      <c r="AC99" s="0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0" t="str">
        <f aca="false">IFERROR(INDEX('Mov Entradas (Rel 10497)'!$L:$L,MATCH(AC100,'Mov Entradas (Rel 10497)'!$I:$I,0)),"nao encontrado")</f>
        <v>nao encontrado</v>
      </c>
      <c r="AC100" s="0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0" t="str">
        <f aca="false">IFERROR(INDEX('Mov Entradas (Rel 10497)'!$L:$L,MATCH(AC101,'Mov Entradas (Rel 10497)'!$I:$I,0)),"nao encontrado")</f>
        <v>nao encontrado</v>
      </c>
      <c r="AC101" s="0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0" t="str">
        <f aca="false">IFERROR(INDEX('Mov Entradas (Rel 10497)'!$L:$L,MATCH(AC102,'Mov Entradas (Rel 10497)'!$I:$I,0)),"nao encontrado")</f>
        <v>nao encontrado</v>
      </c>
      <c r="AC102" s="0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0" t="str">
        <f aca="false">IFERROR(INDEX('Mov Entradas (Rel 10497)'!$L:$L,MATCH(AC103,'Mov Entradas (Rel 10497)'!$I:$I,0)),"nao encontrado")</f>
        <v>nao encontrado</v>
      </c>
      <c r="AC103" s="0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0" t="str">
        <f aca="false">IFERROR(INDEX('Mov Entradas (Rel 10497)'!$L:$L,MATCH(AC104,'Mov Entradas (Rel 10497)'!$I:$I,0)),"nao encontrado")</f>
        <v>nao encontrado</v>
      </c>
      <c r="AC104" s="0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0" t="str">
        <f aca="false">IFERROR(INDEX('Mov Entradas (Rel 10497)'!$L:$L,MATCH(AC105,'Mov Entradas (Rel 10497)'!$I:$I,0)),"nao encontrado")</f>
        <v>nao encontrado</v>
      </c>
      <c r="AC105" s="0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0" t="str">
        <f aca="false">IFERROR(INDEX('Mov Entradas (Rel 10497)'!$L:$L,MATCH(AC106,'Mov Entradas (Rel 10497)'!$I:$I,0)),"nao encontrado")</f>
        <v>nao encontrado</v>
      </c>
      <c r="AC106" s="0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0" t="str">
        <f aca="false">IFERROR(INDEX('Mov Entradas (Rel 10497)'!$L:$L,MATCH(AC107,'Mov Entradas (Rel 10497)'!$I:$I,0)),"nao encontrado")</f>
        <v>nao encontrado</v>
      </c>
      <c r="AC107" s="0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0" t="str">
        <f aca="false">IFERROR(INDEX('Mov Entradas (Rel 10497)'!$L:$L,MATCH(AC109,'Mov Entradas (Rel 10497)'!$I:$I,0)),"nao encontrado")</f>
        <v>nao encontrado</v>
      </c>
      <c r="AC109" s="0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0" t="str">
        <f aca="false">IFERROR(INDEX('Mov Entradas (Rel 10497)'!$L:$L,MATCH(AC110,'Mov Entradas (Rel 10497)'!$I:$I,0)),"nao encontrado")</f>
        <v>nao encontrado</v>
      </c>
      <c r="AC110" s="0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0" t="str">
        <f aca="false">IFERROR(INDEX('Mov Entradas (Rel 10497)'!$L:$L,MATCH(AC111,'Mov Entradas (Rel 10497)'!$I:$I,0)),"nao encontrado")</f>
        <v>nao encontrado</v>
      </c>
      <c r="AC111" s="0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0" t="str">
        <f aca="false">IFERROR(INDEX('Mov Entradas (Rel 10497)'!$L:$L,MATCH(AC112,'Mov Entradas (Rel 10497)'!$I:$I,0)),"nao encontrado")</f>
        <v>nao encontrado</v>
      </c>
      <c r="AC112" s="0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0" t="str">
        <f aca="false">IFERROR(INDEX('Mov Entradas (Rel 10497)'!$L:$L,MATCH(AC113,'Mov Entradas (Rel 10497)'!$I:$I,0)),"nao encontrado")</f>
        <v>nao encontrado</v>
      </c>
      <c r="AC113" s="0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0" t="str">
        <f aca="false">IFERROR(INDEX('Mov Entradas (Rel 10497)'!$L:$L,MATCH(AC114,'Mov Entradas (Rel 10497)'!$I:$I,0)),"nao encontrado")</f>
        <v>nao encontrado</v>
      </c>
      <c r="AC114" s="0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0" t="str">
        <f aca="false">IFERROR(INDEX('Mov Entradas (Rel 10497)'!$L:$L,MATCH(AC117,'Mov Entradas (Rel 10497)'!$I:$I,0)),"nao encontrado")</f>
        <v>nao encontrado</v>
      </c>
      <c r="AC117" s="0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0" t="str">
        <f aca="false">IFERROR(INDEX('Mov Entradas (Rel 10497)'!$L:$L,MATCH(AC118,'Mov Entradas (Rel 10497)'!$I:$I,0)),"nao encontrado")</f>
        <v>nao encontrado</v>
      </c>
      <c r="AC118" s="0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0" t="str">
        <f aca="false">IFERROR(INDEX('Mov Entradas (Rel 10497)'!$L:$L,MATCH(AC119,'Mov Entradas (Rel 10497)'!$I:$I,0)),"nao encontrado")</f>
        <v>nao encontrado</v>
      </c>
      <c r="AC119" s="0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0" t="str">
        <f aca="false">IFERROR(INDEX('Mov Entradas (Rel 10497)'!$L:$L,MATCH(AC120,'Mov Entradas (Rel 10497)'!$I:$I,0)),"nao encontrado")</f>
        <v>nao encontrado</v>
      </c>
      <c r="AC120" s="0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0" t="str">
        <f aca="false">IFERROR(INDEX('Mov Entradas (Rel 10497)'!$L:$L,MATCH(AC160,'Mov Entradas (Rel 10497)'!$I:$I,0)),"nao encontrado")</f>
        <v>nao encontrado</v>
      </c>
      <c r="AC160" s="0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0" t="str">
        <f aca="false">IFERROR(INDEX('Mov Entradas (Rel 10497)'!$L:$L,MATCH(AC162,'Mov Entradas (Rel 10497)'!$I:$I,0)),"nao encontrado")</f>
        <v>nao encontrado</v>
      </c>
      <c r="AC162" s="0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0" t="str">
        <f aca="false">IFERROR(INDEX('Mov Entradas (Rel 10497)'!$L:$L,MATCH(AC163,'Mov Entradas (Rel 10497)'!$I:$I,0)),"nao encontrado")</f>
        <v>nao encontrado</v>
      </c>
      <c r="AC163" s="0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0" t="str">
        <f aca="false">IFERROR(INDEX('Mov Entradas (Rel 10497)'!$L:$L,MATCH(AC164,'Mov Entradas (Rel 10497)'!$I:$I,0)),"nao encontrado")</f>
        <v>nao encontrado</v>
      </c>
      <c r="AC164" s="0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0" t="str">
        <f aca="false">IFERROR(INDEX('Mov Entradas (Rel 10497)'!$L:$L,MATCH(AC165,'Mov Entradas (Rel 10497)'!$I:$I,0)),"nao encontrado")</f>
        <v>nao encontrado</v>
      </c>
      <c r="AC165" s="0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0" t="str">
        <f aca="false">IFERROR(INDEX('Mov Entradas (Rel 10497)'!$L:$L,MATCH(AC166,'Mov Entradas (Rel 10497)'!$I:$I,0)),"nao encontrado")</f>
        <v>nao encontrado</v>
      </c>
      <c r="AC166" s="0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0" t="str">
        <f aca="false">IFERROR(INDEX('Mov Entradas (Rel 10497)'!$L:$L,MATCH(AC167,'Mov Entradas (Rel 10497)'!$I:$I,0)),"nao encontrado")</f>
        <v>nao encontrado</v>
      </c>
      <c r="AC167" s="0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0" t="str">
        <f aca="false">IFERROR(INDEX('Mov Entradas (Rel 10497)'!$L:$L,MATCH(AC168,'Mov Entradas (Rel 10497)'!$I:$I,0)),"nao encontrado")</f>
        <v>nao encontrado</v>
      </c>
      <c r="AC168" s="0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0" t="str">
        <f aca="false">IFERROR(INDEX('Mov Entradas (Rel 10497)'!$L:$L,MATCH(AC169,'Mov Entradas (Rel 10497)'!$I:$I,0)),"nao encontrado")</f>
        <v>nao encontrado</v>
      </c>
      <c r="AC169" s="0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0" t="str">
        <f aca="false">IFERROR(INDEX('Mov Entradas (Rel 10497)'!$L:$L,MATCH(AC170,'Mov Entradas (Rel 10497)'!$I:$I,0)),"nao encontrado")</f>
        <v>nao encontrado</v>
      </c>
      <c r="AC170" s="0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0" t="str">
        <f aca="false">IFERROR(INDEX('Mov Entradas (Rel 10497)'!$L:$L,MATCH(AC171,'Mov Entradas (Rel 10497)'!$I:$I,0)),"nao encontrado")</f>
        <v>nao encontrado</v>
      </c>
      <c r="AC171" s="0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0" t="str">
        <f aca="false">IFERROR(INDEX('Mov Entradas (Rel 10497)'!$L:$L,MATCH(AC172,'Mov Entradas (Rel 10497)'!$I:$I,0)),"nao encontrado")</f>
        <v>nao encontrado</v>
      </c>
      <c r="AC172" s="0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0" t="str">
        <f aca="false">IFERROR(INDEX('Mov Entradas (Rel 10497)'!$L:$L,MATCH(AC173,'Mov Entradas (Rel 10497)'!$I:$I,0)),"nao encontrado")</f>
        <v>nao encontrado</v>
      </c>
      <c r="AC173" s="0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0" t="str">
        <f aca="false">IFERROR(INDEX('Mov Entradas (Rel 10497)'!$L:$L,MATCH(AC174,'Mov Entradas (Rel 10497)'!$I:$I,0)),"nao encontrado")</f>
        <v>nao encontrado</v>
      </c>
      <c r="AC174" s="0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0" t="str">
        <f aca="false">IFERROR(INDEX('Mov Entradas (Rel 10497)'!$L:$L,MATCH(AC175,'Mov Entradas (Rel 10497)'!$I:$I,0)),"nao encontrado")</f>
        <v>nao encontrado</v>
      </c>
      <c r="AC175" s="0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0" t="str">
        <f aca="false">IFERROR(INDEX('Mov Entradas (Rel 10497)'!$L:$L,MATCH(AC176,'Mov Entradas (Rel 10497)'!$I:$I,0)),"nao encontrado")</f>
        <v>nao encontrado</v>
      </c>
      <c r="AC176" s="0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0" t="str">
        <f aca="false">IFERROR(INDEX('Mov Entradas (Rel 10497)'!$L:$L,MATCH(AC177,'Mov Entradas (Rel 10497)'!$I:$I,0)),"nao encontrado")</f>
        <v>nao encontrado</v>
      </c>
      <c r="AC177" s="0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0" t="str">
        <f aca="false">IFERROR(INDEX('Mov Entradas (Rel 10497)'!$L:$L,MATCH(AC178,'Mov Entradas (Rel 10497)'!$I:$I,0)),"nao encontrado")</f>
        <v>nao encontrado</v>
      </c>
      <c r="AC178" s="0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0" t="str">
        <f aca="false">IFERROR(INDEX('Mov Entradas (Rel 10497)'!$L:$L,MATCH(AC179,'Mov Entradas (Rel 10497)'!$I:$I,0)),"nao encontrado")</f>
        <v>nao encontrado</v>
      </c>
      <c r="AC179" s="0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0" t="str">
        <f aca="false">IFERROR(INDEX('Mov Entradas (Rel 10497)'!$L:$L,MATCH(AC181,'Mov Entradas (Rel 10497)'!$I:$I,0)),"nao encontrado")</f>
        <v>nao encontrado</v>
      </c>
      <c r="AC181" s="0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0" t="str">
        <f aca="false">IFERROR(INDEX('Mov Entradas (Rel 10497)'!$L:$L,MATCH(AC183,'Mov Entradas (Rel 10497)'!$I:$I,0)),"nao encontrado")</f>
        <v>nao encontrado</v>
      </c>
      <c r="AC183" s="0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0" t="str">
        <f aca="false">IFERROR(INDEX('Mov Entradas (Rel 10497)'!$L:$L,MATCH(AC188,'Mov Entradas (Rel 10497)'!$I:$I,0)),"nao encontrado")</f>
        <v>nao encontrado</v>
      </c>
      <c r="AC188" s="0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0" t="str">
        <f aca="false">IFERROR(INDEX('Mov Entradas (Rel 10497)'!$L:$L,MATCH(AC189,'Mov Entradas (Rel 10497)'!$I:$I,0)),"nao encontrado")</f>
        <v>nao encontrado</v>
      </c>
      <c r="AC189" s="0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0" t="str">
        <f aca="false">IFERROR(INDEX('Mov Entradas (Rel 10497)'!$L:$L,MATCH(AC190,'Mov Entradas (Rel 10497)'!$I:$I,0)),"nao encontrado")</f>
        <v>nao encontrado</v>
      </c>
      <c r="AC190" s="0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0" t="str">
        <f aca="false">IFERROR(INDEX('Mov Entradas (Rel 10497)'!$L:$L,MATCH(AC191,'Mov Entradas (Rel 10497)'!$I:$I,0)),"nao encontrado")</f>
        <v>nao encontrado</v>
      </c>
      <c r="AC191" s="0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0" t="str">
        <f aca="false">IFERROR(INDEX('Mov Entradas (Rel 10497)'!$L:$L,MATCH(AC192,'Mov Entradas (Rel 10497)'!$I:$I,0)),"nao encontrado")</f>
        <v>nao encontrado</v>
      </c>
      <c r="AC192" s="0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0" t="str">
        <f aca="false">IFERROR(INDEX('Mov Entradas (Rel 10497)'!$L:$L,MATCH(AC193,'Mov Entradas (Rel 10497)'!$I:$I,0)),"nao encontrado")</f>
        <v>nao encontrado</v>
      </c>
      <c r="AC193" s="0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0" t="str">
        <f aca="false">IFERROR(INDEX('Mov Entradas (Rel 10497)'!$L:$L,MATCH(AC194,'Mov Entradas (Rel 10497)'!$I:$I,0)),"nao encontrado")</f>
        <v>nao encontrado</v>
      </c>
      <c r="AC194" s="0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0" t="str">
        <f aca="false">IFERROR(INDEX('Mov Entradas (Rel 10497)'!$L:$L,MATCH(AC195,'Mov Entradas (Rel 10497)'!$I:$I,0)),"nao encontrado")</f>
        <v>nao encontrado</v>
      </c>
      <c r="AC195" s="0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0" t="str">
        <f aca="false">IFERROR(INDEX('Mov Entradas (Rel 10497)'!$L:$L,MATCH(AC196,'Mov Entradas (Rel 10497)'!$I:$I,0)),"nao encontrado")</f>
        <v>nao encontrado</v>
      </c>
      <c r="AC196" s="0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0" t="str">
        <f aca="false">IFERROR(INDEX('Mov Entradas (Rel 10497)'!$L:$L,MATCH(AC197,'Mov Entradas (Rel 10497)'!$I:$I,0)),"nao encontrado")</f>
        <v>nao encontrado</v>
      </c>
      <c r="AC197" s="0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0" t="str">
        <f aca="false">IFERROR(INDEX('Mov Entradas (Rel 10497)'!$L:$L,MATCH(AC198,'Mov Entradas (Rel 10497)'!$I:$I,0)),"nao encontrado")</f>
        <v>nao encontrado</v>
      </c>
      <c r="AC198" s="0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0" t="str">
        <f aca="false">IFERROR(INDEX('Mov Entradas (Rel 10497)'!$L:$L,MATCH(AC199,'Mov Entradas (Rel 10497)'!$I:$I,0)),"nao encontrado")</f>
        <v>nao encontrado</v>
      </c>
      <c r="AC199" s="0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0" t="str">
        <f aca="false">IFERROR(INDEX('Mov Entradas (Rel 10497)'!$L:$L,MATCH(AC200,'Mov Entradas (Rel 10497)'!$I:$I,0)),"nao encontrado")</f>
        <v>nao encontrado</v>
      </c>
      <c r="AC200" s="0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0" t="str">
        <f aca="false">IFERROR(INDEX('Mov Entradas (Rel 10497)'!$L:$L,MATCH(AC201,'Mov Entradas (Rel 10497)'!$I:$I,0)),"nao encontrado")</f>
        <v>nao encontrado</v>
      </c>
      <c r="AC201" s="0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0" t="str">
        <f aca="false">IFERROR(INDEX('Mov Entradas (Rel 10497)'!$L:$L,MATCH(AC202,'Mov Entradas (Rel 10497)'!$I:$I,0)),"nao encontrado")</f>
        <v>nao encontrado</v>
      </c>
      <c r="AC202" s="0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0" t="str">
        <f aca="false">IFERROR(INDEX('Mov Entradas (Rel 10497)'!$L:$L,MATCH(AC203,'Mov Entradas (Rel 10497)'!$I:$I,0)),"nao encontrado")</f>
        <v>nao encontrado</v>
      </c>
      <c r="AC203" s="0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0" t="str">
        <f aca="false">IFERROR(INDEX('Mov Entradas (Rel 10497)'!$L:$L,MATCH(AC204,'Mov Entradas (Rel 10497)'!$I:$I,0)),"nao encontrado")</f>
        <v>nao encontrado</v>
      </c>
      <c r="AC204" s="0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0" t="str">
        <f aca="false">IFERROR(INDEX('Mov Entradas (Rel 10497)'!$L:$L,MATCH(AC205,'Mov Entradas (Rel 10497)'!$I:$I,0)),"nao encontrado")</f>
        <v>nao encontrado</v>
      </c>
      <c r="AC205" s="0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0" t="str">
        <f aca="false">IFERROR(INDEX('Mov Entradas (Rel 10497)'!$L:$L,MATCH(AC206,'Mov Entradas (Rel 10497)'!$I:$I,0)),"nao encontrado")</f>
        <v>nao encontrado</v>
      </c>
      <c r="AC206" s="0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0" t="str">
        <f aca="false">IFERROR(INDEX('Mov Entradas (Rel 10497)'!$L:$L,MATCH(AC207,'Mov Entradas (Rel 10497)'!$I:$I,0)),"nao encontrado")</f>
        <v>nao encontrado</v>
      </c>
      <c r="AC207" s="0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0" t="str">
        <f aca="false">IFERROR(INDEX('Mov Entradas (Rel 10497)'!$L:$L,MATCH(AC208,'Mov Entradas (Rel 10497)'!$I:$I,0)),"nao encontrado")</f>
        <v>nao encontrado</v>
      </c>
      <c r="AC208" s="0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0" t="str">
        <f aca="false">IFERROR(INDEX('Mov Entradas (Rel 10497)'!$L:$L,MATCH(AC209,'Mov Entradas (Rel 10497)'!$I:$I,0)),"nao encontrado")</f>
        <v>nao encontrado</v>
      </c>
      <c r="AC209" s="0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0" t="str">
        <f aca="false">IFERROR(INDEX('Mov Entradas (Rel 10497)'!$L:$L,MATCH(AC218,'Mov Entradas (Rel 10497)'!$I:$I,0)),"nao encontrado")</f>
        <v>nao encontrado</v>
      </c>
      <c r="AC218" s="0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0" t="str">
        <f aca="false">IFERROR(INDEX('Mov Entradas (Rel 10497)'!$L:$L,MATCH(AC220,'Mov Entradas (Rel 10497)'!$I:$I,0)),"nao encontrado")</f>
        <v>nao encontrado</v>
      </c>
      <c r="AC220" s="0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0" t="str">
        <f aca="false">IFERROR(INDEX('Mov Entradas (Rel 10497)'!$L:$L,MATCH(AC223,'Mov Entradas (Rel 10497)'!$I:$I,0)),"nao encontrado")</f>
        <v>nao encontrado</v>
      </c>
      <c r="AC223" s="0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0" t="str">
        <f aca="false">IFERROR(INDEX('Mov Entradas (Rel 10497)'!$L:$L,MATCH(AC224,'Mov Entradas (Rel 10497)'!$I:$I,0)),"nao encontrado")</f>
        <v>nao encontrado</v>
      </c>
      <c r="AC224" s="0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0" t="str">
        <f aca="false">IFERROR(INDEX('Mov Entradas (Rel 10497)'!$L:$L,MATCH(AC230,'Mov Entradas (Rel 10497)'!$I:$I,0)),"nao encontrado")</f>
        <v>nao encontrado</v>
      </c>
      <c r="AC230" s="0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0" t="str">
        <f aca="false">IFERROR(INDEX('Mov Entradas (Rel 10497)'!$L:$L,MATCH(AC231,'Mov Entradas (Rel 10497)'!$I:$I,0)),"nao encontrado")</f>
        <v>nao encontrado</v>
      </c>
      <c r="AC231" s="0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0" t="str">
        <f aca="false">IFERROR(INDEX('Mov Entradas (Rel 10497)'!$L:$L,MATCH(AC232,'Mov Entradas (Rel 10497)'!$I:$I,0)),"nao encontrado")</f>
        <v>nao encontrado</v>
      </c>
      <c r="AC232" s="0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0" t="str">
        <f aca="false">IFERROR(INDEX('Mov Entradas (Rel 10497)'!$L:$L,MATCH(AC233,'Mov Entradas (Rel 10497)'!$I:$I,0)),"nao encontrado")</f>
        <v>nao encontrado</v>
      </c>
      <c r="AC233" s="0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0" t="str">
        <f aca="false">IFERROR(INDEX('Mov Entradas (Rel 10497)'!$L:$L,MATCH(AC234,'Mov Entradas (Rel 10497)'!$I:$I,0)),"nao encontrado")</f>
        <v>nao encontrado</v>
      </c>
      <c r="AC234" s="0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0" t="str">
        <f aca="false">IFERROR(INDEX('Mov Entradas (Rel 10497)'!$L:$L,MATCH(AC235,'Mov Entradas (Rel 10497)'!$I:$I,0)),"nao encontrado")</f>
        <v>nao encontrado</v>
      </c>
      <c r="AC235" s="0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0" t="str">
        <f aca="false">IFERROR(INDEX('Mov Entradas (Rel 10497)'!$L:$L,MATCH(AC236,'Mov Entradas (Rel 10497)'!$I:$I,0)),"nao encontrado")</f>
        <v>nao encontrado</v>
      </c>
      <c r="AC236" s="0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0" t="str">
        <f aca="false">IFERROR(INDEX('Mov Entradas (Rel 10497)'!$L:$L,MATCH(AC237,'Mov Entradas (Rel 10497)'!$I:$I,0)),"nao encontrado")</f>
        <v>nao encontrado</v>
      </c>
      <c r="AC237" s="0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0" t="str">
        <f aca="false">IFERROR(INDEX('Mov Entradas (Rel 10497)'!$L:$L,MATCH(AC238,'Mov Entradas (Rel 10497)'!$I:$I,0)),"nao encontrado")</f>
        <v>nao encontrado</v>
      </c>
      <c r="AC238" s="0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0" t="str">
        <f aca="false">IFERROR(INDEX('Mov Entradas (Rel 10497)'!$L:$L,MATCH(AC239,'Mov Entradas (Rel 10497)'!$I:$I,0)),"nao encontrado")</f>
        <v>nao encontrado</v>
      </c>
      <c r="AC239" s="0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0" t="str">
        <f aca="false">IFERROR(INDEX('Mov Entradas (Rel 10497)'!$L:$L,MATCH(AC240,'Mov Entradas (Rel 10497)'!$I:$I,0)),"nao encontrado")</f>
        <v>nao encontrado</v>
      </c>
      <c r="AC240" s="0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0" t="str">
        <f aca="false">IFERROR(INDEX('Mov Entradas (Rel 10497)'!$L:$L,MATCH(AC243,'Mov Entradas (Rel 10497)'!$I:$I,0)),"nao encontrado")</f>
        <v>nao encontrado</v>
      </c>
      <c r="AC243" s="0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0" t="str">
        <f aca="false">IFERROR(INDEX('Mov Entradas (Rel 10497)'!$L:$L,MATCH(AC245,'Mov Entradas (Rel 10497)'!$I:$I,0)),"nao encontrado")</f>
        <v>nao encontrado</v>
      </c>
      <c r="AC245" s="0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0" t="str">
        <f aca="false">IFERROR(INDEX('Mov Entradas (Rel 10497)'!$L:$L,MATCH(AC247,'Mov Entradas (Rel 10497)'!$I:$I,0)),"nao encontrado")</f>
        <v>nao encontrado</v>
      </c>
      <c r="AC247" s="0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0" t="str">
        <f aca="false">IFERROR(INDEX('Mov Entradas (Rel 10497)'!$L:$L,MATCH(AC248,'Mov Entradas (Rel 10497)'!$I:$I,0)),"nao encontrado")</f>
        <v>nao encontrado</v>
      </c>
      <c r="AC248" s="0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0" t="str">
        <f aca="false">IFERROR(INDEX('Mov Entradas (Rel 10497)'!$L:$L,MATCH(AC249,'Mov Entradas (Rel 10497)'!$I:$I,0)),"nao encontrado")</f>
        <v>nao encontrado</v>
      </c>
      <c r="AC249" s="0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0" t="str">
        <f aca="false">IFERROR(INDEX('Mov Entradas (Rel 10497)'!$L:$L,MATCH(AC250,'Mov Entradas (Rel 10497)'!$I:$I,0)),"nao encontrado")</f>
        <v>nao encontrado</v>
      </c>
      <c r="AC250" s="0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0" t="str">
        <f aca="false">IFERROR(INDEX('Mov Entradas (Rel 10497)'!$L:$L,MATCH(AC251,'Mov Entradas (Rel 10497)'!$I:$I,0)),"nao encontrado")</f>
        <v>nao encontrado</v>
      </c>
      <c r="AC251" s="0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0" t="str">
        <f aca="false">IFERROR(INDEX('Mov Entradas (Rel 10497)'!$L:$L,MATCH(AC255,'Mov Entradas (Rel 10497)'!$I:$I,0)),"nao encontrado")</f>
        <v>nao encontrado</v>
      </c>
      <c r="AC255" s="0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0" t="str">
        <f aca="false">IFERROR(INDEX('Mov Entradas (Rel 10497)'!$L:$L,MATCH(AC256,'Mov Entradas (Rel 10497)'!$I:$I,0)),"nao encontrado")</f>
        <v>nao encontrado</v>
      </c>
      <c r="AC256" s="0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0" t="str">
        <f aca="false">IFERROR(INDEX('Mov Entradas (Rel 10497)'!$L:$L,MATCH(AC257,'Mov Entradas (Rel 10497)'!$I:$I,0)),"nao encontrado")</f>
        <v>nao encontrado</v>
      </c>
      <c r="AC257" s="0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0" t="str">
        <f aca="false">IFERROR(INDEX('Mov Entradas (Rel 10497)'!$L:$L,MATCH(AC258,'Mov Entradas (Rel 10497)'!$I:$I,0)),"nao encontrado")</f>
        <v>nao encontrado</v>
      </c>
      <c r="AC258" s="0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0" t="str">
        <f aca="false">IFERROR(INDEX('Mov Entradas (Rel 10497)'!$L:$L,MATCH(AC259,'Mov Entradas (Rel 10497)'!$I:$I,0)),"nao encontrado")</f>
        <v>nao encontrado</v>
      </c>
      <c r="AC259" s="0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0" t="str">
        <f aca="false">IFERROR(INDEX('Mov Entradas (Rel 10497)'!$L:$L,MATCH(AC260,'Mov Entradas (Rel 10497)'!$I:$I,0)),"nao encontrado")</f>
        <v>nao encontrado</v>
      </c>
      <c r="AC260" s="0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0" t="str">
        <f aca="false">IFERROR(INDEX('Mov Entradas (Rel 10497)'!$L:$L,MATCH(AC261,'Mov Entradas (Rel 10497)'!$I:$I,0)),"nao encontrado")</f>
        <v>nao encontrado</v>
      </c>
      <c r="AC261" s="0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0" t="str">
        <f aca="false">IFERROR(INDEX('Mov Entradas (Rel 10497)'!$L:$L,MATCH(AC262,'Mov Entradas (Rel 10497)'!$I:$I,0)),"nao encontrado")</f>
        <v>nao encontrado</v>
      </c>
      <c r="AC262" s="0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0" t="str">
        <f aca="false">IFERROR(INDEX('Mov Entradas (Rel 10497)'!$L:$L,MATCH(AC263,'Mov Entradas (Rel 10497)'!$I:$I,0)),"nao encontrado")</f>
        <v>nao encontrado</v>
      </c>
      <c r="AC263" s="0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0" t="str">
        <f aca="false">IFERROR(INDEX('Mov Entradas (Rel 10497)'!$L:$L,MATCH(AC264,'Mov Entradas (Rel 10497)'!$I:$I,0)),"nao encontrado")</f>
        <v>nao encontrado</v>
      </c>
      <c r="AC264" s="0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0" t="str">
        <f aca="false">IFERROR(INDEX('Mov Entradas (Rel 10497)'!$L:$L,MATCH(AC265,'Mov Entradas (Rel 10497)'!$I:$I,0)),"nao encontrado")</f>
        <v>nao encontrado</v>
      </c>
      <c r="AC265" s="0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0" t="str">
        <f aca="false">IFERROR(INDEX('Mov Entradas (Rel 10497)'!$L:$L,MATCH(AC266,'Mov Entradas (Rel 10497)'!$I:$I,0)),"nao encontrado")</f>
        <v>nao encontrado</v>
      </c>
      <c r="AC266" s="0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0" t="str">
        <f aca="false">IFERROR(INDEX('Mov Entradas (Rel 10497)'!$L:$L,MATCH(AC267,'Mov Entradas (Rel 10497)'!$I:$I,0)),"nao encontrado")</f>
        <v>nao encontrado</v>
      </c>
      <c r="AC267" s="0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0" t="str">
        <f aca="false">IFERROR(INDEX('Mov Entradas (Rel 10497)'!$L:$L,MATCH(AC268,'Mov Entradas (Rel 10497)'!$I:$I,0)),"nao encontrado")</f>
        <v>nao encontrado</v>
      </c>
      <c r="AC268" s="0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0" t="str">
        <f aca="false">IFERROR(INDEX('Mov Entradas (Rel 10497)'!$L:$L,MATCH(AC269,'Mov Entradas (Rel 10497)'!$I:$I,0)),"nao encontrado")</f>
        <v>nao encontrado</v>
      </c>
      <c r="AC269" s="0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0" t="str">
        <f aca="false">IFERROR(INDEX('Mov Entradas (Rel 10497)'!$L:$L,MATCH(AC270,'Mov Entradas (Rel 10497)'!$I:$I,0)),"nao encontrado")</f>
        <v>nao encontrado</v>
      </c>
      <c r="AC270" s="0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0" t="str">
        <f aca="false">IFERROR(INDEX('Mov Entradas (Rel 10497)'!$L:$L,MATCH(AC271,'Mov Entradas (Rel 10497)'!$I:$I,0)),"nao encontrado")</f>
        <v>nao encontrado</v>
      </c>
      <c r="AC271" s="0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0" t="str">
        <f aca="false">IFERROR(INDEX('Mov Entradas (Rel 10497)'!$L:$L,MATCH(AC277,'Mov Entradas (Rel 10497)'!$I:$I,0)),"nao encontrado")</f>
        <v>nao encontrado</v>
      </c>
      <c r="AC277" s="0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0" t="str">
        <f aca="false">IFERROR(INDEX('Mov Entradas (Rel 10497)'!$L:$L,MATCH(AC278,'Mov Entradas (Rel 10497)'!$I:$I,0)),"nao encontrado")</f>
        <v>nao encontrado</v>
      </c>
      <c r="AC278" s="0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0" t="str">
        <f aca="false">IFERROR(INDEX('Mov Entradas (Rel 10497)'!$L:$L,MATCH(AC279,'Mov Entradas (Rel 10497)'!$I:$I,0)),"nao encontrado")</f>
        <v>nao encontrado</v>
      </c>
      <c r="AC279" s="0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0" t="str">
        <f aca="false">IFERROR(INDEX('Mov Entradas (Rel 10497)'!$L:$L,MATCH(AC280,'Mov Entradas (Rel 10497)'!$I:$I,0)),"nao encontrado")</f>
        <v>nao encontrado</v>
      </c>
      <c r="AC280" s="0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0" t="str">
        <f aca="false">IFERROR(INDEX('Mov Entradas (Rel 10497)'!$L:$L,MATCH(AC281,'Mov Entradas (Rel 10497)'!$I:$I,0)),"nao encontrado")</f>
        <v>nao encontrado</v>
      </c>
      <c r="AC281" s="0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0" t="str">
        <f aca="false">IFERROR(INDEX('Mov Entradas (Rel 10497)'!$L:$L,MATCH(AC282,'Mov Entradas (Rel 10497)'!$I:$I,0)),"nao encontrado")</f>
        <v>nao encontrado</v>
      </c>
      <c r="AC282" s="0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0" t="str">
        <f aca="false">IFERROR(INDEX('Mov Entradas (Rel 10497)'!$L:$L,MATCH(AC283,'Mov Entradas (Rel 10497)'!$I:$I,0)),"nao encontrado")</f>
        <v>nao encontrado</v>
      </c>
      <c r="AC283" s="0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0" t="str">
        <f aca="false">IFERROR(INDEX('Mov Entradas (Rel 10497)'!$L:$L,MATCH(AC284,'Mov Entradas (Rel 10497)'!$I:$I,0)),"nao encontrado")</f>
        <v>nao encontrado</v>
      </c>
      <c r="AC284" s="0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0" t="str">
        <f aca="false">IFERROR(INDEX('Mov Entradas (Rel 10497)'!$L:$L,MATCH(AC285,'Mov Entradas (Rel 10497)'!$I:$I,0)),"nao encontrado")</f>
        <v>nao encontrado</v>
      </c>
      <c r="AC285" s="0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0" t="str">
        <f aca="false">IFERROR(INDEX('Mov Entradas (Rel 10497)'!$L:$L,MATCH(AC286,'Mov Entradas (Rel 10497)'!$I:$I,0)),"nao encontrado")</f>
        <v>nao encontrado</v>
      </c>
      <c r="AC286" s="0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0" t="str">
        <f aca="false">IFERROR(INDEX('Mov Entradas (Rel 10497)'!$L:$L,MATCH(AC288,'Mov Entradas (Rel 10497)'!$I:$I,0)),"nao encontrado")</f>
        <v>nao encontrado</v>
      </c>
      <c r="AC288" s="0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0" t="str">
        <f aca="false">IFERROR(INDEX('Mov Entradas (Rel 10497)'!$L:$L,MATCH(AC289,'Mov Entradas (Rel 10497)'!$I:$I,0)),"nao encontrado")</f>
        <v>nao encontrado</v>
      </c>
      <c r="AC289" s="0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0" t="str">
        <f aca="false">IFERROR(INDEX('Mov Entradas (Rel 10497)'!$L:$L,MATCH(AC290,'Mov Entradas (Rel 10497)'!$I:$I,0)),"nao encontrado")</f>
        <v>nao encontrado</v>
      </c>
      <c r="AC290" s="0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0" t="str">
        <f aca="false">IFERROR(INDEX('Mov Entradas (Rel 10497)'!$L:$L,MATCH(AC291,'Mov Entradas (Rel 10497)'!$I:$I,0)),"nao encontrado")</f>
        <v>nao encontrado</v>
      </c>
      <c r="AC291" s="0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0" t="str">
        <f aca="false">IFERROR(INDEX('Mov Entradas (Rel 10497)'!$L:$L,MATCH(AC293,'Mov Entradas (Rel 10497)'!$I:$I,0)),"nao encontrado")</f>
        <v>nao encontrado</v>
      </c>
      <c r="AC293" s="0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0" t="str">
        <f aca="false">IFERROR(INDEX('Mov Entradas (Rel 10497)'!$L:$L,MATCH(AC294,'Mov Entradas (Rel 10497)'!$I:$I,0)),"nao encontrado")</f>
        <v>nao encontrado</v>
      </c>
      <c r="AC294" s="0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0" t="str">
        <f aca="false">IFERROR(INDEX('Mov Entradas (Rel 10497)'!$L:$L,MATCH(AC295,'Mov Entradas (Rel 10497)'!$I:$I,0)),"nao encontrado")</f>
        <v>nao encontrado</v>
      </c>
      <c r="AC295" s="0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0" t="str">
        <f aca="false">IFERROR(INDEX('Mov Entradas (Rel 10497)'!$L:$L,MATCH(AC297,'Mov Entradas (Rel 10497)'!$I:$I,0)),"nao encontrado")</f>
        <v>nao encontrado</v>
      </c>
      <c r="AC297" s="0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0" t="str">
        <f aca="false">IFERROR(INDEX('Mov Entradas (Rel 10497)'!$L:$L,MATCH(AC298,'Mov Entradas (Rel 10497)'!$I:$I,0)),"nao encontrado")</f>
        <v>nao encontrado</v>
      </c>
      <c r="AC298" s="0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0" t="str">
        <f aca="false">IFERROR(INDEX('Mov Entradas (Rel 10497)'!$L:$L,MATCH(AC299,'Mov Entradas (Rel 10497)'!$I:$I,0)),"nao encontrado")</f>
        <v>nao encontrado</v>
      </c>
      <c r="AC299" s="0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0" t="str">
        <f aca="false">IFERROR(INDEX('Mov Entradas (Rel 10497)'!$L:$L,MATCH(AC300,'Mov Entradas (Rel 10497)'!$I:$I,0)),"nao encontrado")</f>
        <v>nao encontrado</v>
      </c>
      <c r="AC300" s="0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0" t="str">
        <f aca="false">IFERROR(INDEX('Mov Entradas (Rel 10497)'!$L:$L,MATCH(AC301,'Mov Entradas (Rel 10497)'!$I:$I,0)),"nao encontrado")</f>
        <v>nao encontrado</v>
      </c>
      <c r="AC301" s="0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0" t="str">
        <f aca="false">IFERROR(INDEX('Mov Entradas (Rel 10497)'!$L:$L,MATCH(AC302,'Mov Entradas (Rel 10497)'!$I:$I,0)),"nao encontrado")</f>
        <v>nao encontrado</v>
      </c>
      <c r="AC302" s="0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0" t="str">
        <f aca="false">IFERROR(INDEX('Mov Entradas (Rel 10497)'!$L:$L,MATCH(AC304,'Mov Entradas (Rel 10497)'!$I:$I,0)),"nao encontrado")</f>
        <v>nao encontrado</v>
      </c>
      <c r="AC304" s="0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0" t="str">
        <f aca="false">IFERROR(INDEX('Mov Entradas (Rel 10497)'!$L:$L,MATCH(AC305,'Mov Entradas (Rel 10497)'!$I:$I,0)),"nao encontrado")</f>
        <v>nao encontrado</v>
      </c>
      <c r="AC305" s="0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0" t="str">
        <f aca="false">IFERROR(INDEX('Mov Entradas (Rel 10497)'!$L:$L,MATCH(AC306,'Mov Entradas (Rel 10497)'!$I:$I,0)),"nao encontrado")</f>
        <v>nao encontrado</v>
      </c>
      <c r="AC306" s="0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0" t="str">
        <f aca="false">IFERROR(INDEX('Mov Entradas (Rel 10497)'!$L:$L,MATCH(AC309,'Mov Entradas (Rel 10497)'!$I:$I,0)),"nao encontrado")</f>
        <v>nao encontrado</v>
      </c>
      <c r="AC309" s="0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0" t="str">
        <f aca="false">IFERROR(INDEX('Mov Entradas (Rel 10497)'!$L:$L,MATCH(AC313,'Mov Entradas (Rel 10497)'!$I:$I,0)),"nao encontrado")</f>
        <v>nao encontrado</v>
      </c>
      <c r="AC313" s="0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0" t="str">
        <f aca="false">IFERROR(INDEX('Mov Entradas (Rel 10497)'!$L:$L,MATCH(AC315,'Mov Entradas (Rel 10497)'!$I:$I,0)),"nao encontrado")</f>
        <v>nao encontrado</v>
      </c>
      <c r="AC315" s="0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0" t="str">
        <f aca="false">IFERROR(INDEX('Mov Entradas (Rel 10497)'!$L:$L,MATCH(AC316,'Mov Entradas (Rel 10497)'!$I:$I,0)),"nao encontrado")</f>
        <v>nao encontrado</v>
      </c>
      <c r="AC316" s="0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0" t="str">
        <f aca="false">IFERROR(INDEX('Mov Entradas (Rel 10497)'!$L:$L,MATCH(AC317,'Mov Entradas (Rel 10497)'!$I:$I,0)),"nao encontrado")</f>
        <v>nao encontrado</v>
      </c>
      <c r="AC317" s="0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0" t="str">
        <f aca="false">IFERROR(INDEX('Mov Entradas (Rel 10497)'!$L:$L,MATCH(AC318,'Mov Entradas (Rel 10497)'!$I:$I,0)),"nao encontrado")</f>
        <v>nao encontrado</v>
      </c>
      <c r="AC318" s="0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0" t="str">
        <f aca="false">IFERROR(INDEX('Mov Entradas (Rel 10497)'!$L:$L,MATCH(AC319,'Mov Entradas (Rel 10497)'!$I:$I,0)),"nao encontrado")</f>
        <v>nao encontrado</v>
      </c>
      <c r="AC319" s="0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0" t="str">
        <f aca="false">IFERROR(INDEX('Mov Entradas (Rel 10497)'!$L:$L,MATCH(AC320,'Mov Entradas (Rel 10497)'!$I:$I,0)),"nao encontrado")</f>
        <v>nao encontrado</v>
      </c>
      <c r="AC320" s="0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0" t="str">
        <f aca="false">IFERROR(INDEX('Mov Entradas (Rel 10497)'!$L:$L,MATCH(AC321,'Mov Entradas (Rel 10497)'!$I:$I,0)),"nao encontrado")</f>
        <v>nao encontrado</v>
      </c>
      <c r="AC321" s="0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0" t="str">
        <f aca="false">IFERROR(INDEX('Mov Entradas (Rel 10497)'!$L:$L,MATCH(AC327,'Mov Entradas (Rel 10497)'!$I:$I,0)),"nao encontrado")</f>
        <v>nao encontrado</v>
      </c>
      <c r="AC327" s="0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0" t="str">
        <f aca="false">IFERROR(INDEX('Mov Entradas (Rel 10497)'!$L:$L,MATCH(AC328,'Mov Entradas (Rel 10497)'!$I:$I,0)),"nao encontrado")</f>
        <v>nao encontrado</v>
      </c>
      <c r="AC328" s="0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0" t="str">
        <f aca="false">IFERROR(INDEX('Mov Entradas (Rel 10497)'!$L:$L,MATCH(AC329,'Mov Entradas (Rel 10497)'!$I:$I,0)),"nao encontrado")</f>
        <v>nao encontrado</v>
      </c>
      <c r="AC329" s="0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0" t="str">
        <f aca="false">IFERROR(INDEX('Mov Entradas (Rel 10497)'!$L:$L,MATCH(AC330,'Mov Entradas (Rel 10497)'!$I:$I,0)),"nao encontrado")</f>
        <v>nao encontrado</v>
      </c>
      <c r="AC330" s="0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0" t="str">
        <f aca="false">IFERROR(INDEX('Mov Entradas (Rel 10497)'!$L:$L,MATCH(AC331,'Mov Entradas (Rel 10497)'!$I:$I,0)),"nao encontrado")</f>
        <v>nao encontrado</v>
      </c>
      <c r="AC331" s="0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0" t="str">
        <f aca="false">IFERROR(INDEX('Mov Entradas (Rel 10497)'!$L:$L,MATCH(AC332,'Mov Entradas (Rel 10497)'!$I:$I,0)),"nao encontrado")</f>
        <v>nao encontrado</v>
      </c>
      <c r="AC332" s="0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0" t="str">
        <f aca="false">IFERROR(INDEX('Mov Entradas (Rel 10497)'!$L:$L,MATCH(AC333,'Mov Entradas (Rel 10497)'!$I:$I,0)),"nao encontrado")</f>
        <v>nao encontrado</v>
      </c>
      <c r="AC333" s="0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0" t="str">
        <f aca="false">IFERROR(INDEX('Mov Entradas (Rel 10497)'!$L:$L,MATCH(AC334,'Mov Entradas (Rel 10497)'!$I:$I,0)),"nao encontrado")</f>
        <v>nao encontrado</v>
      </c>
      <c r="AC334" s="0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0" t="str">
        <f aca="false">IFERROR(INDEX('Mov Entradas (Rel 10497)'!$L:$L,MATCH(AC335,'Mov Entradas (Rel 10497)'!$I:$I,0)),"nao encontrado")</f>
        <v>nao encontrado</v>
      </c>
      <c r="AC335" s="0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0" t="str">
        <f aca="false">IFERROR(INDEX('Mov Entradas (Rel 10497)'!$L:$L,MATCH(AC336,'Mov Entradas (Rel 10497)'!$I:$I,0)),"nao encontrado")</f>
        <v>nao encontrado</v>
      </c>
      <c r="AC336" s="0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0" t="str">
        <f aca="false">IFERROR(INDEX('Mov Entradas (Rel 10497)'!$L:$L,MATCH(AC337,'Mov Entradas (Rel 10497)'!$I:$I,0)),"nao encontrado")</f>
        <v>nao encontrado</v>
      </c>
      <c r="AC337" s="0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0" t="str">
        <f aca="false">IFERROR(INDEX('Mov Entradas (Rel 10497)'!$L:$L,MATCH(AC338,'Mov Entradas (Rel 10497)'!$I:$I,0)),"nao encontrado")</f>
        <v>nao encontrado</v>
      </c>
      <c r="AC338" s="0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0" t="str">
        <f aca="false">IFERROR(INDEX('Mov Entradas (Rel 10497)'!$L:$L,MATCH(AC339,'Mov Entradas (Rel 10497)'!$I:$I,0)),"nao encontrado")</f>
        <v>nao encontrado</v>
      </c>
      <c r="AC339" s="0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0" t="str">
        <f aca="false">IFERROR(INDEX('Mov Entradas (Rel 10497)'!$L:$L,MATCH(AC340,'Mov Entradas (Rel 10497)'!$I:$I,0)),"nao encontrado")</f>
        <v>nao encontrado</v>
      </c>
      <c r="AC340" s="0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0" t="str">
        <f aca="false">IFERROR(INDEX('Mov Entradas (Rel 10497)'!$L:$L,MATCH(AC341,'Mov Entradas (Rel 10497)'!$I:$I,0)),"nao encontrado")</f>
        <v>nao encontrado</v>
      </c>
      <c r="AC341" s="0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0" t="str">
        <f aca="false">IFERROR(INDEX('Mov Entradas (Rel 10497)'!$L:$L,MATCH(AC342,'Mov Entradas (Rel 10497)'!$I:$I,0)),"nao encontrado")</f>
        <v>nao encontrado</v>
      </c>
      <c r="AC342" s="0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0" t="str">
        <f aca="false">IFERROR(INDEX('Mov Entradas (Rel 10497)'!$L:$L,MATCH(AC343,'Mov Entradas (Rel 10497)'!$I:$I,0)),"nao encontrado")</f>
        <v>nao encontrado</v>
      </c>
      <c r="AC343" s="0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0" t="str">
        <f aca="false">IFERROR(INDEX('Mov Entradas (Rel 10497)'!$L:$L,MATCH(AC344,'Mov Entradas (Rel 10497)'!$I:$I,0)),"nao encontrado")</f>
        <v>nao encontrado</v>
      </c>
      <c r="AC344" s="0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0" t="str">
        <f aca="false">IFERROR(INDEX('Mov Entradas (Rel 10497)'!$L:$L,MATCH(AC345,'Mov Entradas (Rel 10497)'!$I:$I,0)),"nao encontrado")</f>
        <v>nao encontrado</v>
      </c>
      <c r="AC345" s="0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0" t="str">
        <f aca="false">IFERROR(INDEX('Mov Entradas (Rel 10497)'!$L:$L,MATCH(AC346,'Mov Entradas (Rel 10497)'!$I:$I,0)),"nao encontrado")</f>
        <v>nao encontrado</v>
      </c>
      <c r="AC346" s="0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0" t="str">
        <f aca="false">IFERROR(INDEX('Mov Entradas (Rel 10497)'!$L:$L,MATCH(AC347,'Mov Entradas (Rel 10497)'!$I:$I,0)),"nao encontrado")</f>
        <v>nao encontrado</v>
      </c>
      <c r="AC347" s="0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0" t="str">
        <f aca="false">IFERROR(INDEX('Mov Entradas (Rel 10497)'!$L:$L,MATCH(AC349,'Mov Entradas (Rel 10497)'!$I:$I,0)),"nao encontrado")</f>
        <v>nao encontrado</v>
      </c>
      <c r="AC349" s="0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0" t="str">
        <f aca="false">IFERROR(INDEX('Mov Entradas (Rel 10497)'!$L:$L,MATCH(AC352,'Mov Entradas (Rel 10497)'!$I:$I,0)),"nao encontrado")</f>
        <v>nao encontrado</v>
      </c>
      <c r="AC352" s="0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0" t="str">
        <f aca="false">IFERROR(INDEX('Mov Entradas (Rel 10497)'!$L:$L,MATCH(AC353,'Mov Entradas (Rel 10497)'!$I:$I,0)),"nao encontrado")</f>
        <v>nao encontrado</v>
      </c>
      <c r="AC353" s="0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0" t="str">
        <f aca="false">IFERROR(INDEX('Mov Entradas (Rel 10497)'!$L:$L,MATCH(AC356,'Mov Entradas (Rel 10497)'!$I:$I,0)),"nao encontrado")</f>
        <v>nao encontrado</v>
      </c>
      <c r="AC356" s="0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0" t="str">
        <f aca="false">IFERROR(INDEX('Mov Entradas (Rel 10497)'!$L:$L,MATCH(AC357,'Mov Entradas (Rel 10497)'!$I:$I,0)),"nao encontrado")</f>
        <v>nao encontrado</v>
      </c>
      <c r="AC357" s="0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0" t="str">
        <f aca="false">IFERROR(INDEX('Mov Entradas (Rel 10497)'!$L:$L,MATCH(AC358,'Mov Entradas (Rel 10497)'!$I:$I,0)),"nao encontrado")</f>
        <v>nao encontrado</v>
      </c>
      <c r="AC358" s="0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0" t="str">
        <f aca="false">IFERROR(INDEX('Mov Entradas (Rel 10497)'!$L:$L,MATCH(AC359,'Mov Entradas (Rel 10497)'!$I:$I,0)),"nao encontrado")</f>
        <v>nao encontrado</v>
      </c>
      <c r="AC359" s="0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0" t="str">
        <f aca="false">IFERROR(INDEX('Mov Entradas (Rel 10497)'!$L:$L,MATCH(AC360,'Mov Entradas (Rel 10497)'!$I:$I,0)),"nao encontrado")</f>
        <v>nao encontrado</v>
      </c>
      <c r="AC360" s="0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0" t="str">
        <f aca="false">IFERROR(INDEX('Mov Entradas (Rel 10497)'!$L:$L,MATCH(AC361,'Mov Entradas (Rel 10497)'!$I:$I,0)),"nao encontrado")</f>
        <v>nao encontrado</v>
      </c>
      <c r="AC361" s="0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0" t="str">
        <f aca="false">IFERROR(INDEX('Mov Entradas (Rel 10497)'!$L:$L,MATCH(AC369,'Mov Entradas (Rel 10497)'!$I:$I,0)),"nao encontrado")</f>
        <v>nao encontrado</v>
      </c>
      <c r="AC369" s="0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0" t="str">
        <f aca="false">IFERROR(INDEX('Mov Entradas (Rel 10497)'!$L:$L,MATCH(AC375,'Mov Entradas (Rel 10497)'!$I:$I,0)),"nao encontrado")</f>
        <v>nao encontrado</v>
      </c>
      <c r="AC375" s="0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0" t="str">
        <f aca="false">IFERROR(INDEX('Mov Entradas (Rel 10497)'!$L:$L,MATCH(AC376,'Mov Entradas (Rel 10497)'!$I:$I,0)),"nao encontrado")</f>
        <v>nao encontrado</v>
      </c>
      <c r="AC376" s="0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0" t="str">
        <f aca="false">IFERROR(INDEX('Mov Entradas (Rel 10497)'!$L:$L,MATCH(AC377,'Mov Entradas (Rel 10497)'!$I:$I,0)),"nao encontrado")</f>
        <v>nao encontrado</v>
      </c>
      <c r="AC377" s="0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0" t="str">
        <f aca="false">IFERROR(INDEX('Mov Entradas (Rel 10497)'!$L:$L,MATCH(AC378,'Mov Entradas (Rel 10497)'!$I:$I,0)),"nao encontrado")</f>
        <v>nao encontrado</v>
      </c>
      <c r="AC378" s="0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0" t="str">
        <f aca="false">IFERROR(INDEX('Mov Entradas (Rel 10497)'!$L:$L,MATCH(AC379,'Mov Entradas (Rel 10497)'!$I:$I,0)),"nao encontrado")</f>
        <v>nao encontrado</v>
      </c>
      <c r="AC379" s="0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0" t="str">
        <f aca="false">IFERROR(INDEX('Mov Entradas (Rel 10497)'!$L:$L,MATCH(AC380,'Mov Entradas (Rel 10497)'!$I:$I,0)),"nao encontrado")</f>
        <v>nao encontrado</v>
      </c>
      <c r="AC380" s="0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0" t="str">
        <f aca="false">IFERROR(INDEX('Mov Entradas (Rel 10497)'!$L:$L,MATCH(AC381,'Mov Entradas (Rel 10497)'!$I:$I,0)),"nao encontrado")</f>
        <v>nao encontrado</v>
      </c>
      <c r="AC381" s="0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0" t="str">
        <f aca="false">IFERROR(INDEX('Mov Entradas (Rel 10497)'!$L:$L,MATCH(AC382,'Mov Entradas (Rel 10497)'!$I:$I,0)),"nao encontrado")</f>
        <v>nao encontrado</v>
      </c>
      <c r="AC382" s="0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0" t="str">
        <f aca="false">IFERROR(INDEX('Mov Entradas (Rel 10497)'!$L:$L,MATCH(AC383,'Mov Entradas (Rel 10497)'!$I:$I,0)),"nao encontrado")</f>
        <v>nao encontrado</v>
      </c>
      <c r="AC383" s="0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0" t="str">
        <f aca="false">IFERROR(INDEX('Mov Entradas (Rel 10497)'!$L:$L,MATCH(AC384,'Mov Entradas (Rel 10497)'!$I:$I,0)),"nao encontrado")</f>
        <v>nao encontrado</v>
      </c>
      <c r="AC384" s="0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0" t="str">
        <f aca="false">IFERROR(INDEX('Mov Entradas (Rel 10497)'!$L:$L,MATCH(AC385,'Mov Entradas (Rel 10497)'!$I:$I,0)),"nao encontrado")</f>
        <v>nao encontrado</v>
      </c>
      <c r="AC385" s="0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0" t="str">
        <f aca="false">IFERROR(INDEX('Mov Entradas (Rel 10497)'!$L:$L,MATCH(AC386,'Mov Entradas (Rel 10497)'!$I:$I,0)),"nao encontrado")</f>
        <v>nao encontrado</v>
      </c>
      <c r="AC386" s="0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0" t="str">
        <f aca="false">IFERROR(INDEX('Mov Entradas (Rel 10497)'!$L:$L,MATCH(AC387,'Mov Entradas (Rel 10497)'!$I:$I,0)),"nao encontrado")</f>
        <v>nao encontrado</v>
      </c>
      <c r="AC387" s="0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0" t="str">
        <f aca="false">IFERROR(INDEX('Mov Entradas (Rel 10497)'!$L:$L,MATCH(AC388,'Mov Entradas (Rel 10497)'!$I:$I,0)),"nao encontrado")</f>
        <v>nao encontrado</v>
      </c>
      <c r="AC388" s="0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0" t="str">
        <f aca="false">IFERROR(INDEX('Mov Entradas (Rel 10497)'!$L:$L,MATCH(AC389,'Mov Entradas (Rel 10497)'!$I:$I,0)),"nao encontrado")</f>
        <v>nao encontrado</v>
      </c>
      <c r="AC389" s="0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0" t="str">
        <f aca="false">IFERROR(INDEX('Mov Entradas (Rel 10497)'!$L:$L,MATCH(AC390,'Mov Entradas (Rel 10497)'!$I:$I,0)),"nao encontrado")</f>
        <v>nao encontrado</v>
      </c>
      <c r="AC390" s="0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0" t="str">
        <f aca="false">IFERROR(INDEX('Mov Entradas (Rel 10497)'!$L:$L,MATCH(AC391,'Mov Entradas (Rel 10497)'!$I:$I,0)),"nao encontrado")</f>
        <v>nao encontrado</v>
      </c>
      <c r="AC391" s="0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0" t="str">
        <f aca="false">IFERROR(INDEX('Mov Entradas (Rel 10497)'!$L:$L,MATCH(AC397,'Mov Entradas (Rel 10497)'!$I:$I,0)),"nao encontrado")</f>
        <v>nao encontrado</v>
      </c>
      <c r="AC397" s="0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0" t="str">
        <f aca="false">IFERROR(INDEX('Mov Entradas (Rel 10497)'!$L:$L,MATCH(AC398,'Mov Entradas (Rel 10497)'!$I:$I,0)),"nao encontrado")</f>
        <v>nao encontrado</v>
      </c>
      <c r="AC398" s="0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0" t="str">
        <f aca="false">IFERROR(INDEX('Mov Entradas (Rel 10497)'!$L:$L,MATCH(AC399,'Mov Entradas (Rel 10497)'!$I:$I,0)),"nao encontrado")</f>
        <v>nao encontrado</v>
      </c>
      <c r="AC399" s="0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0" t="str">
        <f aca="false">IFERROR(INDEX('Mov Entradas (Rel 10497)'!$L:$L,MATCH(AC400,'Mov Entradas (Rel 10497)'!$I:$I,0)),"nao encontrado")</f>
        <v>nao encontrado</v>
      </c>
      <c r="AC400" s="0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0" t="str">
        <f aca="false">IFERROR(INDEX('Mov Entradas (Rel 10497)'!$L:$L,MATCH(AC401,'Mov Entradas (Rel 10497)'!$I:$I,0)),"nao encontrado")</f>
        <v>nao encontrado</v>
      </c>
      <c r="AC401" s="0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0" t="str">
        <f aca="false">IFERROR(INDEX('Mov Entradas (Rel 10497)'!$L:$L,MATCH(AC402,'Mov Entradas (Rel 10497)'!$I:$I,0)),"nao encontrado")</f>
        <v>nao encontrado</v>
      </c>
      <c r="AC402" s="0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0" t="str">
        <f aca="false">IFERROR(INDEX('Mov Entradas (Rel 10497)'!$L:$L,MATCH(AC403,'Mov Entradas (Rel 10497)'!$I:$I,0)),"nao encontrado")</f>
        <v>nao encontrado</v>
      </c>
      <c r="AC403" s="0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0" t="str">
        <f aca="false">IFERROR(INDEX('Mov Entradas (Rel 10497)'!$L:$L,MATCH(AC412,'Mov Entradas (Rel 10497)'!$I:$I,0)),"nao encontrado")</f>
        <v>nao encontrado</v>
      </c>
      <c r="AC412" s="0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0" t="str">
        <f aca="false">IFERROR(INDEX('Mov Entradas (Rel 10497)'!$L:$L,MATCH(AC413,'Mov Entradas (Rel 10497)'!$I:$I,0)),"nao encontrado")</f>
        <v>nao encontrado</v>
      </c>
      <c r="AC413" s="0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0" t="str">
        <f aca="false">IFERROR(INDEX('Mov Entradas (Rel 10497)'!$L:$L,MATCH(AC414,'Mov Entradas (Rel 10497)'!$I:$I,0)),"nao encontrado")</f>
        <v>nao encontrado</v>
      </c>
      <c r="AC414" s="0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0" t="str">
        <f aca="false">IFERROR(INDEX('Mov Entradas (Rel 10497)'!$L:$L,MATCH(AC415,'Mov Entradas (Rel 10497)'!$I:$I,0)),"nao encontrado")</f>
        <v>nao encontrado</v>
      </c>
      <c r="AC415" s="0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0" t="str">
        <f aca="false">IFERROR(INDEX('Mov Entradas (Rel 10497)'!$L:$L,MATCH(AC417,'Mov Entradas (Rel 10497)'!$I:$I,0)),"nao encontrado")</f>
        <v>nao encontrado</v>
      </c>
      <c r="AC417" s="0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0" t="str">
        <f aca="false">IFERROR(INDEX('Mov Entradas (Rel 10497)'!$L:$L,MATCH(AC418,'Mov Entradas (Rel 10497)'!$I:$I,0)),"nao encontrado")</f>
        <v>nao encontrado</v>
      </c>
      <c r="AC418" s="0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0" t="str">
        <f aca="false">IFERROR(INDEX('Mov Entradas (Rel 10497)'!$L:$L,MATCH(AC419,'Mov Entradas (Rel 10497)'!$I:$I,0)),"nao encontrado")</f>
        <v>nao encontrado</v>
      </c>
      <c r="AC419" s="0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0" t="str">
        <f aca="false">IFERROR(INDEX('Mov Entradas (Rel 10497)'!$L:$L,MATCH(AC420,'Mov Entradas (Rel 10497)'!$I:$I,0)),"nao encontrado")</f>
        <v>nao encontrado</v>
      </c>
      <c r="AC420" s="0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0" t="str">
        <f aca="false">IFERROR(INDEX('Mov Entradas (Rel 10497)'!$L:$L,MATCH(AC421,'Mov Entradas (Rel 10497)'!$I:$I,0)),"nao encontrado")</f>
        <v>nao encontrado</v>
      </c>
      <c r="AC421" s="0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0" t="str">
        <f aca="false">IFERROR(INDEX('Mov Entradas (Rel 10497)'!$L:$L,MATCH(AC422,'Mov Entradas (Rel 10497)'!$I:$I,0)),"nao encontrado")</f>
        <v>nao encontrado</v>
      </c>
      <c r="AC422" s="0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0" t="str">
        <f aca="false">IFERROR(INDEX('Mov Entradas (Rel 10497)'!$L:$L,MATCH(AC423,'Mov Entradas (Rel 10497)'!$I:$I,0)),"nao encontrado")</f>
        <v>nao encontrado</v>
      </c>
      <c r="AC423" s="0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0" t="str">
        <f aca="false">IFERROR(INDEX('Mov Entradas (Rel 10497)'!$L:$L,MATCH(AC424,'Mov Entradas (Rel 10497)'!$I:$I,0)),"nao encontrado")</f>
        <v>nao encontrado</v>
      </c>
      <c r="AC424" s="0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0" t="str">
        <f aca="false">IFERROR(INDEX('Mov Entradas (Rel 10497)'!$L:$L,MATCH(AC425,'Mov Entradas (Rel 10497)'!$I:$I,0)),"nao encontrado")</f>
        <v>nao encontrado</v>
      </c>
      <c r="AC425" s="0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0" t="str">
        <f aca="false">IFERROR(INDEX('Mov Entradas (Rel 10497)'!$L:$L,MATCH(AC426,'Mov Entradas (Rel 10497)'!$I:$I,0)),"nao encontrado")</f>
        <v>nao encontrado</v>
      </c>
      <c r="AC426" s="0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0" t="str">
        <f aca="false">IFERROR(INDEX('Mov Entradas (Rel 10497)'!$L:$L,MATCH(AC427,'Mov Entradas (Rel 10497)'!$I:$I,0)),"nao encontrado")</f>
        <v>nao encontrado</v>
      </c>
      <c r="AC427" s="0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0" t="str">
        <f aca="false">IFERROR(INDEX('Mov Entradas (Rel 10497)'!$L:$L,MATCH(AC428,'Mov Entradas (Rel 10497)'!$I:$I,0)),"nao encontrado")</f>
        <v>nao encontrado</v>
      </c>
      <c r="AC428" s="0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0" t="str">
        <f aca="false">IFERROR(INDEX('Mov Entradas (Rel 10497)'!$L:$L,MATCH(AC429,'Mov Entradas (Rel 10497)'!$I:$I,0)),"nao encontrado")</f>
        <v>nao encontrado</v>
      </c>
      <c r="AC429" s="0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0" t="str">
        <f aca="false">IFERROR(INDEX('Mov Entradas (Rel 10497)'!$L:$L,MATCH(AC430,'Mov Entradas (Rel 10497)'!$I:$I,0)),"nao encontrado")</f>
        <v>nao encontrado</v>
      </c>
      <c r="AC430" s="0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0" t="str">
        <f aca="false">IFERROR(INDEX('Mov Entradas (Rel 10497)'!$L:$L,MATCH(AC431,'Mov Entradas (Rel 10497)'!$I:$I,0)),"nao encontrado")</f>
        <v>nao encontrado</v>
      </c>
      <c r="AC431" s="0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0" t="str">
        <f aca="false">IFERROR(INDEX('Mov Entradas (Rel 10497)'!$L:$L,MATCH(AC432,'Mov Entradas (Rel 10497)'!$I:$I,0)),"nao encontrado")</f>
        <v>nao encontrado</v>
      </c>
      <c r="AC432" s="0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0" t="str">
        <f aca="false">IFERROR(INDEX('Mov Entradas (Rel 10497)'!$L:$L,MATCH(AC433,'Mov Entradas (Rel 10497)'!$I:$I,0)),"nao encontrado")</f>
        <v>nao encontrado</v>
      </c>
      <c r="AC433" s="0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0" t="str">
        <f aca="false">IFERROR(INDEX('Mov Entradas (Rel 10497)'!$L:$L,MATCH(AC434,'Mov Entradas (Rel 10497)'!$I:$I,0)),"nao encontrado")</f>
        <v>nao encontrado</v>
      </c>
      <c r="AC434" s="0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0" t="str">
        <f aca="false">IFERROR(INDEX('Mov Entradas (Rel 10497)'!$L:$L,MATCH(AC435,'Mov Entradas (Rel 10497)'!$I:$I,0)),"nao encontrado")</f>
        <v>nao encontrado</v>
      </c>
      <c r="AC435" s="0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0" t="str">
        <f aca="false">IFERROR(INDEX('Mov Entradas (Rel 10497)'!$L:$L,MATCH(AC436,'Mov Entradas (Rel 10497)'!$I:$I,0)),"nao encontrado")</f>
        <v>nao encontrado</v>
      </c>
      <c r="AC436" s="0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0" t="str">
        <f aca="false">IFERROR(INDEX('Mov Entradas (Rel 10497)'!$L:$L,MATCH(AC437,'Mov Entradas (Rel 10497)'!$I:$I,0)),"nao encontrado")</f>
        <v>nao encontrado</v>
      </c>
      <c r="AC437" s="0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0" t="str">
        <f aca="false">IFERROR(INDEX('Mov Entradas (Rel 10497)'!$L:$L,MATCH(AC438,'Mov Entradas (Rel 10497)'!$I:$I,0)),"nao encontrado")</f>
        <v>nao encontrado</v>
      </c>
      <c r="AC438" s="0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0" t="str">
        <f aca="false">IFERROR(INDEX('Mov Entradas (Rel 10497)'!$L:$L,MATCH(AC441,'Mov Entradas (Rel 10497)'!$I:$I,0)),"nao encontrado")</f>
        <v>nao encontrado</v>
      </c>
      <c r="AC441" s="0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0" t="str">
        <f aca="false">IFERROR(INDEX('Mov Entradas (Rel 10497)'!$L:$L,MATCH(AC444,'Mov Entradas (Rel 10497)'!$I:$I,0)),"nao encontrado")</f>
        <v>nao encontrado</v>
      </c>
      <c r="AC444" s="0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0" t="str">
        <f aca="false">IFERROR(INDEX('Mov Entradas (Rel 10497)'!$L:$L,MATCH(AC445,'Mov Entradas (Rel 10497)'!$I:$I,0)),"nao encontrado")</f>
        <v>nao encontrado</v>
      </c>
      <c r="AC445" s="0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0" t="str">
        <f aca="false">IFERROR(INDEX('Mov Entradas (Rel 10497)'!$L:$L,MATCH(AC446,'Mov Entradas (Rel 10497)'!$I:$I,0)),"nao encontrado")</f>
        <v>nao encontrado</v>
      </c>
      <c r="AC446" s="0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0" t="str">
        <f aca="false">IFERROR(INDEX('Mov Entradas (Rel 10497)'!$L:$L,MATCH(AC448,'Mov Entradas (Rel 10497)'!$I:$I,0)),"nao encontrado")</f>
        <v>nao encontrado</v>
      </c>
      <c r="AC448" s="0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0" t="str">
        <f aca="false">IFERROR(INDEX('Mov Entradas (Rel 10497)'!$L:$L,MATCH(AC449,'Mov Entradas (Rel 10497)'!$I:$I,0)),"nao encontrado")</f>
        <v>nao encontrado</v>
      </c>
      <c r="AC449" s="0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0" t="str">
        <f aca="false">IFERROR(INDEX('Mov Entradas (Rel 10497)'!$L:$L,MATCH(AC450,'Mov Entradas (Rel 10497)'!$I:$I,0)),"nao encontrado")</f>
        <v>nao encontrado</v>
      </c>
      <c r="AC450" s="0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0" t="str">
        <f aca="false">IFERROR(INDEX('Mov Entradas (Rel 10497)'!$L:$L,MATCH(AC457,'Mov Entradas (Rel 10497)'!$I:$I,0)),"nao encontrado")</f>
        <v>nao encontrado</v>
      </c>
      <c r="AC457" s="0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0" t="str">
        <f aca="false">IFERROR(INDEX('Mov Entradas (Rel 10497)'!$L:$L,MATCH(AC458,'Mov Entradas (Rel 10497)'!$I:$I,0)),"nao encontrado")</f>
        <v>nao encontrado</v>
      </c>
      <c r="AC458" s="0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0" t="str">
        <f aca="false">IFERROR(INDEX('Mov Entradas (Rel 10497)'!$L:$L,MATCH(AC459,'Mov Entradas (Rel 10497)'!$I:$I,0)),"nao encontrado")</f>
        <v>nao encontrado</v>
      </c>
      <c r="AC459" s="0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0" t="str">
        <f aca="false">IFERROR(INDEX('Mov Entradas (Rel 10497)'!$L:$L,MATCH(AC460,'Mov Entradas (Rel 10497)'!$I:$I,0)),"nao encontrado")</f>
        <v>nao encontrado</v>
      </c>
      <c r="AC460" s="0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0" t="str">
        <f aca="false">IFERROR(INDEX('Mov Entradas (Rel 10497)'!$L:$L,MATCH(AC461,'Mov Entradas (Rel 10497)'!$I:$I,0)),"nao encontrado")</f>
        <v>nao encontrado</v>
      </c>
      <c r="AC461" s="0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0" t="str">
        <f aca="false">IFERROR(INDEX('Mov Entradas (Rel 10497)'!$L:$L,MATCH(AC462,'Mov Entradas (Rel 10497)'!$I:$I,0)),"nao encontrado")</f>
        <v>nao encontrado</v>
      </c>
      <c r="AC462" s="0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0" t="str">
        <f aca="false">IFERROR(INDEX('Mov Entradas (Rel 10497)'!$L:$L,MATCH(AC463,'Mov Entradas (Rel 10497)'!$I:$I,0)),"nao encontrado")</f>
        <v>nao encontrado</v>
      </c>
      <c r="AC463" s="0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0" t="str">
        <f aca="false">IFERROR(INDEX('Mov Entradas (Rel 10497)'!$L:$L,MATCH(AC464,'Mov Entradas (Rel 10497)'!$I:$I,0)),"nao encontrado")</f>
        <v>nao encontrado</v>
      </c>
      <c r="AC464" s="0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0" t="str">
        <f aca="false">IFERROR(INDEX('Mov Entradas (Rel 10497)'!$L:$L,MATCH(AC465,'Mov Entradas (Rel 10497)'!$I:$I,0)),"nao encontrado")</f>
        <v>nao encontrado</v>
      </c>
      <c r="AC465" s="0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0" t="str">
        <f aca="false">IFERROR(INDEX('Mov Entradas (Rel 10497)'!$L:$L,MATCH(AC466,'Mov Entradas (Rel 10497)'!$I:$I,0)),"nao encontrado")</f>
        <v>nao encontrado</v>
      </c>
      <c r="AC466" s="0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0" t="str">
        <f aca="false">IFERROR(INDEX('Mov Entradas (Rel 10497)'!$L:$L,MATCH(AC467,'Mov Entradas (Rel 10497)'!$I:$I,0)),"nao encontrado")</f>
        <v>nao encontrado</v>
      </c>
      <c r="AC467" s="0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0" t="str">
        <f aca="false">IFERROR(INDEX('Mov Entradas (Rel 10497)'!$L:$L,MATCH(AC468,'Mov Entradas (Rel 10497)'!$I:$I,0)),"nao encontrado")</f>
        <v>nao encontrado</v>
      </c>
      <c r="AC468" s="0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0" t="str">
        <f aca="false">IFERROR(INDEX('Mov Entradas (Rel 10497)'!$L:$L,MATCH(AC469,'Mov Entradas (Rel 10497)'!$I:$I,0)),"nao encontrado")</f>
        <v>nao encontrado</v>
      </c>
      <c r="AC469" s="0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0" t="str">
        <f aca="false">IFERROR(INDEX('Mov Entradas (Rel 10497)'!$L:$L,MATCH(AC470,'Mov Entradas (Rel 10497)'!$I:$I,0)),"nao encontrado")</f>
        <v>nao encontrado</v>
      </c>
      <c r="AC470" s="0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0" t="str">
        <f aca="false">IFERROR(INDEX('Mov Entradas (Rel 10497)'!$L:$L,MATCH(AC471,'Mov Entradas (Rel 10497)'!$I:$I,0)),"nao encontrado")</f>
        <v>nao encontrado</v>
      </c>
      <c r="AC471" s="0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0" t="str">
        <f aca="false">IFERROR(INDEX('Mov Entradas (Rel 10497)'!$L:$L,MATCH(AC472,'Mov Entradas (Rel 10497)'!$I:$I,0)),"nao encontrado")</f>
        <v>nao encontrado</v>
      </c>
      <c r="AC472" s="0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0" t="str">
        <f aca="false">IFERROR(INDEX('Mov Entradas (Rel 10497)'!$L:$L,MATCH(AC474,'Mov Entradas (Rel 10497)'!$I:$I,0)),"nao encontrado")</f>
        <v>nao encontrado</v>
      </c>
      <c r="AC474" s="0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0" t="str">
        <f aca="false">IFERROR(INDEX('Mov Entradas (Rel 10497)'!$L:$L,MATCH(AC475,'Mov Entradas (Rel 10497)'!$I:$I,0)),"nao encontrado")</f>
        <v>nao encontrado</v>
      </c>
      <c r="AC475" s="0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0" t="str">
        <f aca="false">IFERROR(INDEX('Mov Entradas (Rel 10497)'!$L:$L,MATCH(AC481,'Mov Entradas (Rel 10497)'!$I:$I,0)),"nao encontrado")</f>
        <v>nao encontrado</v>
      </c>
      <c r="AC481" s="0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0" t="str">
        <f aca="false">IFERROR(INDEX('Mov Entradas (Rel 10497)'!$L:$L,MATCH(AC482,'Mov Entradas (Rel 10497)'!$I:$I,0)),"nao encontrado")</f>
        <v>nao encontrado</v>
      </c>
      <c r="AC482" s="0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0" t="str">
        <f aca="false">IFERROR(INDEX('Mov Entradas (Rel 10497)'!$L:$L,MATCH(AC483,'Mov Entradas (Rel 10497)'!$I:$I,0)),"nao encontrado")</f>
        <v>nao encontrado</v>
      </c>
      <c r="AC483" s="0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0" t="str">
        <f aca="false">IFERROR(INDEX('Mov Entradas (Rel 10497)'!$L:$L,MATCH(AC484,'Mov Entradas (Rel 10497)'!$I:$I,0)),"nao encontrado")</f>
        <v>nao encontrado</v>
      </c>
      <c r="AC484" s="0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0" t="str">
        <f aca="false">IFERROR(INDEX('Mov Entradas (Rel 10497)'!$L:$L,MATCH(AC486,'Mov Entradas (Rel 10497)'!$I:$I,0)),"nao encontrado")</f>
        <v>nao encontrado</v>
      </c>
      <c r="AC486" s="0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0" t="str">
        <f aca="false">IFERROR(INDEX('Mov Entradas (Rel 10497)'!$L:$L,MATCH(AC488,'Mov Entradas (Rel 10497)'!$I:$I,0)),"nao encontrado")</f>
        <v>nao encontrado</v>
      </c>
      <c r="AC488" s="0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0" t="str">
        <f aca="false">IFERROR(INDEX('Mov Entradas (Rel 10497)'!$L:$L,MATCH(AC490,'Mov Entradas (Rel 10497)'!$I:$I,0)),"nao encontrado")</f>
        <v>nao encontrado</v>
      </c>
      <c r="AC490" s="0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0" t="str">
        <f aca="false">IFERROR(INDEX('Mov Entradas (Rel 10497)'!$L:$L,MATCH(AC494,'Mov Entradas (Rel 10497)'!$I:$I,0)),"nao encontrado")</f>
        <v>nao encontrado</v>
      </c>
      <c r="AC494" s="0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0" t="str">
        <f aca="false">IFERROR(INDEX('Mov Entradas (Rel 10497)'!$L:$L,MATCH(AC495,'Mov Entradas (Rel 10497)'!$I:$I,0)),"nao encontrado")</f>
        <v>nao encontrado</v>
      </c>
      <c r="AC495" s="0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0" t="str">
        <f aca="false">IFERROR(INDEX('Mov Entradas (Rel 10497)'!$L:$L,MATCH(AC496,'Mov Entradas (Rel 10497)'!$I:$I,0)),"nao encontrado")</f>
        <v>nao encontrado</v>
      </c>
      <c r="AC496" s="0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0" t="str">
        <f aca="false">IFERROR(INDEX('Mov Entradas (Rel 10497)'!$L:$L,MATCH(AC498,'Mov Entradas (Rel 10497)'!$I:$I,0)),"nao encontrado")</f>
        <v>nao encontrado</v>
      </c>
      <c r="AC498" s="0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0" t="str">
        <f aca="false">IFERROR(INDEX('Mov Entradas (Rel 10497)'!$L:$L,MATCH(AC499,'Mov Entradas (Rel 10497)'!$I:$I,0)),"nao encontrado")</f>
        <v>nao encontrado</v>
      </c>
      <c r="AC499" s="0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0" t="str">
        <f aca="false">IFERROR(INDEX('Mov Entradas (Rel 10497)'!$L:$L,MATCH(AC500,'Mov Entradas (Rel 10497)'!$I:$I,0)),"nao encontrado")</f>
        <v>nao encontrado</v>
      </c>
      <c r="AC500" s="0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0" t="str">
        <f aca="false">IFERROR(INDEX('Mov Entradas (Rel 10497)'!$L:$L,MATCH(AC501,'Mov Entradas (Rel 10497)'!$I:$I,0)),"nao encontrado")</f>
        <v>nao encontrado</v>
      </c>
      <c r="AC501" s="0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0" t="str">
        <f aca="false">IFERROR(INDEX('Mov Entradas (Rel 10497)'!$L:$L,MATCH(AC502,'Mov Entradas (Rel 10497)'!$I:$I,0)),"nao encontrado")</f>
        <v>nao encontrado</v>
      </c>
      <c r="AC502" s="0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0" t="str">
        <f aca="false">IFERROR(INDEX('Mov Entradas (Rel 10497)'!$L:$L,MATCH(AC503,'Mov Entradas (Rel 10497)'!$I:$I,0)),"nao encontrado")</f>
        <v>nao encontrado</v>
      </c>
      <c r="AC503" s="0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0" t="str">
        <f aca="false">IFERROR(INDEX('Mov Entradas (Rel 10497)'!$L:$L,MATCH(AC504,'Mov Entradas (Rel 10497)'!$I:$I,0)),"nao encontrado")</f>
        <v>nao encontrado</v>
      </c>
      <c r="AC504" s="0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0" t="str">
        <f aca="false">IFERROR(INDEX('Mov Entradas (Rel 10497)'!$L:$L,MATCH(AC505,'Mov Entradas (Rel 10497)'!$I:$I,0)),"nao encontrado")</f>
        <v>nao encontrado</v>
      </c>
      <c r="AC505" s="0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0" t="str">
        <f aca="false">IFERROR(INDEX('Mov Entradas (Rel 10497)'!$L:$L,MATCH(AC507,'Mov Entradas (Rel 10497)'!$I:$I,0)),"nao encontrado")</f>
        <v>nao encontrado</v>
      </c>
      <c r="AC507" s="0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0" t="str">
        <f aca="false">IFERROR(INDEX('Mov Entradas (Rel 10497)'!$L:$L,MATCH(AC508,'Mov Entradas (Rel 10497)'!$I:$I,0)),"nao encontrado")</f>
        <v>nao encontrado</v>
      </c>
      <c r="AC508" s="0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0" t="str">
        <f aca="false">IFERROR(INDEX('Mov Entradas (Rel 10497)'!$L:$L,MATCH(AC509,'Mov Entradas (Rel 10497)'!$I:$I,0)),"nao encontrado")</f>
        <v>nao encontrado</v>
      </c>
      <c r="AC509" s="0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0" t="str">
        <f aca="false">IFERROR(INDEX('Mov Entradas (Rel 10497)'!$L:$L,MATCH(AC510,'Mov Entradas (Rel 10497)'!$I:$I,0)),"nao encontrado")</f>
        <v>nao encontrado</v>
      </c>
      <c r="AC510" s="0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0" t="str">
        <f aca="false">IFERROR(INDEX('Mov Entradas (Rel 10497)'!$L:$L,MATCH(AC511,'Mov Entradas (Rel 10497)'!$I:$I,0)),"nao encontrado")</f>
        <v>nao encontrado</v>
      </c>
      <c r="AC511" s="0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0" t="str">
        <f aca="false">IFERROR(INDEX('Mov Entradas (Rel 10497)'!$L:$L,MATCH(AC512,'Mov Entradas (Rel 10497)'!$I:$I,0)),"nao encontrado")</f>
        <v>nao encontrado</v>
      </c>
      <c r="AC512" s="0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0" t="str">
        <f aca="false">IFERROR(INDEX('Mov Entradas (Rel 10497)'!$L:$L,MATCH(AC513,'Mov Entradas (Rel 10497)'!$I:$I,0)),"nao encontrado")</f>
        <v>nao encontrado</v>
      </c>
      <c r="AC513" s="0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0" t="str">
        <f aca="false">IFERROR(INDEX('Mov Entradas (Rel 10497)'!$L:$L,MATCH(AC514,'Mov Entradas (Rel 10497)'!$I:$I,0)),"nao encontrado")</f>
        <v>nao encontrado</v>
      </c>
      <c r="AC514" s="0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0" t="str">
        <f aca="false">IFERROR(INDEX('Mov Entradas (Rel 10497)'!$L:$L,MATCH(AC515,'Mov Entradas (Rel 10497)'!$I:$I,0)),"nao encontrado")</f>
        <v>nao encontrado</v>
      </c>
      <c r="AC515" s="0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0" t="str">
        <f aca="false">IFERROR(INDEX('Mov Entradas (Rel 10497)'!$L:$L,MATCH(AC517,'Mov Entradas (Rel 10497)'!$I:$I,0)),"nao encontrado")</f>
        <v>nao encontrado</v>
      </c>
      <c r="AC517" s="0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0" t="str">
        <f aca="false">IFERROR(INDEX('Mov Entradas (Rel 10497)'!$L:$L,MATCH(AC518,'Mov Entradas (Rel 10497)'!$I:$I,0)),"nao encontrado")</f>
        <v>nao encontrado</v>
      </c>
      <c r="AC518" s="0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0" t="str">
        <f aca="false">IFERROR(INDEX('Mov Entradas (Rel 10497)'!$L:$L,MATCH(AC520,'Mov Entradas (Rel 10497)'!$I:$I,0)),"nao encontrado")</f>
        <v>nao encontrado</v>
      </c>
      <c r="AC520" s="0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0" t="str">
        <f aca="false">IFERROR(INDEX('Mov Entradas (Rel 10497)'!$L:$L,MATCH(AC521,'Mov Entradas (Rel 10497)'!$I:$I,0)),"nao encontrado")</f>
        <v>nao encontrado</v>
      </c>
      <c r="AC521" s="0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0" t="str">
        <f aca="false">IFERROR(INDEX('Mov Entradas (Rel 10497)'!$L:$L,MATCH(AC522,'Mov Entradas (Rel 10497)'!$I:$I,0)),"nao encontrado")</f>
        <v>nao encontrado</v>
      </c>
      <c r="AC522" s="0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0" t="str">
        <f aca="false">IFERROR(INDEX('Mov Entradas (Rel 10497)'!$L:$L,MATCH(AC523,'Mov Entradas (Rel 10497)'!$I:$I,0)),"nao encontrado")</f>
        <v>nao encontrado</v>
      </c>
      <c r="AC523" s="0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0" t="str">
        <f aca="false">IFERROR(INDEX('Mov Entradas (Rel 10497)'!$L:$L,MATCH(AC525,'Mov Entradas (Rel 10497)'!$I:$I,0)),"nao encontrado")</f>
        <v>nao encontrado</v>
      </c>
      <c r="AC525" s="0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0" t="str">
        <f aca="false">IFERROR(INDEX('Mov Entradas (Rel 10497)'!$L:$L,MATCH(AC526,'Mov Entradas (Rel 10497)'!$I:$I,0)),"nao encontrado")</f>
        <v>nao encontrado</v>
      </c>
      <c r="AC526" s="0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0" t="str">
        <f aca="false">IFERROR(INDEX('Mov Entradas (Rel 10497)'!$L:$L,MATCH(AC529,'Mov Entradas (Rel 10497)'!$I:$I,0)),"nao encontrado")</f>
        <v>nao encontrado</v>
      </c>
      <c r="AC529" s="0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0" t="str">
        <f aca="false">IFERROR(INDEX('Mov Entradas (Rel 10497)'!$L:$L,MATCH(AC533,'Mov Entradas (Rel 10497)'!$I:$I,0)),"nao encontrado")</f>
        <v>nao encontrado</v>
      </c>
      <c r="AC533" s="0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0" t="str">
        <f aca="false">IFERROR(INDEX('Mov Entradas (Rel 10497)'!$L:$L,MATCH(AC534,'Mov Entradas (Rel 10497)'!$I:$I,0)),"nao encontrado")</f>
        <v>nao encontrado</v>
      </c>
      <c r="AC534" s="0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0" t="str">
        <f aca="false">IFERROR(INDEX('Mov Entradas (Rel 10497)'!$L:$L,MATCH(AC535,'Mov Entradas (Rel 10497)'!$I:$I,0)),"nao encontrado")</f>
        <v>nao encontrado</v>
      </c>
      <c r="AC535" s="0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0" t="str">
        <f aca="false">IFERROR(INDEX('Mov Entradas (Rel 10497)'!$L:$L,MATCH(AC536,'Mov Entradas (Rel 10497)'!$I:$I,0)),"nao encontrado")</f>
        <v>nao encontrado</v>
      </c>
      <c r="AC536" s="0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0" t="str">
        <f aca="false">IFERROR(INDEX('Mov Entradas (Rel 10497)'!$L:$L,MATCH(AC543,'Mov Entradas (Rel 10497)'!$I:$I,0)),"nao encontrado")</f>
        <v>nao encontrado</v>
      </c>
      <c r="AC543" s="0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0" t="str">
        <f aca="false">IFERROR(INDEX('Mov Entradas (Rel 10497)'!$L:$L,MATCH(AC544,'Mov Entradas (Rel 10497)'!$I:$I,0)),"nao encontrado")</f>
        <v>nao encontrado</v>
      </c>
      <c r="AC544" s="0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0" t="str">
        <f aca="false">IFERROR(INDEX('Mov Entradas (Rel 10497)'!$L:$L,MATCH(AC545,'Mov Entradas (Rel 10497)'!$I:$I,0)),"nao encontrado")</f>
        <v>nao encontrado</v>
      </c>
      <c r="AC545" s="0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0" t="str">
        <f aca="false">IFERROR(INDEX('Mov Entradas (Rel 10497)'!$L:$L,MATCH(AC546,'Mov Entradas (Rel 10497)'!$I:$I,0)),"nao encontrado")</f>
        <v>nao encontrado</v>
      </c>
      <c r="AC546" s="0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0" t="str">
        <f aca="false">IFERROR(INDEX('Mov Entradas (Rel 10497)'!$L:$L,MATCH(AC547,'Mov Entradas (Rel 10497)'!$I:$I,0)),"nao encontrado")</f>
        <v>nao encontrado</v>
      </c>
      <c r="AC547" s="0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0" t="str">
        <f aca="false">IFERROR(INDEX('Mov Entradas (Rel 10497)'!$L:$L,MATCH(AC548,'Mov Entradas (Rel 10497)'!$I:$I,0)),"nao encontrado")</f>
        <v>nao encontrado</v>
      </c>
      <c r="AC548" s="0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0" t="str">
        <f aca="false">IFERROR(INDEX('Mov Entradas (Rel 10497)'!$L:$L,MATCH(AC549,'Mov Entradas (Rel 10497)'!$I:$I,0)),"nao encontrado")</f>
        <v>nao encontrado</v>
      </c>
      <c r="AC549" s="0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0" t="str">
        <f aca="false">IFERROR(INDEX('Mov Entradas (Rel 10497)'!$L:$L,MATCH(AC550,'Mov Entradas (Rel 10497)'!$I:$I,0)),"nao encontrado")</f>
        <v>nao encontrado</v>
      </c>
      <c r="AC550" s="0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0" t="str">
        <f aca="false">IFERROR(INDEX('Mov Entradas (Rel 10497)'!$L:$L,MATCH(AC551,'Mov Entradas (Rel 10497)'!$I:$I,0)),"nao encontrado")</f>
        <v>nao encontrado</v>
      </c>
      <c r="AC551" s="0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0" t="str">
        <f aca="false">IFERROR(INDEX('Mov Entradas (Rel 10497)'!$L:$L,MATCH(AC552,'Mov Entradas (Rel 10497)'!$I:$I,0)),"nao encontrado")</f>
        <v>nao encontrado</v>
      </c>
      <c r="AC552" s="0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0" t="str">
        <f aca="false">IFERROR(INDEX('Mov Entradas (Rel 10497)'!$L:$L,MATCH(AC553,'Mov Entradas (Rel 10497)'!$I:$I,0)),"nao encontrado")</f>
        <v>nao encontrado</v>
      </c>
      <c r="AC553" s="0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0" t="str">
        <f aca="false">IFERROR(INDEX('Mov Entradas (Rel 10497)'!$L:$L,MATCH(AC554,'Mov Entradas (Rel 10497)'!$I:$I,0)),"nao encontrado")</f>
        <v>nao encontrado</v>
      </c>
      <c r="AC554" s="0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0" t="str">
        <f aca="false">IFERROR(INDEX('Mov Entradas (Rel 10497)'!$L:$L,MATCH(AC555,'Mov Entradas (Rel 10497)'!$I:$I,0)),"nao encontrado")</f>
        <v>nao encontrado</v>
      </c>
      <c r="AC555" s="0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0" t="str">
        <f aca="false">IFERROR(INDEX('Mov Entradas (Rel 10497)'!$L:$L,MATCH(AC556,'Mov Entradas (Rel 10497)'!$I:$I,0)),"nao encontrado")</f>
        <v>nao encontrado</v>
      </c>
      <c r="AC556" s="0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0" t="str">
        <f aca="false">IFERROR(INDEX('Mov Entradas (Rel 10497)'!$L:$L,MATCH(AC557,'Mov Entradas (Rel 10497)'!$I:$I,0)),"nao encontrado")</f>
        <v>nao encontrado</v>
      </c>
      <c r="AC557" s="0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0" t="str">
        <f aca="false">IFERROR(INDEX('Mov Entradas (Rel 10497)'!$L:$L,MATCH(AC558,'Mov Entradas (Rel 10497)'!$I:$I,0)),"nao encontrado")</f>
        <v>nao encontrado</v>
      </c>
      <c r="AC558" s="0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0" t="str">
        <f aca="false">IFERROR(INDEX('Mov Entradas (Rel 10497)'!$L:$L,MATCH(AC559,'Mov Entradas (Rel 10497)'!$I:$I,0)),"nao encontrado")</f>
        <v>nao encontrado</v>
      </c>
      <c r="AC559" s="0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0" t="str">
        <f aca="false">IFERROR(INDEX('Mov Entradas (Rel 10497)'!$L:$L,MATCH(AC560,'Mov Entradas (Rel 10497)'!$I:$I,0)),"nao encontrado")</f>
        <v>nao encontrado</v>
      </c>
      <c r="AC560" s="0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0" t="str">
        <f aca="false">IFERROR(INDEX('Mov Entradas (Rel 10497)'!$L:$L,MATCH(AC561,'Mov Entradas (Rel 10497)'!$I:$I,0)),"nao encontrado")</f>
        <v>nao encontrado</v>
      </c>
      <c r="AC561" s="0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0" t="str">
        <f aca="false">IFERROR(INDEX('Mov Entradas (Rel 10497)'!$L:$L,MATCH(AC562,'Mov Entradas (Rel 10497)'!$I:$I,0)),"nao encontrado")</f>
        <v>nao encontrado</v>
      </c>
      <c r="AC562" s="0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0" t="str">
        <f aca="false">IFERROR(INDEX('Mov Entradas (Rel 10497)'!$L:$L,MATCH(AC563,'Mov Entradas (Rel 10497)'!$I:$I,0)),"nao encontrado")</f>
        <v>nao encontrado</v>
      </c>
      <c r="AC563" s="0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0" t="str">
        <f aca="false">IFERROR(INDEX('Mov Entradas (Rel 10497)'!$L:$L,MATCH(AC564,'Mov Entradas (Rel 10497)'!$I:$I,0)),"nao encontrado")</f>
        <v>nao encontrado</v>
      </c>
      <c r="AC564" s="0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0" t="str">
        <f aca="false">IFERROR(INDEX('Mov Entradas (Rel 10497)'!$L:$L,MATCH(AC565,'Mov Entradas (Rel 10497)'!$I:$I,0)),"nao encontrado")</f>
        <v>nao encontrado</v>
      </c>
      <c r="AC565" s="0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0" t="str">
        <f aca="false">IFERROR(INDEX('Mov Entradas (Rel 10497)'!$L:$L,MATCH(AC566,'Mov Entradas (Rel 10497)'!$I:$I,0)),"nao encontrado")</f>
        <v>nao encontrado</v>
      </c>
      <c r="AC566" s="0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0" t="str">
        <f aca="false">IFERROR(INDEX('Mov Entradas (Rel 10497)'!$L:$L,MATCH(AC567,'Mov Entradas (Rel 10497)'!$I:$I,0)),"nao encontrado")</f>
        <v>nao encontrado</v>
      </c>
      <c r="AC567" s="0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0" t="str">
        <f aca="false">IFERROR(INDEX('Mov Entradas (Rel 10497)'!$L:$L,MATCH(AC568,'Mov Entradas (Rel 10497)'!$I:$I,0)),"nao encontrado")</f>
        <v>nao encontrado</v>
      </c>
      <c r="AC568" s="0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0" t="str">
        <f aca="false">IFERROR(INDEX('Mov Entradas (Rel 10497)'!$L:$L,MATCH(AC569,'Mov Entradas (Rel 10497)'!$I:$I,0)),"nao encontrado")</f>
        <v>nao encontrado</v>
      </c>
      <c r="AC569" s="0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0" t="str">
        <f aca="false">IFERROR(INDEX('Mov Entradas (Rel 10497)'!$L:$L,MATCH(AC570,'Mov Entradas (Rel 10497)'!$I:$I,0)),"nao encontrado")</f>
        <v>nao encontrado</v>
      </c>
      <c r="AC570" s="0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0" t="str">
        <f aca="false">IFERROR(INDEX('Mov Entradas (Rel 10497)'!$L:$L,MATCH(AC571,'Mov Entradas (Rel 10497)'!$I:$I,0)),"nao encontrado")</f>
        <v>nao encontrado</v>
      </c>
      <c r="AC571" s="0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0" t="str">
        <f aca="false">IFERROR(INDEX('Mov Entradas (Rel 10497)'!$L:$L,MATCH(AC572,'Mov Entradas (Rel 10497)'!$I:$I,0)),"nao encontrado")</f>
        <v>nao encontrado</v>
      </c>
      <c r="AC572" s="0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0" t="str">
        <f aca="false">IFERROR(INDEX('Mov Entradas (Rel 10497)'!$L:$L,MATCH(AC573,'Mov Entradas (Rel 10497)'!$I:$I,0)),"nao encontrado")</f>
        <v>nao encontrado</v>
      </c>
      <c r="AC573" s="0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0" t="str">
        <f aca="false">IFERROR(INDEX('Mov Entradas (Rel 10497)'!$L:$L,MATCH(AC574,'Mov Entradas (Rel 10497)'!$I:$I,0)),"nao encontrado")</f>
        <v>nao encontrado</v>
      </c>
      <c r="AC574" s="0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0" t="str">
        <f aca="false">IFERROR(INDEX('Mov Entradas (Rel 10497)'!$L:$L,MATCH(AC576,'Mov Entradas (Rel 10497)'!$I:$I,0)),"nao encontrado")</f>
        <v>nao encontrado</v>
      </c>
      <c r="AC576" s="0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0" t="str">
        <f aca="false">IFERROR(INDEX('Mov Entradas (Rel 10497)'!$L:$L,MATCH(AC577,'Mov Entradas (Rel 10497)'!$I:$I,0)),"nao encontrado")</f>
        <v>nao encontrado</v>
      </c>
      <c r="AC577" s="0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0" t="str">
        <f aca="false">IFERROR(INDEX('Mov Entradas (Rel 10497)'!$L:$L,MATCH(AC578,'Mov Entradas (Rel 10497)'!$I:$I,0)),"nao encontrado")</f>
        <v>nao encontrado</v>
      </c>
      <c r="AC578" s="0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0" t="str">
        <f aca="false">IFERROR(INDEX('Mov Entradas (Rel 10497)'!$L:$L,MATCH(AC579,'Mov Entradas (Rel 10497)'!$I:$I,0)),"nao encontrado")</f>
        <v>nao encontrado</v>
      </c>
      <c r="AC579" s="0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0" t="str">
        <f aca="false">IFERROR(INDEX('Mov Entradas (Rel 10497)'!$L:$L,MATCH(AC580,'Mov Entradas (Rel 10497)'!$I:$I,0)),"nao encontrado")</f>
        <v>nao encontrado</v>
      </c>
      <c r="AC580" s="0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0" t="str">
        <f aca="false">IFERROR(INDEX('Mov Entradas (Rel 10497)'!$L:$L,MATCH(AC581,'Mov Entradas (Rel 10497)'!$I:$I,0)),"nao encontrado")</f>
        <v>nao encontrado</v>
      </c>
      <c r="AC581" s="0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0" t="str">
        <f aca="false">IFERROR(INDEX('Mov Entradas (Rel 10497)'!$L:$L,MATCH(AC582,'Mov Entradas (Rel 10497)'!$I:$I,0)),"nao encontrado")</f>
        <v>nao encontrado</v>
      </c>
      <c r="AC582" s="0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0" t="str">
        <f aca="false">IFERROR(INDEX('Mov Entradas (Rel 10497)'!$L:$L,MATCH(AC588,'Mov Entradas (Rel 10497)'!$I:$I,0)),"nao encontrado")</f>
        <v>nao encontrado</v>
      </c>
      <c r="AC588" s="0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0" t="str">
        <f aca="false">IFERROR(INDEX('Mov Entradas (Rel 10497)'!$L:$L,MATCH(AC589,'Mov Entradas (Rel 10497)'!$I:$I,0)),"nao encontrado")</f>
        <v>nao encontrado</v>
      </c>
      <c r="AC589" s="0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0" t="str">
        <f aca="false">IFERROR(INDEX('Mov Entradas (Rel 10497)'!$L:$L,MATCH(AC590,'Mov Entradas (Rel 10497)'!$I:$I,0)),"nao encontrado")</f>
        <v>nao encontrado</v>
      </c>
      <c r="AC590" s="0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0" t="str">
        <f aca="false">IFERROR(INDEX('Mov Entradas (Rel 10497)'!$L:$L,MATCH(AC591,'Mov Entradas (Rel 10497)'!$I:$I,0)),"nao encontrado")</f>
        <v>nao encontrado</v>
      </c>
      <c r="AC591" s="0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0" t="str">
        <f aca="false">IFERROR(INDEX('Mov Entradas (Rel 10497)'!$L:$L,MATCH(AC592,'Mov Entradas (Rel 10497)'!$I:$I,0)),"nao encontrado")</f>
        <v>nao encontrado</v>
      </c>
      <c r="AC592" s="0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0" t="str">
        <f aca="false">IFERROR(INDEX('Mov Entradas (Rel 10497)'!$L:$L,MATCH(AC593,'Mov Entradas (Rel 10497)'!$I:$I,0)),"nao encontrado")</f>
        <v>nao encontrado</v>
      </c>
      <c r="AC593" s="0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0" t="str">
        <f aca="false">IFERROR(INDEX('Mov Entradas (Rel 10497)'!$L:$L,MATCH(AC594,'Mov Entradas (Rel 10497)'!$I:$I,0)),"nao encontrado")</f>
        <v>nao encontrado</v>
      </c>
      <c r="AC594" s="0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0" t="str">
        <f aca="false">IFERROR(INDEX('Mov Entradas (Rel 10497)'!$L:$L,MATCH(AC595,'Mov Entradas (Rel 10497)'!$I:$I,0)),"nao encontrado")</f>
        <v>nao encontrado</v>
      </c>
      <c r="AC595" s="0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0" t="str">
        <f aca="false">IFERROR(INDEX('Mov Entradas (Rel 10497)'!$L:$L,MATCH(AC602,'Mov Entradas (Rel 10497)'!$I:$I,0)),"nao encontrado")</f>
        <v>nao encontrado</v>
      </c>
      <c r="AC602" s="0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0" t="str">
        <f aca="false">IFERROR(INDEX('Mov Entradas (Rel 10497)'!$L:$L,MATCH(AC603,'Mov Entradas (Rel 10497)'!$I:$I,0)),"nao encontrado")</f>
        <v>nao encontrado</v>
      </c>
      <c r="AC603" s="0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0" t="str">
        <f aca="false">IFERROR(INDEX('Mov Entradas (Rel 10497)'!$L:$L,MATCH(AC604,'Mov Entradas (Rel 10497)'!$I:$I,0)),"nao encontrado")</f>
        <v>nao encontrado</v>
      </c>
      <c r="AC604" s="0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0" t="str">
        <f aca="false">IFERROR(INDEX('Mov Entradas (Rel 10497)'!$L:$L,MATCH(AC605,'Mov Entradas (Rel 10497)'!$I:$I,0)),"nao encontrado")</f>
        <v>nao encontrado</v>
      </c>
      <c r="AC605" s="0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0" t="str">
        <f aca="false">IFERROR(INDEX('Mov Entradas (Rel 10497)'!$L:$L,MATCH(AC606,'Mov Entradas (Rel 10497)'!$I:$I,0)),"nao encontrado")</f>
        <v>nao encontrado</v>
      </c>
      <c r="AC606" s="0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0" t="str">
        <f aca="false">IFERROR(INDEX('Mov Entradas (Rel 10497)'!$L:$L,MATCH(AC607,'Mov Entradas (Rel 10497)'!$I:$I,0)),"nao encontrado")</f>
        <v>nao encontrado</v>
      </c>
      <c r="AC607" s="0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0" t="str">
        <f aca="false">IFERROR(INDEX('Mov Entradas (Rel 10497)'!$L:$L,MATCH(AC608,'Mov Entradas (Rel 10497)'!$I:$I,0)),"nao encontrado")</f>
        <v>nao encontrado</v>
      </c>
      <c r="AC608" s="0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0" t="str">
        <f aca="false">IFERROR(INDEX('Mov Entradas (Rel 10497)'!$L:$L,MATCH(AC609,'Mov Entradas (Rel 10497)'!$I:$I,0)),"nao encontrado")</f>
        <v>nao encontrado</v>
      </c>
      <c r="AC609" s="0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0" t="str">
        <f aca="false">IFERROR(INDEX('Mov Entradas (Rel 10497)'!$L:$L,MATCH(AC610,'Mov Entradas (Rel 10497)'!$I:$I,0)),"nao encontrado")</f>
        <v>nao encontrado</v>
      </c>
      <c r="AC610" s="0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0" t="str">
        <f aca="false">IFERROR(INDEX('Mov Entradas (Rel 10497)'!$L:$L,MATCH(AC616,'Mov Entradas (Rel 10497)'!$I:$I,0)),"nao encontrado")</f>
        <v>nao encontrado</v>
      </c>
      <c r="AC616" s="0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0" t="str">
        <f aca="false">IFERROR(INDEX('Mov Entradas (Rel 10497)'!$L:$L,MATCH(AC617,'Mov Entradas (Rel 10497)'!$I:$I,0)),"nao encontrado")</f>
        <v>nao encontrado</v>
      </c>
      <c r="AC617" s="0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0" t="str">
        <f aca="false">IFERROR(INDEX('Mov Entradas (Rel 10497)'!$L:$L,MATCH(AC622,'Mov Entradas (Rel 10497)'!$I:$I,0)),"nao encontrado")</f>
        <v>nao encontrado</v>
      </c>
      <c r="AC622" s="0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0" t="str">
        <f aca="false">IFERROR(INDEX('Mov Entradas (Rel 10497)'!$L:$L,MATCH(AC623,'Mov Entradas (Rel 10497)'!$I:$I,0)),"nao encontrado")</f>
        <v>nao encontrado</v>
      </c>
      <c r="AC623" s="0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0" t="str">
        <f aca="false">IFERROR(INDEX('Mov Entradas (Rel 10497)'!$L:$L,MATCH(AC624,'Mov Entradas (Rel 10497)'!$I:$I,0)),"nao encontrado")</f>
        <v>nao encontrado</v>
      </c>
      <c r="AC624" s="0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0" t="str">
        <f aca="false">IFERROR(INDEX('Mov Entradas (Rel 10497)'!$L:$L,MATCH(AC625,'Mov Entradas (Rel 10497)'!$I:$I,0)),"nao encontrado")</f>
        <v>nao encontrado</v>
      </c>
      <c r="AC625" s="0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0" t="str">
        <f aca="false">IFERROR(INDEX('Mov Entradas (Rel 10497)'!$L:$L,MATCH(AC626,'Mov Entradas (Rel 10497)'!$I:$I,0)),"nao encontrado")</f>
        <v>nao encontrado</v>
      </c>
      <c r="AC626" s="0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0" t="str">
        <f aca="false">IFERROR(INDEX('Mov Entradas (Rel 10497)'!$L:$L,MATCH(AC627,'Mov Entradas (Rel 10497)'!$I:$I,0)),"nao encontrado")</f>
        <v>nao encontrado</v>
      </c>
      <c r="AC627" s="0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0" t="str">
        <f aca="false">IFERROR(INDEX('Mov Entradas (Rel 10497)'!$L:$L,MATCH(AC628,'Mov Entradas (Rel 10497)'!$I:$I,0)),"nao encontrado")</f>
        <v>nao encontrado</v>
      </c>
      <c r="AC628" s="0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0" t="str">
        <f aca="false">IFERROR(INDEX('Mov Entradas (Rel 10497)'!$L:$L,MATCH(AC629,'Mov Entradas (Rel 10497)'!$I:$I,0)),"nao encontrado")</f>
        <v>nao encontrado</v>
      </c>
      <c r="AC629" s="0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0" t="str">
        <f aca="false">IFERROR(INDEX('Mov Entradas (Rel 10497)'!$L:$L,MATCH(AC630,'Mov Entradas (Rel 10497)'!$I:$I,0)),"nao encontrado")</f>
        <v>nao encontrado</v>
      </c>
      <c r="AC630" s="0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0" t="str">
        <f aca="false">IFERROR(INDEX('Mov Entradas (Rel 10497)'!$L:$L,MATCH(AC631,'Mov Entradas (Rel 10497)'!$I:$I,0)),"nao encontrado")</f>
        <v>nao encontrado</v>
      </c>
      <c r="AC631" s="0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0" t="str">
        <f aca="false">IFERROR(INDEX('Mov Entradas (Rel 10497)'!$L:$L,MATCH(AC632,'Mov Entradas (Rel 10497)'!$I:$I,0)),"nao encontrado")</f>
        <v>nao encontrado</v>
      </c>
      <c r="AC632" s="0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0" t="str">
        <f aca="false">IFERROR(INDEX('Mov Entradas (Rel 10497)'!$L:$L,MATCH(AC633,'Mov Entradas (Rel 10497)'!$I:$I,0)),"nao encontrado")</f>
        <v>nao encontrado</v>
      </c>
      <c r="AC633" s="0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0" t="str">
        <f aca="false">IFERROR(INDEX('Mov Entradas (Rel 10497)'!$L:$L,MATCH(AC634,'Mov Entradas (Rel 10497)'!$I:$I,0)),"nao encontrado")</f>
        <v>nao encontrado</v>
      </c>
      <c r="AC634" s="0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0" t="str">
        <f aca="false">IFERROR(INDEX('Mov Entradas (Rel 10497)'!$L:$L,MATCH(AC636,'Mov Entradas (Rel 10497)'!$I:$I,0)),"nao encontrado")</f>
        <v>nao encontrado</v>
      </c>
      <c r="AC636" s="0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0" t="str">
        <f aca="false">IFERROR(INDEX('Mov Entradas (Rel 10497)'!$L:$L,MATCH(AC637,'Mov Entradas (Rel 10497)'!$I:$I,0)),"nao encontrado")</f>
        <v>nao encontrado</v>
      </c>
      <c r="AC637" s="0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0" t="str">
        <f aca="false">IFERROR(INDEX('Mov Entradas (Rel 10497)'!$L:$L,MATCH(AC639,'Mov Entradas (Rel 10497)'!$I:$I,0)),"nao encontrado")</f>
        <v>nao encontrado</v>
      </c>
      <c r="AC639" s="0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0" t="str">
        <f aca="false">IFERROR(INDEX('Mov Entradas (Rel 10497)'!$L:$L,MATCH(AC640,'Mov Entradas (Rel 10497)'!$I:$I,0)),"nao encontrado")</f>
        <v>nao encontrado</v>
      </c>
      <c r="AC640" s="0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0" t="str">
        <f aca="false">IFERROR(INDEX('Mov Entradas (Rel 10497)'!$L:$L,MATCH(AC668,'Mov Entradas (Rel 10497)'!$I:$I,0)),"nao encontrado")</f>
        <v>CASTANHA DE CAJU S/ SAL CR 20G</v>
      </c>
      <c r="AC668" s="0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0" t="str">
        <f aca="false">IFERROR(INDEX('Mov Entradas (Rel 10497)'!$L:$L,MATCH(AC669,'Mov Entradas (Rel 10497)'!$I:$I,0)),"nao encontrado")</f>
        <v>nao encontrado</v>
      </c>
      <c r="AC669" s="0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0" t="str">
        <f aca="false">IFERROR(INDEX('Mov Entradas (Rel 10497)'!$L:$L,MATCH(AC670,'Mov Entradas (Rel 10497)'!$I:$I,0)),"nao encontrado")</f>
        <v>nao encontrado</v>
      </c>
      <c r="AC670" s="0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0" t="str">
        <f aca="false">IFERROR(INDEX('Mov Entradas (Rel 10497)'!$L:$L,MATCH(AC671,'Mov Entradas (Rel 10497)'!$I:$I,0)),"nao encontrado")</f>
        <v>nao encontrado</v>
      </c>
      <c r="AC671" s="0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0" t="str">
        <f aca="false">IFERROR(INDEX('Mov Entradas (Rel 10497)'!$L:$L,MATCH(AC673,'Mov Entradas (Rel 10497)'!$I:$I,0)),"nao encontrado")</f>
        <v>nao encontrado</v>
      </c>
      <c r="AC673" s="0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0" t="str">
        <f aca="false">IFERROR(INDEX('Mov Entradas (Rel 10497)'!$L:$L,MATCH(AC674,'Mov Entradas (Rel 10497)'!$I:$I,0)),"nao encontrado")</f>
        <v>nao encontrado</v>
      </c>
      <c r="AC674" s="0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0" t="str">
        <f aca="false">IFERROR(INDEX('Mov Entradas (Rel 10497)'!$L:$L,MATCH(AC675,'Mov Entradas (Rel 10497)'!$I:$I,0)),"nao encontrado")</f>
        <v>nao encontrado</v>
      </c>
      <c r="AC675" s="0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0" t="str">
        <f aca="false">IFERROR(INDEX('Mov Entradas (Rel 10497)'!$L:$L,MATCH(AC691,'Mov Entradas (Rel 10497)'!$I:$I,0)),"nao encontrado")</f>
        <v>nao encontrado</v>
      </c>
      <c r="AC691" s="0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0" t="str">
        <f aca="false">IFERROR(INDEX('Mov Entradas (Rel 10497)'!$L:$L,MATCH(AC692,'Mov Entradas (Rel 10497)'!$I:$I,0)),"nao encontrado")</f>
        <v>nao encontrado</v>
      </c>
      <c r="AC692" s="0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0" t="str">
        <f aca="false">IFERROR(INDEX('Mov Entradas (Rel 10497)'!$L:$L,MATCH(AC693,'Mov Entradas (Rel 10497)'!$I:$I,0)),"nao encontrado")</f>
        <v>nao encontrado</v>
      </c>
      <c r="AC693" s="0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0" t="str">
        <f aca="false">IFERROR(INDEX('Mov Entradas (Rel 10497)'!$L:$L,MATCH(AC694,'Mov Entradas (Rel 10497)'!$I:$I,0)),"nao encontrado")</f>
        <v>nao encontrado</v>
      </c>
      <c r="AC694" s="0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0" t="str">
        <f aca="false">IFERROR(INDEX('Mov Entradas (Rel 10497)'!$L:$L,MATCH(AC695,'Mov Entradas (Rel 10497)'!$I:$I,0)),"nao encontrado")</f>
        <v>nao encontrado</v>
      </c>
      <c r="AC695" s="0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0" t="str">
        <f aca="false">IFERROR(INDEX('Mov Entradas (Rel 10497)'!$L:$L,MATCH(AC696,'Mov Entradas (Rel 10497)'!$I:$I,0)),"nao encontrado")</f>
        <v>nao encontrado</v>
      </c>
      <c r="AC696" s="0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0" t="str">
        <f aca="false">IFERROR(INDEX('Mov Entradas (Rel 10497)'!$L:$L,MATCH(AC697,'Mov Entradas (Rel 10497)'!$I:$I,0)),"nao encontrado")</f>
        <v>nao encontrado</v>
      </c>
      <c r="AC697" s="0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0" t="str">
        <f aca="false">IFERROR(INDEX('Mov Entradas (Rel 10497)'!$L:$L,MATCH(AC698,'Mov Entradas (Rel 10497)'!$I:$I,0)),"nao encontrado")</f>
        <v>nao encontrado</v>
      </c>
      <c r="AC698" s="0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0" t="str">
        <f aca="false">IFERROR(INDEX('Mov Entradas (Rel 10497)'!$L:$L,MATCH(AC699,'Mov Entradas (Rel 10497)'!$I:$I,0)),"nao encontrado")</f>
        <v>nao encontrado</v>
      </c>
      <c r="AC699" s="0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0" t="str">
        <f aca="false">IFERROR(INDEX('Mov Entradas (Rel 10497)'!$L:$L,MATCH(AC701,'Mov Entradas (Rel 10497)'!$I:$I,0)),"nao encontrado")</f>
        <v>nao encontrado</v>
      </c>
      <c r="AC701" s="0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0" t="str">
        <f aca="false">IFERROR(INDEX('Mov Entradas (Rel 10497)'!$L:$L,MATCH(AC702,'Mov Entradas (Rel 10497)'!$I:$I,0)),"nao encontrado")</f>
        <v>nao encontrado</v>
      </c>
      <c r="AC702" s="0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0" t="str">
        <f aca="false">IFERROR(INDEX('Mov Entradas (Rel 10497)'!$L:$L,MATCH(AC703,'Mov Entradas (Rel 10497)'!$I:$I,0)),"nao encontrado")</f>
        <v>nao encontrado</v>
      </c>
      <c r="AC703" s="0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0" t="str">
        <f aca="false">IFERROR(INDEX('Mov Entradas (Rel 10497)'!$L:$L,MATCH(AC704,'Mov Entradas (Rel 10497)'!$I:$I,0)),"nao encontrado")</f>
        <v>nao encontrado</v>
      </c>
      <c r="AC704" s="0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0" t="str">
        <f aca="false">IFERROR(INDEX('Mov Entradas (Rel 10497)'!$L:$L,MATCH(AC706,'Mov Entradas (Rel 10497)'!$I:$I,0)),"nao encontrado")</f>
        <v>nao encontrado</v>
      </c>
      <c r="AC706" s="0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0" t="str">
        <f aca="false">IFERROR(INDEX('Mov Entradas (Rel 10497)'!$L:$L,MATCH(AC712,'Mov Entradas (Rel 10497)'!$I:$I,0)),"nao encontrado")</f>
        <v>CARVAO VEGETAL 3KG</v>
      </c>
      <c r="AC712" s="0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0" t="str">
        <f aca="false">IFERROR(INDEX('Mov Entradas (Rel 10497)'!$L:$L,MATCH(AC714,'Mov Entradas (Rel 10497)'!$I:$I,0)),"nao encontrado")</f>
        <v>nao encontrado</v>
      </c>
      <c r="AC714" s="0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0" t="str">
        <f aca="false">IFERROR(INDEX('Mov Entradas (Rel 10497)'!$L:$L,MATCH(AC715,'Mov Entradas (Rel 10497)'!$I:$I,0)),"nao encontrado")</f>
        <v>nao encontrado</v>
      </c>
      <c r="AC715" s="0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0" t="str">
        <f aca="false">IFERROR(INDEX('Mov Entradas (Rel 10497)'!$L:$L,MATCH(AC716,'Mov Entradas (Rel 10497)'!$I:$I,0)),"nao encontrado")</f>
        <v>nao encontrado</v>
      </c>
      <c r="AC716" s="0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0" t="str">
        <f aca="false">IFERROR(INDEX('Mov Entradas (Rel 10497)'!$L:$L,MATCH(AC717,'Mov Entradas (Rel 10497)'!$I:$I,0)),"nao encontrado")</f>
        <v>nao encontrado</v>
      </c>
      <c r="AC717" s="0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0" t="str">
        <f aca="false">IFERROR(INDEX('Mov Entradas (Rel 10497)'!$L:$L,MATCH(AC718,'Mov Entradas (Rel 10497)'!$I:$I,0)),"nao encontrado")</f>
        <v>nao encontrado</v>
      </c>
      <c r="AC718" s="0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0" t="str">
        <f aca="false">IFERROR(INDEX('Mov Entradas (Rel 10497)'!$L:$L,MATCH(AC719,'Mov Entradas (Rel 10497)'!$I:$I,0)),"nao encontrado")</f>
        <v>nao encontrado</v>
      </c>
      <c r="AC719" s="0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0" t="str">
        <f aca="false">IFERROR(INDEX('Mov Entradas (Rel 10497)'!$L:$L,MATCH(AC720,'Mov Entradas (Rel 10497)'!$I:$I,0)),"nao encontrado")</f>
        <v>nao encontrado</v>
      </c>
      <c r="AC720" s="0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0" t="str">
        <f aca="false">IFERROR(INDEX('Mov Entradas (Rel 10497)'!$L:$L,MATCH(AC721,'Mov Entradas (Rel 10497)'!$I:$I,0)),"nao encontrado")</f>
        <v>nao encontrado</v>
      </c>
      <c r="AC721" s="0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0" t="str">
        <f aca="false">IFERROR(INDEX('Mov Entradas (Rel 10497)'!$L:$L,MATCH(AC722,'Mov Entradas (Rel 10497)'!$I:$I,0)),"nao encontrado")</f>
        <v>nao encontrado</v>
      </c>
      <c r="AC722" s="0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0" t="str">
        <f aca="false">IFERROR(INDEX('Mov Entradas (Rel 10497)'!$L:$L,MATCH(AC723,'Mov Entradas (Rel 10497)'!$I:$I,0)),"nao encontrado")</f>
        <v>nao encontrado</v>
      </c>
      <c r="AC723" s="0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0" t="str">
        <f aca="false">IFERROR(INDEX('Mov Entradas (Rel 10497)'!$L:$L,MATCH(AC724,'Mov Entradas (Rel 10497)'!$I:$I,0)),"nao encontrado")</f>
        <v>nao encontrado</v>
      </c>
      <c r="AC724" s="0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0" t="str">
        <f aca="false">IFERROR(INDEX('Mov Entradas (Rel 10497)'!$L:$L,MATCH(AC725,'Mov Entradas (Rel 10497)'!$I:$I,0)),"nao encontrado")</f>
        <v>nao encontrado</v>
      </c>
      <c r="AC725" s="0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0" t="str">
        <f aca="false">IFERROR(INDEX('Mov Entradas (Rel 10497)'!$L:$L,MATCH(AC726,'Mov Entradas (Rel 10497)'!$I:$I,0)),"nao encontrado")</f>
        <v>nao encontrado</v>
      </c>
      <c r="AC726" s="0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0" t="str">
        <f aca="false">IFERROR(INDEX('Mov Entradas (Rel 10497)'!$L:$L,MATCH(AC727,'Mov Entradas (Rel 10497)'!$I:$I,0)),"nao encontrado")</f>
        <v>nao encontrado</v>
      </c>
      <c r="AC727" s="0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0" t="str">
        <f aca="false">IFERROR(INDEX('Mov Entradas (Rel 10497)'!$L:$L,MATCH(AC728,'Mov Entradas (Rel 10497)'!$I:$I,0)),"nao encontrado")</f>
        <v>nao encontrado</v>
      </c>
      <c r="AC728" s="0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0" t="str">
        <f aca="false">IFERROR(INDEX('Mov Entradas (Rel 10497)'!$L:$L,MATCH(AC729,'Mov Entradas (Rel 10497)'!$I:$I,0)),"nao encontrado")</f>
        <v>nao encontrado</v>
      </c>
      <c r="AC729" s="0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0" t="str">
        <f aca="false">IFERROR(INDEX('Mov Entradas (Rel 10497)'!$L:$L,MATCH(AC730,'Mov Entradas (Rel 10497)'!$I:$I,0)),"nao encontrado")</f>
        <v>nao encontrado</v>
      </c>
      <c r="AC730" s="0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0" t="str">
        <f aca="false">IFERROR(INDEX('Mov Entradas (Rel 10497)'!$L:$L,MATCH(AC731,'Mov Entradas (Rel 10497)'!$I:$I,0)),"nao encontrado")</f>
        <v>nao encontrado</v>
      </c>
      <c r="AC731" s="0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0" t="str">
        <f aca="false">IFERROR(INDEX('Mov Entradas (Rel 10497)'!$L:$L,MATCH(AC732,'Mov Entradas (Rel 10497)'!$I:$I,0)),"nao encontrado")</f>
        <v>nao encontrado</v>
      </c>
      <c r="AC732" s="0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0" t="str">
        <f aca="false">IFERROR(INDEX('Mov Entradas (Rel 10497)'!$L:$L,MATCH(AC733,'Mov Entradas (Rel 10497)'!$I:$I,0)),"nao encontrado")</f>
        <v>nao encontrado</v>
      </c>
      <c r="AC733" s="0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0" t="str">
        <f aca="false">IFERROR(INDEX('Mov Entradas (Rel 10497)'!$L:$L,MATCH(AC734,'Mov Entradas (Rel 10497)'!$I:$I,0)),"nao encontrado")</f>
        <v>nao encontrado</v>
      </c>
      <c r="AC734" s="0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0" t="str">
        <f aca="false">IFERROR(INDEX('Mov Entradas (Rel 10497)'!$L:$L,MATCH(AC735,'Mov Entradas (Rel 10497)'!$I:$I,0)),"nao encontrado")</f>
        <v>nao encontrado</v>
      </c>
      <c r="AC735" s="0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0" t="str">
        <f aca="false">IFERROR(INDEX('Mov Entradas (Rel 10497)'!$L:$L,MATCH(AC736,'Mov Entradas (Rel 10497)'!$I:$I,0)),"nao encontrado")</f>
        <v>nao encontrado</v>
      </c>
      <c r="AC736" s="0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0" t="str">
        <f aca="false">IFERROR(INDEX('Mov Entradas (Rel 10497)'!$L:$L,MATCH(AC737,'Mov Entradas (Rel 10497)'!$I:$I,0)),"nao encontrado")</f>
        <v>nao encontrado</v>
      </c>
      <c r="AC737" s="0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0" t="str">
        <f aca="false">IFERROR(INDEX('Mov Entradas (Rel 10497)'!$L:$L,MATCH(AC738,'Mov Entradas (Rel 10497)'!$I:$I,0)),"nao encontrado")</f>
        <v>nao encontrado</v>
      </c>
      <c r="AC738" s="0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0" t="str">
        <f aca="false">IFERROR(INDEX('Mov Entradas (Rel 10497)'!$L:$L,MATCH(AC739,'Mov Entradas (Rel 10497)'!$I:$I,0)),"nao encontrado")</f>
        <v>nao encontrado</v>
      </c>
      <c r="AC739" s="0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0" t="str">
        <f aca="false">IFERROR(INDEX('Mov Entradas (Rel 10497)'!$L:$L,MATCH(AC740,'Mov Entradas (Rel 10497)'!$I:$I,0)),"nao encontrado")</f>
        <v>nao encontrado</v>
      </c>
      <c r="AC740" s="0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0" t="str">
        <f aca="false">IFERROR(INDEX('Mov Entradas (Rel 10497)'!$L:$L,MATCH(AC741,'Mov Entradas (Rel 10497)'!$I:$I,0)),"nao encontrado")</f>
        <v>nao encontrado</v>
      </c>
      <c r="AC741" s="0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0" t="str">
        <f aca="false">IFERROR(INDEX('Mov Entradas (Rel 10497)'!$L:$L,MATCH(AC742,'Mov Entradas (Rel 10497)'!$I:$I,0)),"nao encontrado")</f>
        <v>nao encontrado</v>
      </c>
      <c r="AC742" s="0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0" t="str">
        <f aca="false">IFERROR(INDEX('Mov Entradas (Rel 10497)'!$L:$L,MATCH(AC744,'Mov Entradas (Rel 10497)'!$I:$I,0)),"nao encontrado")</f>
        <v>nao encontrado</v>
      </c>
      <c r="AC744" s="0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0" t="str">
        <f aca="false">IFERROR(INDEX('Mov Entradas (Rel 10497)'!$L:$L,MATCH(AC745,'Mov Entradas (Rel 10497)'!$I:$I,0)),"nao encontrado")</f>
        <v>nao encontrado</v>
      </c>
      <c r="AC745" s="0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0" t="str">
        <f aca="false">IFERROR(INDEX('Mov Entradas (Rel 10497)'!$L:$L,MATCH(AC747,'Mov Entradas (Rel 10497)'!$I:$I,0)),"nao encontrado")</f>
        <v>nao encontrado</v>
      </c>
      <c r="AC747" s="0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0" t="str">
        <f aca="false">IFERROR(INDEX('Mov Entradas (Rel 10497)'!$L:$L,MATCH(AC748,'Mov Entradas (Rel 10497)'!$I:$I,0)),"nao encontrado")</f>
        <v>nao encontrado</v>
      </c>
      <c r="AC748" s="0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0" t="str">
        <f aca="false">IFERROR(INDEX('Mov Entradas (Rel 10497)'!$L:$L,MATCH(AC749,'Mov Entradas (Rel 10497)'!$I:$I,0)),"nao encontrado")</f>
        <v>nao encontrado</v>
      </c>
      <c r="AC749" s="0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0" t="str">
        <f aca="false">IFERROR(INDEX('Mov Entradas (Rel 10497)'!$L:$L,MATCH(AC752,'Mov Entradas (Rel 10497)'!$I:$I,0)),"nao encontrado")</f>
        <v>nao encontrado</v>
      </c>
      <c r="AC752" s="0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0" t="str">
        <f aca="false">IFERROR(INDEX('Mov Entradas (Rel 10497)'!$L:$L,MATCH(AC754,'Mov Entradas (Rel 10497)'!$I:$I,0)),"nao encontrado")</f>
        <v>nao encontrado</v>
      </c>
      <c r="AC754" s="0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42</v>
      </c>
      <c r="E755" s="13" t="s">
        <v>81</v>
      </c>
      <c r="F755" s="11" t="n">
        <v>13</v>
      </c>
      <c r="G755" s="13" t="s">
        <v>82</v>
      </c>
      <c r="H755" s="11" t="n">
        <v>2110101</v>
      </c>
      <c r="I755" s="13" t="s">
        <v>44</v>
      </c>
      <c r="J755" s="11" t="n">
        <v>1359860</v>
      </c>
      <c r="L755" s="11" t="n">
        <v>4353</v>
      </c>
      <c r="M755" s="13" t="s">
        <v>45</v>
      </c>
      <c r="N755" s="13" t="s">
        <v>70</v>
      </c>
      <c r="P755" s="11" t="n">
        <v>167</v>
      </c>
      <c r="Q755" s="13" t="s">
        <v>102</v>
      </c>
      <c r="R755" s="13" t="s">
        <v>47</v>
      </c>
      <c r="S755" s="11" t="n">
        <v>1130101</v>
      </c>
      <c r="T755" s="13" t="s">
        <v>48</v>
      </c>
      <c r="U755" s="14" t="n">
        <v>90</v>
      </c>
      <c r="W755" s="14" t="n">
        <v>90</v>
      </c>
      <c r="X755" s="13" t="s">
        <v>83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1359935</v>
      </c>
      <c r="L756" s="11" t="n">
        <v>4354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240</v>
      </c>
      <c r="W756" s="14" t="n">
        <v>240</v>
      </c>
      <c r="X756" s="13" t="s">
        <v>84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239</v>
      </c>
      <c r="E757" s="13" t="s">
        <v>97</v>
      </c>
      <c r="F757" s="11" t="n">
        <v>34</v>
      </c>
      <c r="G757" s="13" t="s">
        <v>34</v>
      </c>
      <c r="H757" s="11" t="n">
        <v>2110405</v>
      </c>
      <c r="I757" s="13" t="s">
        <v>35</v>
      </c>
      <c r="J757" s="11" t="n">
        <v>1360617</v>
      </c>
      <c r="L757" s="11" t="n">
        <v>212444</v>
      </c>
      <c r="M757" s="13" t="s">
        <v>45</v>
      </c>
      <c r="N757" s="13" t="s">
        <v>37</v>
      </c>
      <c r="P757" s="11" t="n">
        <v>167</v>
      </c>
      <c r="Q757" s="13" t="s">
        <v>102</v>
      </c>
      <c r="R757" s="13" t="s">
        <v>73</v>
      </c>
      <c r="S757" s="11" t="n">
        <v>4210301</v>
      </c>
      <c r="T757" s="13" t="s">
        <v>232</v>
      </c>
      <c r="U757" s="14" t="n">
        <v>573.64</v>
      </c>
      <c r="W757" s="14" t="n">
        <v>0</v>
      </c>
      <c r="X757" s="13" t="s">
        <v>863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10070</v>
      </c>
      <c r="E758" s="13" t="s">
        <v>94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1360622</v>
      </c>
      <c r="L758" s="11" t="n">
        <v>212446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1286.92</v>
      </c>
      <c r="W758" s="14" t="n">
        <v>0</v>
      </c>
      <c r="X758" s="13" t="s">
        <v>863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10053</v>
      </c>
      <c r="E759" s="13" t="s">
        <v>102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1360627</v>
      </c>
      <c r="L759" s="11" t="n">
        <v>212448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1029.46</v>
      </c>
      <c r="W759" s="14" t="n">
        <v>0</v>
      </c>
      <c r="X759" s="13" t="s">
        <v>863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389</v>
      </c>
      <c r="E760" s="13" t="s">
        <v>100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1360628</v>
      </c>
      <c r="L760" s="11" t="n">
        <v>212450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1165.15</v>
      </c>
      <c r="W760" s="14" t="n">
        <v>0</v>
      </c>
      <c r="X760" s="13" t="s">
        <v>863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35</v>
      </c>
      <c r="E761" s="13" t="s">
        <v>46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1360631</v>
      </c>
      <c r="L761" s="11" t="n">
        <v>212451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1219.98</v>
      </c>
      <c r="W761" s="14" t="n">
        <v>0</v>
      </c>
      <c r="X761" s="13" t="s">
        <v>863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41</v>
      </c>
      <c r="E762" s="13" t="s">
        <v>91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1360635</v>
      </c>
      <c r="L762" s="11" t="n">
        <v>212453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871.35</v>
      </c>
      <c r="W762" s="14" t="n">
        <v>0</v>
      </c>
      <c r="X762" s="13" t="s">
        <v>863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313</v>
      </c>
      <c r="E763" s="13" t="s">
        <v>93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1360646</v>
      </c>
      <c r="L763" s="11" t="n">
        <v>212456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1210.12</v>
      </c>
      <c r="W763" s="14" t="n">
        <v>0</v>
      </c>
      <c r="X763" s="13" t="s">
        <v>863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83</v>
      </c>
      <c r="E764" s="13" t="s">
        <v>103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1360649</v>
      </c>
      <c r="L764" s="11" t="n">
        <v>212457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1247.45</v>
      </c>
      <c r="W764" s="14" t="n">
        <v>0</v>
      </c>
      <c r="X764" s="13" t="s">
        <v>863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320</v>
      </c>
      <c r="E765" s="13" t="s">
        <v>101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1360652</v>
      </c>
      <c r="L765" s="11" t="n">
        <v>212459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881.33</v>
      </c>
      <c r="W765" s="14" t="n">
        <v>0</v>
      </c>
      <c r="X765" s="13" t="s">
        <v>863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332</v>
      </c>
      <c r="E766" s="13" t="s">
        <v>92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1360653</v>
      </c>
      <c r="L766" s="11" t="n">
        <v>212460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566.52</v>
      </c>
      <c r="W766" s="14" t="n">
        <v>0</v>
      </c>
      <c r="X766" s="13" t="s">
        <v>863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358</v>
      </c>
      <c r="E767" s="13" t="s">
        <v>96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1360656</v>
      </c>
      <c r="L767" s="11" t="n">
        <v>212461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1100.53</v>
      </c>
      <c r="W767" s="14" t="n">
        <v>0</v>
      </c>
      <c r="X767" s="13" t="s">
        <v>863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10071</v>
      </c>
      <c r="E768" s="13" t="s">
        <v>98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1360659</v>
      </c>
      <c r="L768" s="11" t="n">
        <v>212463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1481</v>
      </c>
      <c r="W768" s="14" t="n">
        <v>0</v>
      </c>
      <c r="X768" s="13" t="s">
        <v>863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10072</v>
      </c>
      <c r="E769" s="13" t="s">
        <v>99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1360664</v>
      </c>
      <c r="L769" s="11" t="n">
        <v>212465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1439.86</v>
      </c>
      <c r="W769" s="14" t="n">
        <v>0</v>
      </c>
      <c r="X769" s="13" t="s">
        <v>863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200</v>
      </c>
      <c r="E770" s="13" t="s">
        <v>95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1360667</v>
      </c>
      <c r="L770" s="11" t="n">
        <v>212466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1268.02</v>
      </c>
      <c r="W770" s="14" t="n">
        <v>0</v>
      </c>
      <c r="X770" s="13" t="s">
        <v>863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239</v>
      </c>
      <c r="E771" s="13" t="s">
        <v>97</v>
      </c>
      <c r="F771" s="11" t="n">
        <v>7</v>
      </c>
      <c r="G771" s="13" t="s">
        <v>231</v>
      </c>
      <c r="H771" s="11" t="n">
        <v>2110101</v>
      </c>
      <c r="I771" s="13" t="s">
        <v>44</v>
      </c>
      <c r="J771" s="11" t="n">
        <v>1360682</v>
      </c>
      <c r="L771" s="11" t="n">
        <v>212468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498.72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10070</v>
      </c>
      <c r="E772" s="13" t="s">
        <v>94</v>
      </c>
      <c r="F772" s="11" t="n">
        <v>7</v>
      </c>
      <c r="G772" s="13" t="s">
        <v>231</v>
      </c>
      <c r="H772" s="11" t="n">
        <v>2110405</v>
      </c>
      <c r="I772" s="13" t="s">
        <v>35</v>
      </c>
      <c r="J772" s="11" t="n">
        <v>1360686</v>
      </c>
      <c r="L772" s="11" t="n">
        <v>212469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497.4</v>
      </c>
      <c r="W772" s="14" t="n">
        <v>0</v>
      </c>
      <c r="X772" s="13" t="s">
        <v>864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10053</v>
      </c>
      <c r="E773" s="13" t="s">
        <v>102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1360693</v>
      </c>
      <c r="L773" s="11" t="n">
        <v>212470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505.75</v>
      </c>
      <c r="W773" s="14" t="n">
        <v>0</v>
      </c>
      <c r="X773" s="13" t="s">
        <v>864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389</v>
      </c>
      <c r="E774" s="13" t="s">
        <v>100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1360696</v>
      </c>
      <c r="L774" s="11" t="n">
        <v>212471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544.49</v>
      </c>
      <c r="W774" s="14" t="n">
        <v>0</v>
      </c>
      <c r="X774" s="13" t="s">
        <v>864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35</v>
      </c>
      <c r="E775" s="13" t="s">
        <v>46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1360701</v>
      </c>
      <c r="L775" s="11" t="n">
        <v>212474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471.65</v>
      </c>
      <c r="W775" s="14" t="n">
        <v>0</v>
      </c>
      <c r="X775" s="13" t="s">
        <v>864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41</v>
      </c>
      <c r="E776" s="13" t="s">
        <v>91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1360706</v>
      </c>
      <c r="L776" s="11" t="n">
        <v>212476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621.68</v>
      </c>
      <c r="W776" s="14" t="n">
        <v>0</v>
      </c>
      <c r="X776" s="13" t="s">
        <v>864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313</v>
      </c>
      <c r="E777" s="13" t="s">
        <v>93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1360712</v>
      </c>
      <c r="L777" s="11" t="n">
        <v>212478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497.9</v>
      </c>
      <c r="W777" s="14" t="n">
        <v>0</v>
      </c>
      <c r="X777" s="13" t="s">
        <v>864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864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864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864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864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864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864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864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864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864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0" t="str">
        <f aca="false">IFERROR(INDEX('Mov Entradas (Rel 10497)'!$L:$L,MATCH(AC790,'Mov Entradas (Rel 10497)'!$I:$I,0)),"nao encontrado")</f>
        <v>CARVAO VEGETAL 1,5 K</v>
      </c>
      <c r="AC790" s="0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0" t="str">
        <f aca="false">IFERROR(INDEX('Mov Entradas (Rel 10497)'!$L:$L,MATCH(AC796,'Mov Entradas (Rel 10497)'!$I:$I,0)),"nao encontrado")</f>
        <v>nao encontrado</v>
      </c>
      <c r="AC796" s="0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0" t="str">
        <f aca="false">IFERROR(INDEX('Mov Entradas (Rel 10497)'!$L:$L,MATCH(AC797,'Mov Entradas (Rel 10497)'!$I:$I,0)),"nao encontrado")</f>
        <v>nao encontrado</v>
      </c>
      <c r="AC797" s="0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0" t="str">
        <f aca="false">IFERROR(INDEX('Mov Entradas (Rel 10497)'!$L:$L,MATCH(AC798,'Mov Entradas (Rel 10497)'!$I:$I,0)),"nao encontrado")</f>
        <v>nao encontrado</v>
      </c>
      <c r="AC798" s="0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0" t="str">
        <f aca="false">IFERROR(INDEX('Mov Entradas (Rel 10497)'!$L:$L,MATCH(AC799,'Mov Entradas (Rel 10497)'!$I:$I,0)),"nao encontrado")</f>
        <v>nao encontrado</v>
      </c>
      <c r="AC799" s="0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0" t="str">
        <f aca="false">IFERROR(INDEX('Mov Entradas (Rel 10497)'!$L:$L,MATCH(AC800,'Mov Entradas (Rel 10497)'!$I:$I,0)),"nao encontrado")</f>
        <v>nao encontrado</v>
      </c>
      <c r="AC800" s="0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0" t="str">
        <f aca="false">IFERROR(INDEX('Mov Entradas (Rel 10497)'!$L:$L,MATCH(AC801,'Mov Entradas (Rel 10497)'!$I:$I,0)),"nao encontrado")</f>
        <v>nao encontrado</v>
      </c>
      <c r="AC801" s="0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0" t="str">
        <f aca="false">IFERROR(INDEX('Mov Entradas (Rel 10497)'!$L:$L,MATCH(AC802,'Mov Entradas (Rel 10497)'!$I:$I,0)),"nao encontrado")</f>
        <v>nao encontrado</v>
      </c>
      <c r="AC802" s="0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0" t="str">
        <f aca="false">IFERROR(INDEX('Mov Entradas (Rel 10497)'!$L:$L,MATCH(AC803,'Mov Entradas (Rel 10497)'!$I:$I,0)),"nao encontrado")</f>
        <v>nao encontrado</v>
      </c>
      <c r="AC803" s="0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0" t="str">
        <f aca="false">IFERROR(INDEX('Mov Entradas (Rel 10497)'!$L:$L,MATCH(AC804,'Mov Entradas (Rel 10497)'!$I:$I,0)),"nao encontrado")</f>
        <v>nao encontrado</v>
      </c>
      <c r="AC804" s="0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0" t="str">
        <f aca="false">IFERROR(INDEX('Mov Entradas (Rel 10497)'!$L:$L,MATCH(AC805,'Mov Entradas (Rel 10497)'!$I:$I,0)),"nao encontrado")</f>
        <v>nao encontrado</v>
      </c>
      <c r="AC805" s="0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0" t="str">
        <f aca="false">IFERROR(INDEX('Mov Entradas (Rel 10497)'!$L:$L,MATCH(AC806,'Mov Entradas (Rel 10497)'!$I:$I,0)),"nao encontrado")</f>
        <v>nao encontrado</v>
      </c>
      <c r="AC806" s="0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0" t="str">
        <f aca="false">IFERROR(INDEX('Mov Entradas (Rel 10497)'!$L:$L,MATCH(AC807,'Mov Entradas (Rel 10497)'!$I:$I,0)),"nao encontrado")</f>
        <v>nao encontrado</v>
      </c>
      <c r="AC807" s="0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0" t="str">
        <f aca="false">IFERROR(INDEX('Mov Entradas (Rel 10497)'!$L:$L,MATCH(AC811,'Mov Entradas (Rel 10497)'!$I:$I,0)),"nao encontrado")</f>
        <v>nao encontrado</v>
      </c>
      <c r="AC811" s="0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0" t="str">
        <f aca="false">IFERROR(INDEX('Mov Entradas (Rel 10497)'!$L:$L,MATCH(AC813,'Mov Entradas (Rel 10497)'!$I:$I,0)),"nao encontrado")</f>
        <v>nao encontrado</v>
      </c>
      <c r="AC813" s="0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0" t="str">
        <f aca="false">IFERROR(INDEX('Mov Entradas (Rel 10497)'!$L:$L,MATCH(AC817,'Mov Entradas (Rel 10497)'!$I:$I,0)),"nao encontrado")</f>
        <v>MACA FUJI KG</v>
      </c>
      <c r="AC817" s="0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0" t="str">
        <f aca="false">IFERROR(INDEX('Mov Entradas (Rel 10497)'!$L:$L,MATCH(AC823,'Mov Entradas (Rel 10497)'!$I:$I,0)),"nao encontrado")</f>
        <v>nao encontrado</v>
      </c>
      <c r="AC823" s="0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0" t="str">
        <f aca="false">IFERROR(INDEX('Mov Entradas (Rel 10497)'!$L:$L,MATCH(AC827,'Mov Entradas (Rel 10497)'!$I:$I,0)),"nao encontrado")</f>
        <v>nao encontrado</v>
      </c>
      <c r="AC827" s="0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0" t="str">
        <f aca="false">IFERROR(INDEX('Mov Entradas (Rel 10497)'!$L:$L,MATCH(AC828,'Mov Entradas (Rel 10497)'!$I:$I,0)),"nao encontrado")</f>
        <v>nao encontrado</v>
      </c>
      <c r="AC828" s="0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46186</v>
      </c>
      <c r="C831" s="12" t="n">
        <v>46213</v>
      </c>
      <c r="D831" s="11" t="n">
        <v>1039</v>
      </c>
      <c r="E831" s="13" t="s">
        <v>596</v>
      </c>
      <c r="F831" s="11" t="n">
        <v>24</v>
      </c>
      <c r="G831" s="13" t="s">
        <v>43</v>
      </c>
      <c r="H831" s="11" t="n">
        <v>2110101</v>
      </c>
      <c r="I831" s="13" t="s">
        <v>44</v>
      </c>
      <c r="J831" s="11" t="n">
        <v>1255894</v>
      </c>
      <c r="L831" s="11" t="n">
        <v>186573</v>
      </c>
      <c r="M831" s="13" t="s">
        <v>45</v>
      </c>
      <c r="N831" s="13" t="s">
        <v>37</v>
      </c>
      <c r="P831" s="11" t="n">
        <v>128</v>
      </c>
      <c r="Q831" s="13" t="s">
        <v>46</v>
      </c>
      <c r="R831" s="13" t="s">
        <v>47</v>
      </c>
      <c r="S831" s="11" t="n">
        <v>1130101</v>
      </c>
      <c r="T831" s="13" t="s">
        <v>48</v>
      </c>
      <c r="U831" s="14" t="n">
        <v>835.77</v>
      </c>
      <c r="W831" s="14" t="n">
        <v>0</v>
      </c>
      <c r="X831" s="13" t="s">
        <v>897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0" t="str">
        <f aca="false">IFERROR(INDEX('Mov Entradas (Rel 10497)'!$L:$L,MATCH(AC831,'Mov Entradas (Rel 10497)'!$I:$I,0)),"nao encontrado")</f>
        <v>nao encontrado</v>
      </c>
      <c r="AC831" s="0" t="n">
        <v>18657</v>
      </c>
    </row>
    <row r="832" customFormat="false" ht="36.75" hidden="false" customHeight="true" outlineLevel="0" collapsed="false">
      <c r="A832" s="11" t="n">
        <v>3</v>
      </c>
      <c r="B832" s="12" t="n">
        <v>46122</v>
      </c>
      <c r="C832" s="12" t="n">
        <v>46213</v>
      </c>
      <c r="D832" s="11" t="n">
        <v>815</v>
      </c>
      <c r="E832" s="13" t="s">
        <v>329</v>
      </c>
      <c r="F832" s="11" t="n">
        <v>34</v>
      </c>
      <c r="G832" s="13" t="s">
        <v>34</v>
      </c>
      <c r="H832" s="11" t="n">
        <v>2110405</v>
      </c>
      <c r="I832" s="13" t="s">
        <v>35</v>
      </c>
      <c r="J832" s="11" t="n">
        <v>793794</v>
      </c>
      <c r="L832" s="11" t="n">
        <v>100326</v>
      </c>
      <c r="M832" s="13" t="s">
        <v>317</v>
      </c>
      <c r="N832" s="13" t="s">
        <v>37</v>
      </c>
      <c r="P832" s="11" t="n">
        <v>101</v>
      </c>
      <c r="Q832" s="13" t="s">
        <v>38</v>
      </c>
      <c r="R832" s="13" t="s">
        <v>140</v>
      </c>
      <c r="S832" s="11" t="n">
        <v>2110901</v>
      </c>
      <c r="T832" s="13" t="s">
        <v>141</v>
      </c>
      <c r="U832" s="14" t="n">
        <v>1500</v>
      </c>
      <c r="W832" s="14" t="n">
        <v>0</v>
      </c>
      <c r="X832" s="13" t="s">
        <v>330</v>
      </c>
      <c r="Z832" s="1" t="str">
        <f aca="false">IF($T832="","",IFERROR(INDEX('Resumo Grupos'!$AC$3:$AC$200,MATCH($T832,'Resumo Grupos'!$AB$3:$AB$200,0)),"n/d"))</f>
        <v>Empréstimo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46181</v>
      </c>
      <c r="C833" s="12" t="n">
        <v>46213</v>
      </c>
      <c r="D833" s="11" t="n">
        <v>1676</v>
      </c>
      <c r="E833" s="13" t="s">
        <v>255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1226690</v>
      </c>
      <c r="L833" s="11" t="n">
        <v>1030523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593.7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0" t="str">
        <f aca="false">IFERROR(INDEX('Mov Entradas (Rel 10497)'!$L:$L,MATCH(AC833,'Mov Entradas (Rel 10497)'!$I:$I,0)),"nao encontrado")</f>
        <v>nao encontrado</v>
      </c>
      <c r="AC833" s="0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1611</v>
      </c>
      <c r="E834" s="13" t="s">
        <v>447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1230686</v>
      </c>
      <c r="L834" s="11" t="n">
        <v>180513093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398.46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0" t="str">
        <f aca="false">IFERROR(INDEX('Mov Entradas (Rel 10497)'!$L:$L,MATCH(AC834,'Mov Entradas (Rel 10497)'!$I:$I,0)),"nao encontrado")</f>
        <v>nao encontrado</v>
      </c>
      <c r="AC834" s="0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46182</v>
      </c>
      <c r="C835" s="12" t="n">
        <v>46213</v>
      </c>
      <c r="D835" s="11" t="n">
        <v>1740</v>
      </c>
      <c r="E835" s="13" t="s">
        <v>171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1230764</v>
      </c>
      <c r="L835" s="11" t="n">
        <v>12346573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1155.4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0" t="str">
        <f aca="false">IFERROR(INDEX('Mov Entradas (Rel 10497)'!$L:$L,MATCH(AC835,'Mov Entradas (Rel 10497)'!$I:$I,0)),"nao encontrado")</f>
        <v>nao encontrado</v>
      </c>
      <c r="AC835" s="0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46181</v>
      </c>
      <c r="C836" s="12" t="n">
        <v>46213</v>
      </c>
      <c r="D836" s="11" t="n">
        <v>1745</v>
      </c>
      <c r="E836" s="13" t="s">
        <v>594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1235192</v>
      </c>
      <c r="L836" s="11" t="n">
        <v>3460353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1108.39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0" t="str">
        <f aca="false">IFERROR(INDEX('Mov Entradas (Rel 10497)'!$L:$L,MATCH(AC836,'Mov Entradas (Rel 10497)'!$I:$I,0)),"nao encontrado")</f>
        <v>nao encontrado</v>
      </c>
      <c r="AC836" s="0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46184</v>
      </c>
      <c r="C837" s="12" t="n">
        <v>46213</v>
      </c>
      <c r="D837" s="11" t="n">
        <v>1815</v>
      </c>
      <c r="E837" s="13" t="s">
        <v>54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1235386</v>
      </c>
      <c r="L837" s="11" t="n">
        <v>4501673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2315.5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0" t="str">
        <f aca="false">IFERROR(INDEX('Mov Entradas (Rel 10497)'!$L:$L,MATCH(AC837,'Mov Entradas (Rel 10497)'!$I:$I,0)),"nao encontrado")</f>
        <v>nao encontrado</v>
      </c>
      <c r="AC837" s="0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0" t="str">
        <f aca="false">IFERROR(INDEX('Mov Entradas (Rel 10497)'!$L:$L,MATCH(AC838,'Mov Entradas (Rel 10497)'!$I:$I,0)),"nao encontrado")</f>
        <v>nao encontrado</v>
      </c>
      <c r="AC838" s="0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0" t="str">
        <f aca="false">IFERROR(INDEX('Mov Entradas (Rel 10497)'!$L:$L,MATCH(AC839,'Mov Entradas (Rel 10497)'!$I:$I,0)),"nao encontrado")</f>
        <v>nao encontrado</v>
      </c>
      <c r="AC839" s="0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0" t="str">
        <f aca="false">IFERROR(INDEX('Mov Entradas (Rel 10497)'!$L:$L,MATCH(AC840,'Mov Entradas (Rel 10497)'!$I:$I,0)),"nao encontrado")</f>
        <v>nao encontrado</v>
      </c>
      <c r="AC840" s="0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0" t="str">
        <f aca="false">IFERROR(INDEX('Mov Entradas (Rel 10497)'!$L:$L,MATCH(AC841,'Mov Entradas (Rel 10497)'!$I:$I,0)),"nao encontrado")</f>
        <v>nao encontrado</v>
      </c>
      <c r="AC841" s="0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0" t="str">
        <f aca="false">IFERROR(INDEX('Mov Entradas (Rel 10497)'!$L:$L,MATCH(AC842,'Mov Entradas (Rel 10497)'!$I:$I,0)),"nao encontrado")</f>
        <v>nao encontrado</v>
      </c>
      <c r="AC842" s="0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0" t="str">
        <f aca="false">IFERROR(INDEX('Mov Entradas (Rel 10497)'!$L:$L,MATCH(AC843,'Mov Entradas (Rel 10497)'!$I:$I,0)),"nao encontrado")</f>
        <v>nao encontrado</v>
      </c>
      <c r="AC843" s="0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0" t="str">
        <f aca="false">IFERROR(INDEX('Mov Entradas (Rel 10497)'!$L:$L,MATCH(AC844,'Mov Entradas (Rel 10497)'!$I:$I,0)),"nao encontrado")</f>
        <v>nao encontrado</v>
      </c>
      <c r="AC844" s="0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0" t="str">
        <f aca="false">IFERROR(INDEX('Mov Entradas (Rel 10497)'!$L:$L,MATCH(AC845,'Mov Entradas (Rel 10497)'!$I:$I,0)),"nao encontrado")</f>
        <v>nao encontrado</v>
      </c>
      <c r="AC845" s="0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0" t="str">
        <f aca="false">IFERROR(INDEX('Mov Entradas (Rel 10497)'!$L:$L,MATCH(AC846,'Mov Entradas (Rel 10497)'!$I:$I,0)),"nao encontrado")</f>
        <v>nao encontrado</v>
      </c>
      <c r="AC846" s="0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0" t="str">
        <f aca="false">IFERROR(INDEX('Mov Entradas (Rel 10497)'!$L:$L,MATCH(AC847,'Mov Entradas (Rel 10497)'!$I:$I,0)),"nao encontrado")</f>
        <v>nao encontrado</v>
      </c>
      <c r="AC847" s="0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0" t="str">
        <f aca="false">IFERROR(INDEX('Mov Entradas (Rel 10497)'!$L:$L,MATCH(AC848,'Mov Entradas (Rel 10497)'!$I:$I,0)),"nao encontrado")</f>
        <v>nao encontrado</v>
      </c>
      <c r="AC848" s="0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0" t="str">
        <f aca="false">IFERROR(INDEX('Mov Entradas (Rel 10497)'!$L:$L,MATCH(AC849,'Mov Entradas (Rel 10497)'!$I:$I,0)),"nao encontrado")</f>
        <v>nao encontrado</v>
      </c>
      <c r="AC849" s="0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0" t="str">
        <f aca="false">IFERROR(INDEX('Mov Entradas (Rel 10497)'!$L:$L,MATCH(AC850,'Mov Entradas (Rel 10497)'!$I:$I,0)),"nao encontrado")</f>
        <v>nao encontrado</v>
      </c>
      <c r="AC850" s="0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0" t="str">
        <f aca="false">IFERROR(INDEX('Mov Entradas (Rel 10497)'!$L:$L,MATCH(AC851,'Mov Entradas (Rel 10497)'!$I:$I,0)),"nao encontrado")</f>
        <v>nao encontrado</v>
      </c>
      <c r="AC851" s="0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0" t="str">
        <f aca="false">IFERROR(INDEX('Mov Entradas (Rel 10497)'!$L:$L,MATCH(AC852,'Mov Entradas (Rel 10497)'!$I:$I,0)),"nao encontrado")</f>
        <v>nao encontrado</v>
      </c>
      <c r="AC852" s="0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0" t="str">
        <f aca="false">IFERROR(INDEX('Mov Entradas (Rel 10497)'!$L:$L,MATCH(AC853,'Mov Entradas (Rel 10497)'!$I:$I,0)),"nao encontrado")</f>
        <v>nao encontrado</v>
      </c>
      <c r="AC853" s="0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0" t="str">
        <f aca="false">IFERROR(INDEX('Mov Entradas (Rel 10497)'!$L:$L,MATCH(AC854,'Mov Entradas (Rel 10497)'!$I:$I,0)),"nao encontrado")</f>
        <v>nao encontrado</v>
      </c>
      <c r="AC854" s="0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0" t="str">
        <f aca="false">IFERROR(INDEX('Mov Entradas (Rel 10497)'!$L:$L,MATCH(AC855,'Mov Entradas (Rel 10497)'!$I:$I,0)),"nao encontrado")</f>
        <v>DUNHILL CARLTON BLEN</v>
      </c>
      <c r="AC855" s="0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0" t="str">
        <f aca="false">IFERROR(INDEX('Mov Entradas (Rel 10497)'!$L:$L,MATCH(AC856,'Mov Entradas (Rel 10497)'!$I:$I,0)),"nao encontrado")</f>
        <v>LING CALABRESA PERD</v>
      </c>
      <c r="AC856" s="0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0" t="str">
        <f aca="false">IFERROR(INDEX('Mov Entradas (Rel 10497)'!$L:$L,MATCH(AC859,'Mov Entradas (Rel 10497)'!$I:$I,0)),"nao encontrado")</f>
        <v>TUCUPI DA RAI 500ML</v>
      </c>
      <c r="AC859" s="0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0" t="str">
        <f aca="false">IFERROR(INDEX('Mov Entradas (Rel 10497)'!$L:$L,MATCH(AC860,'Mov Entradas (Rel 10497)'!$I:$I,0)),"nao encontrado")</f>
        <v>nao encontrado</v>
      </c>
      <c r="AC860" s="0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0" t="str">
        <f aca="false">IFERROR(INDEX('Mov Entradas (Rel 10497)'!$L:$L,MATCH(AC862,'Mov Entradas (Rel 10497)'!$I:$I,0)),"nao encontrado")</f>
        <v>nao encontrado</v>
      </c>
      <c r="AC862" s="0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0" t="str">
        <f aca="false">IFERROR(INDEX('Mov Entradas (Rel 10497)'!$L:$L,MATCH(AC863,'Mov Entradas (Rel 10497)'!$I:$I,0)),"nao encontrado")</f>
        <v>nao encontrado</v>
      </c>
      <c r="AC863" s="0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0" t="str">
        <f aca="false">IFERROR(INDEX('Mov Entradas (Rel 10497)'!$L:$L,MATCH(AC864,'Mov Entradas (Rel 10497)'!$I:$I,0)),"nao encontrado")</f>
        <v>nao encontrado</v>
      </c>
      <c r="AC864" s="0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0" t="str">
        <f aca="false">IFERROR(INDEX('Mov Entradas (Rel 10497)'!$L:$L,MATCH(AC865,'Mov Entradas (Rel 10497)'!$I:$I,0)),"nao encontrado")</f>
        <v>nao encontrado</v>
      </c>
      <c r="AC865" s="0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0" t="str">
        <f aca="false">IFERROR(INDEX('Mov Entradas (Rel 10497)'!$L:$L,MATCH(AC866,'Mov Entradas (Rel 10497)'!$I:$I,0)),"nao encontrado")</f>
        <v>nao encontrado</v>
      </c>
      <c r="AC866" s="0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0" t="str">
        <f aca="false">IFERROR(INDEX('Mov Entradas (Rel 10497)'!$L:$L,MATCH(AC867,'Mov Entradas (Rel 10497)'!$I:$I,0)),"nao encontrado")</f>
        <v>nao encontrado</v>
      </c>
      <c r="AC867" s="0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0" t="str">
        <f aca="false">IFERROR(INDEX('Mov Entradas (Rel 10497)'!$L:$L,MATCH(AC868,'Mov Entradas (Rel 10497)'!$I:$I,0)),"nao encontrado")</f>
        <v>nao encontrado</v>
      </c>
      <c r="AC868" s="0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0" t="str">
        <f aca="false">IFERROR(INDEX('Mov Entradas (Rel 10497)'!$L:$L,MATCH(AC869,'Mov Entradas (Rel 10497)'!$I:$I,0)),"nao encontrado")</f>
        <v>nao encontrado</v>
      </c>
      <c r="AC869" s="0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0" t="str">
        <f aca="false">IFERROR(INDEX('Mov Entradas (Rel 10497)'!$L:$L,MATCH(AC870,'Mov Entradas (Rel 10497)'!$I:$I,0)),"nao encontrado")</f>
        <v>nao encontrado</v>
      </c>
      <c r="AC870" s="0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0" t="str">
        <f aca="false">IFERROR(INDEX('Mov Entradas (Rel 10497)'!$L:$L,MATCH(AC871,'Mov Entradas (Rel 10497)'!$I:$I,0)),"nao encontrado")</f>
        <v>nao encontrado</v>
      </c>
      <c r="AC871" s="0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0" t="str">
        <f aca="false">IFERROR(INDEX('Mov Entradas (Rel 10497)'!$L:$L,MATCH(AC872,'Mov Entradas (Rel 10497)'!$I:$I,0)),"nao encontrado")</f>
        <v>nao encontrado</v>
      </c>
      <c r="AC872" s="0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0" t="str">
        <f aca="false">IFERROR(INDEX('Mov Entradas (Rel 10497)'!$L:$L,MATCH(AC873,'Mov Entradas (Rel 10497)'!$I:$I,0)),"nao encontrado")</f>
        <v>nao encontrado</v>
      </c>
      <c r="AC873" s="0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0" t="str">
        <f aca="false">IFERROR(INDEX('Mov Entradas (Rel 10497)'!$L:$L,MATCH(AC874,'Mov Entradas (Rel 10497)'!$I:$I,0)),"nao encontrado")</f>
        <v>nao encontrado</v>
      </c>
      <c r="AC874" s="0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0" t="str">
        <f aca="false">IFERROR(INDEX('Mov Entradas (Rel 10497)'!$L:$L,MATCH(AC875,'Mov Entradas (Rel 10497)'!$I:$I,0)),"nao encontrado")</f>
        <v>nao encontrado</v>
      </c>
      <c r="AC875" s="0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0" t="str">
        <f aca="false">IFERROR(INDEX('Mov Entradas (Rel 10497)'!$L:$L,MATCH(AC876,'Mov Entradas (Rel 10497)'!$I:$I,0)),"nao encontrado")</f>
        <v>nao encontrado</v>
      </c>
      <c r="AC876" s="0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0" t="str">
        <f aca="false">IFERROR(INDEX('Mov Entradas (Rel 10497)'!$L:$L,MATCH(AC877,'Mov Entradas (Rel 10497)'!$I:$I,0)),"nao encontrado")</f>
        <v>nao encontrado</v>
      </c>
      <c r="AC877" s="0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0" t="str">
        <f aca="false">IFERROR(INDEX('Mov Entradas (Rel 10497)'!$L:$L,MATCH(AC878,'Mov Entradas (Rel 10497)'!$I:$I,0)),"nao encontrado")</f>
        <v>nao encontrado</v>
      </c>
      <c r="AC878" s="0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0" t="str">
        <f aca="false">IFERROR(INDEX('Mov Entradas (Rel 10497)'!$L:$L,MATCH(AC879,'Mov Entradas (Rel 10497)'!$I:$I,0)),"nao encontrado")</f>
        <v>nao encontrado</v>
      </c>
      <c r="AC879" s="0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0" t="str">
        <f aca="false">IFERROR(INDEX('Mov Entradas (Rel 10497)'!$L:$L,MATCH(AC880,'Mov Entradas (Rel 10497)'!$I:$I,0)),"nao encontrado")</f>
        <v>nao encontrado</v>
      </c>
      <c r="AC880" s="0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0" t="str">
        <f aca="false">IFERROR(INDEX('Mov Entradas (Rel 10497)'!$L:$L,MATCH(AC881,'Mov Entradas (Rel 10497)'!$I:$I,0)),"nao encontrado")</f>
        <v>nao encontrado</v>
      </c>
      <c r="AC881" s="0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0" t="str">
        <f aca="false">IFERROR(INDEX('Mov Entradas (Rel 10497)'!$L:$L,MATCH(AC882,'Mov Entradas (Rel 10497)'!$I:$I,0)),"nao encontrado")</f>
        <v>nao encontrado</v>
      </c>
      <c r="AC882" s="0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0" t="str">
        <f aca="false">IFERROR(INDEX('Mov Entradas (Rel 10497)'!$L:$L,MATCH(AC883,'Mov Entradas (Rel 10497)'!$I:$I,0)),"nao encontrado")</f>
        <v>nao encontrado</v>
      </c>
      <c r="AC883" s="0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0" t="str">
        <f aca="false">IFERROR(INDEX('Mov Entradas (Rel 10497)'!$L:$L,MATCH(AC884,'Mov Entradas (Rel 10497)'!$I:$I,0)),"nao encontrado")</f>
        <v>nao encontrado</v>
      </c>
      <c r="AC884" s="0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0" t="str">
        <f aca="false">IFERROR(INDEX('Mov Entradas (Rel 10497)'!$L:$L,MATCH(AC885,'Mov Entradas (Rel 10497)'!$I:$I,0)),"nao encontrado")</f>
        <v>nao encontrado</v>
      </c>
      <c r="AC885" s="0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0" t="str">
        <f aca="false">IFERROR(INDEX('Mov Entradas (Rel 10497)'!$L:$L,MATCH(AC886,'Mov Entradas (Rel 10497)'!$I:$I,0)),"nao encontrado")</f>
        <v>SORVETE 2 LTS CHOCOL</v>
      </c>
      <c r="AC886" s="0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0" t="str">
        <f aca="false">IFERROR(INDEX('Mov Entradas (Rel 10497)'!$L:$L,MATCH(AC887,'Mov Entradas (Rel 10497)'!$I:$I,0)),"nao encontrado")</f>
        <v>FRUTAP IOG MOR C/CER</v>
      </c>
      <c r="AC887" s="0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0" t="str">
        <f aca="false">IFERROR(INDEX('Mov Entradas (Rel 10497)'!$L:$L,MATCH(AC888,'Mov Entradas (Rel 10497)'!$I:$I,0)),"nao encontrado")</f>
        <v>PAO DE FORMA BROTHER</v>
      </c>
      <c r="AC888" s="0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0" t="str">
        <f aca="false">IFERROR(INDEX('Mov Entradas (Rel 10497)'!$L:$L,MATCH(AC889,'Mov Entradas (Rel 10497)'!$I:$I,0)),"nao encontrado")</f>
        <v>IOGURTE INTEGRAL COM</v>
      </c>
      <c r="AC889" s="0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0" t="str">
        <f aca="false">IFERROR(INDEX('Mov Entradas (Rel 10497)'!$L:$L,MATCH(AC890,'Mov Entradas (Rel 10497)'!$I:$I,0)),"nao encontrado")</f>
        <v>POLPA GRAVIOLA 100G</v>
      </c>
      <c r="AC890" s="0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0" t="str">
        <f aca="false">IFERROR(INDEX('Mov Entradas (Rel 10497)'!$L:$L,MATCH(AC891,'Mov Entradas (Rel 10497)'!$I:$I,0)),"nao encontrado")</f>
        <v>PAN. HAMBURGUER DORA</v>
      </c>
      <c r="AC891" s="0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0" t="str">
        <f aca="false">IFERROR(INDEX('Mov Entradas (Rel 10497)'!$L:$L,MATCH(AC892,'Mov Entradas (Rel 10497)'!$I:$I,0)),"nao encontrado")</f>
        <v>BOLO BLOOM 600G</v>
      </c>
      <c r="AC892" s="0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0" t="str">
        <f aca="false">IFERROR(INDEX('Mov Entradas (Rel 10497)'!$L:$L,MATCH(AC895,'Mov Entradas (Rel 10497)'!$I:$I,0)),"nao encontrado")</f>
        <v>MACA FUJI KG</v>
      </c>
      <c r="AC895" s="0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0" t="str">
        <f aca="false">IFERROR(INDEX('Mov Entradas (Rel 10497)'!$L:$L,MATCH(AC906,'Mov Entradas (Rel 10497)'!$I:$I,0)),"nao encontrado")</f>
        <v>DAN GELO CUBO 5 KG</v>
      </c>
      <c r="AC906" s="0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0" t="str">
        <f aca="false">IFERROR(INDEX('Mov Entradas (Rel 10497)'!$L:$L,MATCH(AC908,'Mov Entradas (Rel 10497)'!$I:$I,0)),"nao encontrado")</f>
        <v>nao encontrado</v>
      </c>
      <c r="AC908" s="0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0" t="str">
        <f aca="false">IFERROR(INDEX('Mov Entradas (Rel 10497)'!$L:$L,MATCH(AC909,'Mov Entradas (Rel 10497)'!$I:$I,0)),"nao encontrado")</f>
        <v>nao encontrado</v>
      </c>
      <c r="AC909" s="0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0" t="str">
        <f aca="false">IFERROR(INDEX('Mov Entradas (Rel 10497)'!$L:$L,MATCH(AC910,'Mov Entradas (Rel 10497)'!$I:$I,0)),"nao encontrado")</f>
        <v>nao encontrado</v>
      </c>
      <c r="AC910" s="0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0" t="str">
        <f aca="false">IFERROR(INDEX('Mov Entradas (Rel 10497)'!$L:$L,MATCH(AC911,'Mov Entradas (Rel 10497)'!$I:$I,0)),"nao encontrado")</f>
        <v>nao encontrado</v>
      </c>
      <c r="AC911" s="0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0" t="str">
        <f aca="false">IFERROR(INDEX('Mov Entradas (Rel 10497)'!$L:$L,MATCH(AC912,'Mov Entradas (Rel 10497)'!$I:$I,0)),"nao encontrado")</f>
        <v>nao encontrado</v>
      </c>
      <c r="AC912" s="0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0" t="str">
        <f aca="false">IFERROR(INDEX('Mov Entradas (Rel 10497)'!$L:$L,MATCH(AC913,'Mov Entradas (Rel 10497)'!$I:$I,0)),"nao encontrado")</f>
        <v>nao encontrado</v>
      </c>
      <c r="AC913" s="0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0" t="str">
        <f aca="false">IFERROR(INDEX('Mov Entradas (Rel 10497)'!$L:$L,MATCH(AC914,'Mov Entradas (Rel 10497)'!$I:$I,0)),"nao encontrado")</f>
        <v>nao encontrado</v>
      </c>
      <c r="AC914" s="0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0" t="str">
        <f aca="false">IFERROR(INDEX('Mov Entradas (Rel 10497)'!$L:$L,MATCH(AC915,'Mov Entradas (Rel 10497)'!$I:$I,0)),"nao encontrado")</f>
        <v>nao encontrado</v>
      </c>
      <c r="AC915" s="0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0" t="str">
        <f aca="false">IFERROR(INDEX('Mov Entradas (Rel 10497)'!$L:$L,MATCH(AC916,'Mov Entradas (Rel 10497)'!$I:$I,0)),"nao encontrado")</f>
        <v>nao encontrado</v>
      </c>
      <c r="AC916" s="0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0" t="str">
        <f aca="false">IFERROR(INDEX('Mov Entradas (Rel 10497)'!$L:$L,MATCH(AC917,'Mov Entradas (Rel 10497)'!$I:$I,0)),"nao encontrado")</f>
        <v>nao encontrado</v>
      </c>
      <c r="AC917" s="0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0" t="str">
        <f aca="false">IFERROR(INDEX('Mov Entradas (Rel 10497)'!$L:$L,MATCH(AC918,'Mov Entradas (Rel 10497)'!$I:$I,0)),"nao encontrado")</f>
        <v>nao encontrado</v>
      </c>
      <c r="AC918" s="0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0" t="str">
        <f aca="false">IFERROR(INDEX('Mov Entradas (Rel 10497)'!$L:$L,MATCH(AC919,'Mov Entradas (Rel 10497)'!$I:$I,0)),"nao encontrado")</f>
        <v>nao encontrado</v>
      </c>
      <c r="AC919" s="0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0" t="str">
        <f aca="false">IFERROR(INDEX('Mov Entradas (Rel 10497)'!$L:$L,MATCH(AC920,'Mov Entradas (Rel 10497)'!$I:$I,0)),"nao encontrado")</f>
        <v>nao encontrado</v>
      </c>
      <c r="AC920" s="0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0" t="str">
        <f aca="false">IFERROR(INDEX('Mov Entradas (Rel 10497)'!$L:$L,MATCH(AC921,'Mov Entradas (Rel 10497)'!$I:$I,0)),"nao encontrado")</f>
        <v>nao encontrado</v>
      </c>
      <c r="AC921" s="0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0" t="str">
        <f aca="false">IFERROR(INDEX('Mov Entradas (Rel 10497)'!$L:$L,MATCH(AC922,'Mov Entradas (Rel 10497)'!$I:$I,0)),"nao encontrado")</f>
        <v>nao encontrado</v>
      </c>
      <c r="AC922" s="0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0" t="str">
        <f aca="false">IFERROR(INDEX('Mov Entradas (Rel 10497)'!$L:$L,MATCH(AC923,'Mov Entradas (Rel 10497)'!$I:$I,0)),"nao encontrado")</f>
        <v>nao encontrado</v>
      </c>
      <c r="AC923" s="0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0" t="str">
        <f aca="false">IFERROR(INDEX('Mov Entradas (Rel 10497)'!$L:$L,MATCH(AC924,'Mov Entradas (Rel 10497)'!$I:$I,0)),"nao encontrado")</f>
        <v>nao encontrado</v>
      </c>
      <c r="AC924" s="0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0" t="str">
        <f aca="false">IFERROR(INDEX('Mov Entradas (Rel 10497)'!$L:$L,MATCH(AC925,'Mov Entradas (Rel 10497)'!$I:$I,0)),"nao encontrado")</f>
        <v>nao encontrado</v>
      </c>
      <c r="AC925" s="0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0" t="str">
        <f aca="false">IFERROR(INDEX('Mov Entradas (Rel 10497)'!$L:$L,MATCH(AC926,'Mov Entradas (Rel 10497)'!$I:$I,0)),"nao encontrado")</f>
        <v>nao encontrado</v>
      </c>
      <c r="AC926" s="0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0" t="str">
        <f aca="false">IFERROR(INDEX('Mov Entradas (Rel 10497)'!$L:$L,MATCH(AC927,'Mov Entradas (Rel 10497)'!$I:$I,0)),"nao encontrado")</f>
        <v>nao encontrado</v>
      </c>
      <c r="AC927" s="0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0" t="str">
        <f aca="false">IFERROR(INDEX('Mov Entradas (Rel 10497)'!$L:$L,MATCH(AC928,'Mov Entradas (Rel 10497)'!$I:$I,0)),"nao encontrado")</f>
        <v>nao encontrado</v>
      </c>
      <c r="AC928" s="0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0" t="str">
        <f aca="false">IFERROR(INDEX('Mov Entradas (Rel 10497)'!$L:$L,MATCH(AC929,'Mov Entradas (Rel 10497)'!$I:$I,0)),"nao encontrado")</f>
        <v>nao encontrado</v>
      </c>
      <c r="AC929" s="0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0" t="str">
        <f aca="false">IFERROR(INDEX('Mov Entradas (Rel 10497)'!$L:$L,MATCH(AC930,'Mov Entradas (Rel 10497)'!$I:$I,0)),"nao encontrado")</f>
        <v>nao encontrado</v>
      </c>
      <c r="AC930" s="0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0" t="str">
        <f aca="false">IFERROR(INDEX('Mov Entradas (Rel 10497)'!$L:$L,MATCH(AC931,'Mov Entradas (Rel 10497)'!$I:$I,0)),"nao encontrado")</f>
        <v>nao encontrado</v>
      </c>
      <c r="AC931" s="0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0" t="str">
        <f aca="false">IFERROR(INDEX('Mov Entradas (Rel 10497)'!$L:$L,MATCH(AC932,'Mov Entradas (Rel 10497)'!$I:$I,0)),"nao encontrado")</f>
        <v>nao encontrado</v>
      </c>
      <c r="AC932" s="0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0" t="str">
        <f aca="false">IFERROR(INDEX('Mov Entradas (Rel 10497)'!$L:$L,MATCH(AC933,'Mov Entradas (Rel 10497)'!$I:$I,0)),"nao encontrado")</f>
        <v>nao encontrado</v>
      </c>
      <c r="AC933" s="0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0" t="str">
        <f aca="false">IFERROR(INDEX('Mov Entradas (Rel 10497)'!$L:$L,MATCH(AC934,'Mov Entradas (Rel 10497)'!$I:$I,0)),"nao encontrado")</f>
        <v>nao encontrado</v>
      </c>
      <c r="AC934" s="0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0" t="str">
        <f aca="false">IFERROR(INDEX('Mov Entradas (Rel 10497)'!$L:$L,MATCH(AC935,'Mov Entradas (Rel 10497)'!$I:$I,0)),"nao encontrado")</f>
        <v>nao encontrado</v>
      </c>
      <c r="AC935" s="0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0" t="str">
        <f aca="false">IFERROR(INDEX('Mov Entradas (Rel 10497)'!$L:$L,MATCH(AC936,'Mov Entradas (Rel 10497)'!$I:$I,0)),"nao encontrado")</f>
        <v>nao encontrado</v>
      </c>
      <c r="AC936" s="0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0" t="str">
        <f aca="false">IFERROR(INDEX('Mov Entradas (Rel 10497)'!$L:$L,MATCH(AC937,'Mov Entradas (Rel 10497)'!$I:$I,0)),"nao encontrado")</f>
        <v>nao encontrado</v>
      </c>
      <c r="AC937" s="0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0" t="str">
        <f aca="false">IFERROR(INDEX('Mov Entradas (Rel 10497)'!$L:$L,MATCH(AC938,'Mov Entradas (Rel 10497)'!$I:$I,0)),"nao encontrado")</f>
        <v>nao encontrado</v>
      </c>
      <c r="AC938" s="0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0" t="str">
        <f aca="false">IFERROR(INDEX('Mov Entradas (Rel 10497)'!$L:$L,MATCH(AC939,'Mov Entradas (Rel 10497)'!$I:$I,0)),"nao encontrado")</f>
        <v>nao encontrado</v>
      </c>
      <c r="AC939" s="0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0" t="str">
        <f aca="false">IFERROR(INDEX('Mov Entradas (Rel 10497)'!$L:$L,MATCH(AC940,'Mov Entradas (Rel 10497)'!$I:$I,0)),"nao encontrado")</f>
        <v>nao encontrado</v>
      </c>
      <c r="AC940" s="0" t="n">
        <v>881224</v>
      </c>
    </row>
    <row r="941" customFormat="false" ht="36.75" hidden="false" customHeight="true" outlineLevel="0" collapsed="false">
      <c r="A941" s="11" t="n">
        <v>3</v>
      </c>
      <c r="B941" s="12" t="n">
        <v>46206</v>
      </c>
      <c r="C941" s="12" t="n">
        <v>46217</v>
      </c>
      <c r="D941" s="11" t="n">
        <v>10063</v>
      </c>
      <c r="E941" s="13" t="s">
        <v>220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1343844</v>
      </c>
      <c r="L941" s="11" t="n">
        <v>2423</v>
      </c>
      <c r="M941" s="13" t="s">
        <v>45</v>
      </c>
      <c r="N941" s="13" t="s">
        <v>70</v>
      </c>
      <c r="P941" s="11" t="n">
        <v>167</v>
      </c>
      <c r="Q941" s="13" t="s">
        <v>102</v>
      </c>
      <c r="R941" s="13" t="s">
        <v>47</v>
      </c>
      <c r="S941" s="11" t="n">
        <v>1130101</v>
      </c>
      <c r="T941" s="13" t="s">
        <v>48</v>
      </c>
      <c r="U941" s="14" t="n">
        <v>1815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0" t="str">
        <f aca="false">IFERROR(INDEX('Mov Entradas (Rel 10497)'!$L:$L,MATCH(AC941,'Mov Entradas (Rel 10497)'!$I:$I,0)),"nao encontrado")</f>
        <v>OVOS MARROM UNID</v>
      </c>
      <c r="AC941" s="0" t="n">
        <v>2423</v>
      </c>
    </row>
    <row r="942" customFormat="false" ht="36.75" hidden="false" customHeight="true" outlineLevel="0" collapsed="false">
      <c r="A942" s="11" t="n">
        <v>3</v>
      </c>
      <c r="B942" s="12" t="n">
        <v>46198</v>
      </c>
      <c r="C942" s="12" t="n">
        <v>46217</v>
      </c>
      <c r="D942" s="11" t="n">
        <v>1699</v>
      </c>
      <c r="E942" s="13" t="s">
        <v>61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1312319</v>
      </c>
      <c r="L942" s="11" t="n">
        <v>3059181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649.18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0" t="str">
        <f aca="false">IFERROR(INDEX('Mov Entradas (Rel 10497)'!$L:$L,MATCH(AC942,'Mov Entradas (Rel 10497)'!$I:$I,0)),"nao encontrado")</f>
        <v>nao encontrado</v>
      </c>
      <c r="AC942" s="0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1107</v>
      </c>
      <c r="E943" s="13" t="s">
        <v>166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1312346</v>
      </c>
      <c r="L943" s="11" t="n">
        <v>4217651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709.47</v>
      </c>
      <c r="W943" s="14" t="n">
        <v>0</v>
      </c>
      <c r="X943" s="13" t="s">
        <v>1009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0" t="str">
        <f aca="false">IFERROR(INDEX('Mov Entradas (Rel 10497)'!$L:$L,MATCH(AC943,'Mov Entradas (Rel 10497)'!$I:$I,0)),"nao encontrado")</f>
        <v>nao encontrado</v>
      </c>
      <c r="AC943" s="0" t="n">
        <v>4217651</v>
      </c>
    </row>
    <row r="944" customFormat="false" ht="36.75" hidden="false" customHeight="true" outlineLevel="0" collapsed="false">
      <c r="A944" s="11" t="n">
        <v>3</v>
      </c>
      <c r="B944" s="12" t="n">
        <v>46197</v>
      </c>
      <c r="C944" s="12" t="n">
        <v>46217</v>
      </c>
      <c r="D944" s="11" t="n">
        <v>10085</v>
      </c>
      <c r="E944" s="13" t="s">
        <v>1010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1312423</v>
      </c>
      <c r="L944" s="11" t="n">
        <v>436</v>
      </c>
      <c r="M944" s="13" t="s">
        <v>45</v>
      </c>
      <c r="N944" s="13" t="s">
        <v>37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653.6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0" t="str">
        <f aca="false">IFERROR(INDEX('Mov Entradas (Rel 10497)'!$L:$L,MATCH(AC944,'Mov Entradas (Rel 10497)'!$I:$I,0)),"nao encontrado")</f>
        <v>nao encontrado</v>
      </c>
      <c r="AC944" s="0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1312535</v>
      </c>
      <c r="L945" s="11" t="n">
        <v>2465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105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0" t="str">
        <f aca="false">IFERROR(INDEX('Mov Entradas (Rel 10497)'!$L:$L,MATCH(AC945,'Mov Entradas (Rel 10497)'!$I:$I,0)),"nao encontrado")</f>
        <v>nao encontrado</v>
      </c>
      <c r="AC945" s="0" t="n">
        <v>2465</v>
      </c>
    </row>
    <row r="946" customFormat="false" ht="36.75" hidden="false" customHeight="true" outlineLevel="0" collapsed="false">
      <c r="A946" s="11" t="n">
        <v>3</v>
      </c>
      <c r="B946" s="12" t="n">
        <v>46200</v>
      </c>
      <c r="C946" s="12" t="n">
        <v>46217</v>
      </c>
      <c r="D946" s="11" t="n">
        <v>1916</v>
      </c>
      <c r="E946" s="13" t="s">
        <v>353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1312539</v>
      </c>
      <c r="L946" s="11" t="n">
        <v>39536</v>
      </c>
      <c r="M946" s="13" t="s">
        <v>45</v>
      </c>
      <c r="N946" s="13" t="s">
        <v>70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137.5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0" t="str">
        <f aca="false">IFERROR(INDEX('Mov Entradas (Rel 10497)'!$L:$L,MATCH(AC946,'Mov Entradas (Rel 10497)'!$I:$I,0)),"nao encontrado")</f>
        <v>nao encontrado</v>
      </c>
      <c r="AC946" s="0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1321688</v>
      </c>
      <c r="L947" s="11" t="n">
        <v>774802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1651.2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0" t="str">
        <f aca="false">IFERROR(INDEX('Mov Entradas (Rel 10497)'!$L:$L,MATCH(AC947,'Mov Entradas (Rel 10497)'!$I:$I,0)),"nao encontrado")</f>
        <v>nao encontrado</v>
      </c>
      <c r="AC947" s="0" t="n">
        <v>35032</v>
      </c>
    </row>
    <row r="948" customFormat="false" ht="36.75" hidden="false" customHeight="true" outlineLevel="0" collapsed="false">
      <c r="A948" s="11" t="n">
        <v>3</v>
      </c>
      <c r="B948" s="12" t="n">
        <v>46196</v>
      </c>
      <c r="C948" s="12" t="n">
        <v>46217</v>
      </c>
      <c r="D948" s="11" t="n">
        <v>10019</v>
      </c>
      <c r="E948" s="13" t="s">
        <v>857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1321749</v>
      </c>
      <c r="L948" s="11" t="n">
        <v>774382</v>
      </c>
      <c r="M948" s="13" t="s">
        <v>45</v>
      </c>
      <c r="N948" s="13" t="s">
        <v>37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1830.96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0" t="str">
        <f aca="false">IFERROR(INDEX('Mov Entradas (Rel 10497)'!$L:$L,MATCH(AC948,'Mov Entradas (Rel 10497)'!$I:$I,0)),"nao encontrado")</f>
        <v>nao encontrado</v>
      </c>
      <c r="AC948" s="0" t="n">
        <v>30609</v>
      </c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46217</v>
      </c>
      <c r="D949" s="11" t="n">
        <v>1609</v>
      </c>
      <c r="E949" s="13" t="s">
        <v>412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1322109</v>
      </c>
      <c r="L949" s="11" t="n">
        <v>5718</v>
      </c>
      <c r="M949" s="13" t="s">
        <v>45</v>
      </c>
      <c r="N949" s="13" t="s">
        <v>70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728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0" t="str">
        <f aca="false">IFERROR(INDEX('Mov Entradas (Rel 10497)'!$L:$L,MATCH(AC949,'Mov Entradas (Rel 10497)'!$I:$I,0)),"nao encontrado")</f>
        <v>nao encontrado</v>
      </c>
      <c r="AC949" s="0" t="n">
        <v>5718</v>
      </c>
    </row>
    <row r="950" customFormat="false" ht="45.75" hidden="false" customHeight="true" outlineLevel="0" collapsed="false">
      <c r="A950" s="11" t="n">
        <v>3</v>
      </c>
      <c r="B950" s="12" t="n">
        <v>46203</v>
      </c>
      <c r="C950" s="12" t="n">
        <v>46217</v>
      </c>
      <c r="D950" s="11" t="n">
        <v>1723</v>
      </c>
      <c r="E950" s="13" t="s">
        <v>77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1329901</v>
      </c>
      <c r="L950" s="11" t="n">
        <v>54938</v>
      </c>
      <c r="M950" s="13" t="s">
        <v>45</v>
      </c>
      <c r="N950" s="13" t="s">
        <v>37</v>
      </c>
      <c r="P950" s="11" t="n">
        <v>128</v>
      </c>
      <c r="Q950" s="13" t="s">
        <v>46</v>
      </c>
      <c r="R950" s="13" t="s">
        <v>47</v>
      </c>
      <c r="S950" s="11" t="n">
        <v>1130101</v>
      </c>
      <c r="T950" s="13" t="s">
        <v>48</v>
      </c>
      <c r="U950" s="14" t="n">
        <v>4742.4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0" t="str">
        <f aca="false">IFERROR(INDEX('Mov Entradas (Rel 10497)'!$L:$L,MATCH(AC950,'Mov Entradas (Rel 10497)'!$I:$I,0)),"nao encontrado")</f>
        <v>nao encontrado</v>
      </c>
      <c r="AC950" s="0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1613</v>
      </c>
      <c r="E951" s="13" t="s">
        <v>178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1335299</v>
      </c>
      <c r="L951" s="11" t="n">
        <v>16023162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1398.81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0" t="str">
        <f aca="false">IFERROR(INDEX('Mov Entradas (Rel 10497)'!$L:$L,MATCH(AC951,'Mov Entradas (Rel 10497)'!$I:$I,0)),"nao encontrado")</f>
        <v>nao encontrado</v>
      </c>
      <c r="AC951" s="0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46204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1335548</v>
      </c>
      <c r="L952" s="11" t="n">
        <v>55058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2305.6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0" t="str">
        <f aca="false">IFERROR(INDEX('Mov Entradas (Rel 10497)'!$L:$L,MATCH(AC952,'Mov Entradas (Rel 10497)'!$I:$I,0)),"nao encontrado")</f>
        <v>DIANTEIRO DE BOI L</v>
      </c>
      <c r="AC952" s="0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46205</v>
      </c>
      <c r="C953" s="12" t="n">
        <v>46217</v>
      </c>
      <c r="D953" s="11" t="n">
        <v>1723</v>
      </c>
      <c r="E953" s="13" t="s">
        <v>77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1339473</v>
      </c>
      <c r="L953" s="11" t="n">
        <v>55207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1971.2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0" t="str">
        <f aca="false">IFERROR(INDEX('Mov Entradas (Rel 10497)'!$L:$L,MATCH(AC953,'Mov Entradas (Rel 10497)'!$I:$I,0)),"nao encontrado")</f>
        <v>TRASEIRO DE BOI L1</v>
      </c>
      <c r="AC953" s="0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46204</v>
      </c>
      <c r="C954" s="12" t="n">
        <v>46217</v>
      </c>
      <c r="D954" s="11" t="n">
        <v>1749</v>
      </c>
      <c r="E954" s="13" t="s">
        <v>268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1340207</v>
      </c>
      <c r="L954" s="11" t="n">
        <v>25451</v>
      </c>
      <c r="M954" s="13" t="s">
        <v>45</v>
      </c>
      <c r="N954" s="13" t="s">
        <v>37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1598.87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0" t="str">
        <f aca="false">IFERROR(INDEX('Mov Entradas (Rel 10497)'!$L:$L,MATCH(AC954,'Mov Entradas (Rel 10497)'!$I:$I,0)),"nao encontrado")</f>
        <v>SAB BARRA ECON 500G</v>
      </c>
      <c r="AC954" s="0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0" t="str">
        <f aca="false">IFERROR(INDEX('Mov Entradas (Rel 10497)'!$L:$L,MATCH(AC955,'Mov Entradas (Rel 10497)'!$I:$I,0)),"nao encontrado")</f>
        <v>PRESUNTO DE PERU</v>
      </c>
      <c r="AC955" s="0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0" t="str">
        <f aca="false">IFERROR(INDEX('Mov Entradas (Rel 10497)'!$L:$L,MATCH(AC956,'Mov Entradas (Rel 10497)'!$I:$I,0)),"nao encontrado")</f>
        <v>TRASEIRO DE BOI L1</v>
      </c>
      <c r="AC956" s="0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0" t="str">
        <f aca="false">IFERROR(INDEX('Mov Entradas (Rel 10497)'!$L:$L,MATCH(AC958,'Mov Entradas (Rel 10497)'!$I:$I,0)),"nao encontrado")</f>
        <v>REFR. ANTAR DIET 350ML</v>
      </c>
      <c r="AC958" s="0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0" t="str">
        <f aca="false">IFERROR(INDEX('Mov Entradas (Rel 10497)'!$L:$L,MATCH(AC959,'Mov Entradas (Rel 10497)'!$I:$I,0)),"nao encontrado")</f>
        <v>REFR. ANTAR DIET 350ML</v>
      </c>
      <c r="AC959" s="0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0" t="str">
        <f aca="false">IFERROR(INDEX('Mov Entradas (Rel 10497)'!$L:$L,MATCH(AC963,'Mov Entradas (Rel 10497)'!$I:$I,0)),"nao encontrado")</f>
        <v>BRIGADEIRO</v>
      </c>
      <c r="AC963" s="0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0" t="str">
        <f aca="false">IFERROR(INDEX('Mov Entradas (Rel 10497)'!$L:$L,MATCH(AC974,'Mov Entradas (Rel 10497)'!$I:$I,0)),"nao encontrado")</f>
        <v>nao encontrado</v>
      </c>
      <c r="AC974" s="0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0" t="str">
        <f aca="false">IFERROR(INDEX('Mov Entradas (Rel 10497)'!$L:$L,MATCH(AC975,'Mov Entradas (Rel 10497)'!$I:$I,0)),"nao encontrado")</f>
        <v>nao encontrado</v>
      </c>
      <c r="AC975" s="0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0" t="str">
        <f aca="false">IFERROR(INDEX('Mov Entradas (Rel 10497)'!$L:$L,MATCH(AC976,'Mov Entradas (Rel 10497)'!$I:$I,0)),"nao encontrado")</f>
        <v>nao encontrado</v>
      </c>
      <c r="AC976" s="0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1231866</v>
      </c>
      <c r="L977" s="11" t="n">
        <v>202663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227.28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0" t="str">
        <f aca="false">IFERROR(INDEX('Mov Entradas (Rel 10497)'!$L:$L,MATCH(AC977,'Mov Entradas (Rel 10497)'!$I:$I,0)),"nao encontrado")</f>
        <v>nao encontrado</v>
      </c>
      <c r="AC977" s="0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1231877</v>
      </c>
      <c r="L978" s="11" t="n">
        <v>202651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2206.52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0" t="str">
        <f aca="false">IFERROR(INDEX('Mov Entradas (Rel 10497)'!$L:$L,MATCH(AC978,'Mov Entradas (Rel 10497)'!$I:$I,0)),"nao encontrado")</f>
        <v>nao encontrado</v>
      </c>
      <c r="AC978" s="0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0" t="str">
        <f aca="false">IFERROR(INDEX('Mov Entradas (Rel 10497)'!$L:$L,MATCH(AC979,'Mov Entradas (Rel 10497)'!$I:$I,0)),"nao encontrado")</f>
        <v>nao encontrado</v>
      </c>
      <c r="AC979" s="0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0" t="str">
        <f aca="false">IFERROR(INDEX('Mov Entradas (Rel 10497)'!$L:$L,MATCH(AC981,'Mov Entradas (Rel 10497)'!$I:$I,0)),"nao encontrado")</f>
        <v>nao encontrado</v>
      </c>
      <c r="AC981" s="0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0" t="str">
        <f aca="false">IFERROR(INDEX('Mov Entradas (Rel 10497)'!$L:$L,MATCH(AC982,'Mov Entradas (Rel 10497)'!$I:$I,0)),"nao encontrado")</f>
        <v>nao encontrado</v>
      </c>
      <c r="AC982" s="0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0" t="str">
        <f aca="false">IFERROR(INDEX('Mov Entradas (Rel 10497)'!$L:$L,MATCH(AC983,'Mov Entradas (Rel 10497)'!$I:$I,0)),"nao encontrado")</f>
        <v>nao encontrado</v>
      </c>
      <c r="AC983" s="0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0" t="str">
        <f aca="false">IFERROR(INDEX('Mov Entradas (Rel 10497)'!$L:$L,MATCH(AC984,'Mov Entradas (Rel 10497)'!$I:$I,0)),"nao encontrado")</f>
        <v>nao encontrado</v>
      </c>
      <c r="AC984" s="0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0" t="str">
        <f aca="false">IFERROR(INDEX('Mov Entradas (Rel 10497)'!$L:$L,MATCH(AC985,'Mov Entradas (Rel 10497)'!$I:$I,0)),"nao encontrado")</f>
        <v>nao encontrado</v>
      </c>
      <c r="AC985" s="0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0" t="str">
        <f aca="false">IFERROR(INDEX('Mov Entradas (Rel 10497)'!$L:$L,MATCH(AC986,'Mov Entradas (Rel 10497)'!$I:$I,0)),"nao encontrado")</f>
        <v>nao encontrado</v>
      </c>
      <c r="AC986" s="0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0" t="str">
        <f aca="false">IFERROR(INDEX('Mov Entradas (Rel 10497)'!$L:$L,MATCH(AC987,'Mov Entradas (Rel 10497)'!$I:$I,0)),"nao encontrado")</f>
        <v>nao encontrado</v>
      </c>
      <c r="AC987" s="0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0" t="str">
        <f aca="false">IFERROR(INDEX('Mov Entradas (Rel 10497)'!$L:$L,MATCH(AC988,'Mov Entradas (Rel 10497)'!$I:$I,0)),"nao encontrado")</f>
        <v>nao encontrado</v>
      </c>
      <c r="AC988" s="0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0" t="str">
        <f aca="false">IFERROR(INDEX('Mov Entradas (Rel 10497)'!$L:$L,MATCH(AC989,'Mov Entradas (Rel 10497)'!$I:$I,0)),"nao encontrado")</f>
        <v>nao encontrado</v>
      </c>
      <c r="AC989" s="0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0" t="str">
        <f aca="false">IFERROR(INDEX('Mov Entradas (Rel 10497)'!$L:$L,MATCH(AC990,'Mov Entradas (Rel 10497)'!$I:$I,0)),"nao encontrado")</f>
        <v>nao encontrado</v>
      </c>
      <c r="AC990" s="0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0" t="str">
        <f aca="false">IFERROR(INDEX('Mov Entradas (Rel 10497)'!$L:$L,MATCH(AC991,'Mov Entradas (Rel 10497)'!$I:$I,0)),"nao encontrado")</f>
        <v>nao encontrado</v>
      </c>
      <c r="AC991" s="0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0" t="str">
        <f aca="false">IFERROR(INDEX('Mov Entradas (Rel 10497)'!$L:$L,MATCH(AC992,'Mov Entradas (Rel 10497)'!$I:$I,0)),"nao encontrado")</f>
        <v>nao encontrado</v>
      </c>
      <c r="AC992" s="0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0" t="str">
        <f aca="false">IFERROR(INDEX('Mov Entradas (Rel 10497)'!$L:$L,MATCH(AC993,'Mov Entradas (Rel 10497)'!$I:$I,0)),"nao encontrado")</f>
        <v>nao encontrado</v>
      </c>
      <c r="AC993" s="0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0" t="str">
        <f aca="false">IFERROR(INDEX('Mov Entradas (Rel 10497)'!$L:$L,MATCH(AC994,'Mov Entradas (Rel 10497)'!$I:$I,0)),"nao encontrado")</f>
        <v>nao encontrado</v>
      </c>
      <c r="AC994" s="0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0" t="str">
        <f aca="false">IFERROR(INDEX('Mov Entradas (Rel 10497)'!$L:$L,MATCH(AC996,'Mov Entradas (Rel 10497)'!$I:$I,0)),"nao encontrado")</f>
        <v>nao encontrado</v>
      </c>
      <c r="AC996" s="0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0" t="str">
        <f aca="false">IFERROR(INDEX('Mov Entradas (Rel 10497)'!$L:$L,MATCH(AC997,'Mov Entradas (Rel 10497)'!$I:$I,0)),"nao encontrado")</f>
        <v>nao encontrado</v>
      </c>
      <c r="AC997" s="0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0" t="str">
        <f aca="false">IFERROR(INDEX('Mov Entradas (Rel 10497)'!$L:$L,MATCH(AC998,'Mov Entradas (Rel 10497)'!$I:$I,0)),"nao encontrado")</f>
        <v>nao encontrado</v>
      </c>
      <c r="AC998" s="0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0" t="str">
        <f aca="false">IFERROR(INDEX('Mov Entradas (Rel 10497)'!$L:$L,MATCH(AC999,'Mov Entradas (Rel 10497)'!$I:$I,0)),"nao encontrado")</f>
        <v>nao encontrado</v>
      </c>
      <c r="AC999" s="0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0" t="str">
        <f aca="false">IFERROR(INDEX('Mov Entradas (Rel 10497)'!$L:$L,MATCH(AC1000,'Mov Entradas (Rel 10497)'!$I:$I,0)),"nao encontrado")</f>
        <v>nao encontrado</v>
      </c>
      <c r="AC1000" s="0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0" t="str">
        <f aca="false">IFERROR(INDEX('Mov Entradas (Rel 10497)'!$L:$L,MATCH(AC1001,'Mov Entradas (Rel 10497)'!$I:$I,0)),"nao encontrado")</f>
        <v>nao encontrado</v>
      </c>
      <c r="AC1001" s="0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0" t="str">
        <f aca="false">IFERROR(INDEX('Mov Entradas (Rel 10497)'!$L:$L,MATCH(AC1002,'Mov Entradas (Rel 10497)'!$I:$I,0)),"nao encontrado")</f>
        <v>nao encontrado</v>
      </c>
      <c r="AC1002" s="0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0" t="str">
        <f aca="false">IFERROR(INDEX('Mov Entradas (Rel 10497)'!$L:$L,MATCH(AC1003,'Mov Entradas (Rel 10497)'!$I:$I,0)),"nao encontrado")</f>
        <v>nao encontrado</v>
      </c>
      <c r="AC1003" s="0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0" t="str">
        <f aca="false">IFERROR(INDEX('Mov Entradas (Rel 10497)'!$L:$L,MATCH(AC1004,'Mov Entradas (Rel 10497)'!$I:$I,0)),"nao encontrado")</f>
        <v>nao encontrado</v>
      </c>
      <c r="AC1004" s="0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0" t="str">
        <f aca="false">IFERROR(INDEX('Mov Entradas (Rel 10497)'!$L:$L,MATCH(AC1005,'Mov Entradas (Rel 10497)'!$I:$I,0)),"nao encontrado")</f>
        <v>nao encontrado</v>
      </c>
      <c r="AC1005" s="0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0" t="str">
        <f aca="false">IFERROR(INDEX('Mov Entradas (Rel 10497)'!$L:$L,MATCH(AC1006,'Mov Entradas (Rel 10497)'!$I:$I,0)),"nao encontrado")</f>
        <v>nao encontrado</v>
      </c>
      <c r="AC1006" s="0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0" t="str">
        <f aca="false">IFERROR(INDEX('Mov Entradas (Rel 10497)'!$L:$L,MATCH(AC1007,'Mov Entradas (Rel 10497)'!$I:$I,0)),"nao encontrado")</f>
        <v>nao encontrado</v>
      </c>
      <c r="AC1007" s="0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0" t="str">
        <f aca="false">IFERROR(INDEX('Mov Entradas (Rel 10497)'!$L:$L,MATCH(AC1008,'Mov Entradas (Rel 10497)'!$I:$I,0)),"nao encontrado")</f>
        <v>nao encontrado</v>
      </c>
      <c r="AC1008" s="0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0" t="str">
        <f aca="false">IFERROR(INDEX('Mov Entradas (Rel 10497)'!$L:$L,MATCH(AC1010,'Mov Entradas (Rel 10497)'!$I:$I,0)),"nao encontrado")</f>
        <v>nao encontrado</v>
      </c>
      <c r="AC1010" s="0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0" t="str">
        <f aca="false">IFERROR(INDEX('Mov Entradas (Rel 10497)'!$L:$L,MATCH(AC1011,'Mov Entradas (Rel 10497)'!$I:$I,0)),"nao encontrado")</f>
        <v>SORVETE 2 LTS CHOCOL</v>
      </c>
      <c r="AC1011" s="0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0" t="str">
        <f aca="false">IFERROR(INDEX('Mov Entradas (Rel 10497)'!$L:$L,MATCH(AC1012,'Mov Entradas (Rel 10497)'!$I:$I,0)),"nao encontrado")</f>
        <v>LINGUI DE FRANGO KG</v>
      </c>
      <c r="AC1012" s="0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0" t="str">
        <f aca="false">IFERROR(INDEX('Mov Entradas (Rel 10497)'!$L:$L,MATCH(AC1013,'Mov Entradas (Rel 10497)'!$I:$I,0)),"nao encontrado")</f>
        <v>ASACOMP.FRAG1K</v>
      </c>
      <c r="AC1013" s="0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0" t="str">
        <f aca="false">IFERROR(INDEX('Mov Entradas (Rel 10497)'!$L:$L,MATCH(AC1014,'Mov Entradas (Rel 10497)'!$I:$I,0)),"nao encontrado")</f>
        <v>IOG BI-CAMADA MGO CO</v>
      </c>
      <c r="AC1014" s="0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0" t="str">
        <f aca="false">IFERROR(INDEX('Mov Entradas (Rel 10497)'!$L:$L,MATCH(AC1016,'Mov Entradas (Rel 10497)'!$I:$I,0)),"nao encontrado")</f>
        <v>GELO SABORIZADO SABOR MELANCIA</v>
      </c>
      <c r="AC1016" s="0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0" t="str">
        <f aca="false">IFERROR(INDEX('Mov Entradas (Rel 10497)'!$L:$L,MATCH(AC1017,'Mov Entradas (Rel 10497)'!$I:$I,0)),"nao encontrado")</f>
        <v>SAB BARRA ECON 500G</v>
      </c>
      <c r="AC1017" s="0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0" t="str">
        <f aca="false">IFERROR(INDEX('Mov Entradas (Rel 10497)'!$L:$L,MATCH(AC1018,'Mov Entradas (Rel 10497)'!$I:$I,0)),"nao encontrado")</f>
        <v>SACOLA DE 3KG</v>
      </c>
      <c r="AC1018" s="0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0" t="str">
        <f aca="false">IFERROR(INDEX('Mov Entradas (Rel 10497)'!$L:$L,MATCH(AC1019,'Mov Entradas (Rel 10497)'!$I:$I,0)),"nao encontrado")</f>
        <v>DUNHILL CARLTON BLEN</v>
      </c>
      <c r="AC1019" s="0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0" t="str">
        <f aca="false">IFERROR(INDEX('Mov Entradas (Rel 10497)'!$L:$L,MATCH(AC1021,'Mov Entradas (Rel 10497)'!$I:$I,0)),"nao encontrado")</f>
        <v>ENERGETICO BALLY TRAD 2L</v>
      </c>
      <c r="AC1021" s="0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0" t="str">
        <f aca="false">IFERROR(INDEX('Mov Entradas (Rel 10497)'!$L:$L,MATCH(AC1022,'Mov Entradas (Rel 10497)'!$I:$I,0)),"nao encontrado")</f>
        <v>FARINHA OVINHA DELIC</v>
      </c>
      <c r="AC1022" s="0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0" t="str">
        <f aca="false">IFERROR(INDEX('Mov Entradas (Rel 10497)'!$L:$L,MATCH(AC1023,'Mov Entradas (Rel 10497)'!$I:$I,0)),"nao encontrado")</f>
        <v>FARINHA DE TAPIOCA 4</v>
      </c>
      <c r="AC1023" s="0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0" t="str">
        <f aca="false">IFERROR(INDEX('Mov Entradas (Rel 10497)'!$L:$L,MATCH(AC1024,'Mov Entradas (Rel 10497)'!$I:$I,0)),"nao encontrado")</f>
        <v>GOMA DE MANDIOCA 500</v>
      </c>
      <c r="AC1024" s="0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0" t="str">
        <f aca="false">IFERROR(INDEX('Mov Entradas (Rel 10497)'!$L:$L,MATCH(AC1025,'Mov Entradas (Rel 10497)'!$I:$I,0)),"nao encontrado")</f>
        <v>BISTECA BOVINAKG</v>
      </c>
      <c r="AC1025" s="0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0" t="str">
        <f aca="false">IFERROR(INDEX('Mov Entradas (Rel 10497)'!$L:$L,MATCH(AC1026,'Mov Entradas (Rel 10497)'!$I:$I,0)),"nao encontrado")</f>
        <v>CEREAL NESCAL 30G</v>
      </c>
      <c r="AC1026" s="0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0" t="str">
        <f aca="false">IFERROR(INDEX('Mov Entradas (Rel 10497)'!$L:$L,MATCH(AC1027,'Mov Entradas (Rel 10497)'!$I:$I,0)),"nao encontrado")</f>
        <v>TRASEIRO DE BOI L1</v>
      </c>
      <c r="AC1027" s="0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0" t="str">
        <f aca="false">IFERROR(INDEX('Mov Entradas (Rel 10497)'!$L:$L,MATCH(AC1028,'Mov Entradas (Rel 10497)'!$I:$I,0)),"nao encontrado")</f>
        <v>DIANTEIRO DE BOI L</v>
      </c>
      <c r="AC1028" s="0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0" t="str">
        <f aca="false">IFERROR(INDEX('Mov Entradas (Rel 10497)'!$L:$L,MATCH(AC1029,'Mov Entradas (Rel 10497)'!$I:$I,0)),"nao encontrado")</f>
        <v>REAL CLASSICO 2L PET</v>
      </c>
      <c r="AC1029" s="0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0" t="str">
        <f aca="false">IFERROR(INDEX('Mov Entradas (Rel 10497)'!$L:$L,MATCH(AC1031,'Mov Entradas (Rel 10497)'!$I:$I,0)),"nao encontrado")</f>
        <v>PAN. HAMBURGUER DORA</v>
      </c>
      <c r="AC1031" s="0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0" t="str">
        <f aca="false">IFERROR(INDEX('Mov Entradas (Rel 10497)'!$L:$L,MATCH(AC1034,'Mov Entradas (Rel 10497)'!$I:$I,0)),"nao encontrado")</f>
        <v>nao encontrado</v>
      </c>
      <c r="AC1034" s="0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0" t="str">
        <f aca="false">IFERROR(INDEX('Mov Entradas (Rel 10497)'!$L:$L,MATCH(AC1035,'Mov Entradas (Rel 10497)'!$I:$I,0)),"nao encontrado")</f>
        <v>FANTA LAR LT 350ML</v>
      </c>
      <c r="AC1035" s="0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0" t="str">
        <f aca="false">IFERROR(INDEX('Mov Entradas (Rel 10497)'!$L:$L,MATCH(AC1036,'Mov Entradas (Rel 10497)'!$I:$I,0)),"nao encontrado")</f>
        <v>POWERADE FRUTA 500ML</v>
      </c>
      <c r="AC1036" s="0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0" t="str">
        <f aca="false">IFERROR(INDEX('Mov Entradas (Rel 10497)'!$L:$L,MATCH(AC1037,'Mov Entradas (Rel 10497)'!$I:$I,0)),"nao encontrado")</f>
        <v>SPRITE 2L RETORNAVEL</v>
      </c>
      <c r="AC1037" s="0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0" t="str">
        <f aca="false">IFERROR(INDEX('Mov Entradas (Rel 10497)'!$L:$L,MATCH(AC1038,'Mov Entradas (Rel 10497)'!$I:$I,0)),"nao encontrado")</f>
        <v>CERVEJA KAISER LATA</v>
      </c>
      <c r="AC1038" s="0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0" t="str">
        <f aca="false">IFERROR(INDEX('Mov Entradas (Rel 10497)'!$L:$L,MATCH(AC1039,'Mov Entradas (Rel 10497)'!$I:$I,0)),"nao encontrado")</f>
        <v>PAO INTEGRAL 400G</v>
      </c>
      <c r="AC1039" s="0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0" t="str">
        <f aca="false">IFERROR(INDEX('Mov Entradas (Rel 10497)'!$L:$L,MATCH(AC1040,'Mov Entradas (Rel 10497)'!$I:$I,0)),"nao encontrado")</f>
        <v>SORVETE 2 LTS FLOCOS</v>
      </c>
      <c r="AC1040" s="0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0" t="str">
        <f aca="false">IFERROR(INDEX('Mov Entradas (Rel 10497)'!$L:$L,MATCH(AC1041,'Mov Entradas (Rel 10497)'!$I:$I,0)),"nao encontrado")</f>
        <v>PAO DE FORMA BROTHER</v>
      </c>
      <c r="AC1041" s="0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0" t="str">
        <f aca="false">IFERROR(INDEX('Mov Entradas (Rel 10497)'!$L:$L,MATCH(AC1042,'Mov Entradas (Rel 10497)'!$I:$I,0)),"nao encontrado")</f>
        <v>FARINHA D AGUA DELIC</v>
      </c>
      <c r="AC1042" s="0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0" t="str">
        <f aca="false">IFERROR(INDEX('Mov Entradas (Rel 10497)'!$L:$L,MATCH(AC1043,'Mov Entradas (Rel 10497)'!$I:$I,0)),"nao encontrado")</f>
        <v>DIANTEIRO DE BOI L</v>
      </c>
      <c r="AC1043" s="0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0" t="str">
        <f aca="false">IFERROR(INDEX('Mov Entradas (Rel 10497)'!$L:$L,MATCH(AC1045,'Mov Entradas (Rel 10497)'!$I:$I,0)),"nao encontrado")</f>
        <v>FRUTAPINHO PETIT MOR</v>
      </c>
      <c r="AC1045" s="0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0" t="str">
        <f aca="false">IFERROR(INDEX('Mov Entradas (Rel 10497)'!$L:$L,MATCH(AC1046,'Mov Entradas (Rel 10497)'!$I:$I,0)),"nao encontrado")</f>
        <v>SUCO DE LARANJA VIGOR 200ML</v>
      </c>
      <c r="AC1046" s="0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0" t="str">
        <f aca="false">IFERROR(INDEX('Mov Entradas (Rel 10497)'!$L:$L,MATCH(AC1048,'Mov Entradas (Rel 10497)'!$I:$I,0)),"nao encontrado")</f>
        <v>OVOS MARROM UNID</v>
      </c>
      <c r="AC1048" s="0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0" t="str">
        <f aca="false">IFERROR(INDEX('Mov Entradas (Rel 10497)'!$L:$L,MATCH(AC1049,'Mov Entradas (Rel 10497)'!$I:$I,0)),"nao encontrado")</f>
        <v>PRESUNTO DE PERU</v>
      </c>
      <c r="AC1049" s="0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0" t="str">
        <f aca="false">IFERROR(INDEX('Mov Entradas (Rel 10497)'!$L:$L,MATCH(AC1050,'Mov Entradas (Rel 10497)'!$I:$I,0)),"nao encontrado")</f>
        <v>SUCO YOFRUT COPO 300</v>
      </c>
      <c r="AC1050" s="0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0" t="str">
        <f aca="false">IFERROR(INDEX('Mov Entradas (Rel 10497)'!$L:$L,MATCH(AC1051,'Mov Entradas (Rel 10497)'!$I:$I,0)),"nao encontrado")</f>
        <v>DUNHILL CARLTON BLEN</v>
      </c>
      <c r="AC1051" s="0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0" t="str">
        <f aca="false">IFERROR(INDEX('Mov Entradas (Rel 10497)'!$L:$L,MATCH(AC1052,'Mov Entradas (Rel 10497)'!$I:$I,0)),"nao encontrado")</f>
        <v>GELEIA DE FRUTAS FRONTEIRA POTAO 30 UND</v>
      </c>
      <c r="AC1052" s="0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0" t="str">
        <f aca="false">IFERROR(INDEX('Mov Entradas (Rel 10497)'!$L:$L,MATCH(AC1053,'Mov Entradas (Rel 10497)'!$I:$I,0)),"nao encontrado")</f>
        <v>PAN. HAMBURGUER DORA</v>
      </c>
      <c r="AC1053" s="0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0" t="str">
        <f aca="false">IFERROR(INDEX('Mov Entradas (Rel 10497)'!$L:$L,MATCH(AC1054,'Mov Entradas (Rel 10497)'!$I:$I,0)),"nao encontrado")</f>
        <v>BOLO BLOOM 600G</v>
      </c>
      <c r="AC1054" s="0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0" t="str">
        <f aca="false">IFERROR(INDEX('Mov Entradas (Rel 10497)'!$L:$L,MATCH(AC1055,'Mov Entradas (Rel 10497)'!$I:$I,0)),"nao encontrado")</f>
        <v>REFR FANTA UVA 2L</v>
      </c>
      <c r="AC1055" s="0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0" t="str">
        <f aca="false">IFERROR(INDEX('Mov Entradas (Rel 10497)'!$L:$L,MATCH(AC1057,'Mov Entradas (Rel 10497)'!$I:$I,0)),"nao encontrado")</f>
        <v>nao encontrado</v>
      </c>
      <c r="AC1057" s="0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0" t="str">
        <f aca="false">IFERROR(INDEX('Mov Entradas (Rel 10497)'!$L:$L,MATCH(AC1059,'Mov Entradas (Rel 10497)'!$I:$I,0)),"nao encontrado")</f>
        <v>nao encontrado</v>
      </c>
      <c r="AC1059" s="0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0" t="str">
        <f aca="false">IFERROR(INDEX('Mov Entradas (Rel 10497)'!$L:$L,MATCH(AC1060,'Mov Entradas (Rel 10497)'!$I:$I,0)),"nao encontrado")</f>
        <v>nao encontrado</v>
      </c>
      <c r="AC1060" s="0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0" t="str">
        <f aca="false">IFERROR(INDEX('Mov Entradas (Rel 10497)'!$L:$L,MATCH(AC1073,'Mov Entradas (Rel 10497)'!$I:$I,0)),"nao encontrado")</f>
        <v>nao encontrado</v>
      </c>
      <c r="AC1073" s="0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0" t="str">
        <f aca="false">IFERROR(INDEX('Mov Entradas (Rel 10497)'!$L:$L,MATCH(AC1075,'Mov Entradas (Rel 10497)'!$I:$I,0)),"nao encontrado")</f>
        <v>AGUAYARA GALAO 20L</v>
      </c>
      <c r="AC1075" s="0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0" t="str">
        <f aca="false">IFERROR(INDEX('Mov Entradas (Rel 10497)'!$L:$L,MATCH(AC1076,'Mov Entradas (Rel 10497)'!$I:$I,0)),"nao encontrado")</f>
        <v>TRASEIRO DE BOI L1</v>
      </c>
      <c r="AC1076" s="0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0" t="str">
        <f aca="false">IFERROR(INDEX('Mov Entradas (Rel 10497)'!$L:$L,MATCH(AC1080,'Mov Entradas (Rel 10497)'!$I:$I,0)),"nao encontrado")</f>
        <v>nao encontrado</v>
      </c>
      <c r="AC1080" s="0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0" t="str">
        <f aca="false">IFERROR(INDEX('Mov Entradas (Rel 10497)'!$L:$L,MATCH(AC1081,'Mov Entradas (Rel 10497)'!$I:$I,0)),"nao encontrado")</f>
        <v>DIANTEIRO DE BOI L</v>
      </c>
      <c r="AC1081" s="0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0" t="str">
        <f aca="false">IFERROR(INDEX('Mov Entradas (Rel 10497)'!$L:$L,MATCH(AC1083,'Mov Entradas (Rel 10497)'!$I:$I,0)),"nao encontrado")</f>
        <v>nao encontrado</v>
      </c>
      <c r="AC1083" s="0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0" t="str">
        <f aca="false">IFERROR(INDEX('Mov Entradas (Rel 10497)'!$L:$L,MATCH(AC1084,'Mov Entradas (Rel 10497)'!$I:$I,0)),"nao encontrado")</f>
        <v>nao encontrado</v>
      </c>
      <c r="AC1084" s="0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0" t="str">
        <f aca="false">IFERROR(INDEX('Mov Entradas (Rel 10497)'!$L:$L,MATCH(AC1085,'Mov Entradas (Rel 10497)'!$I:$I,0)),"nao encontrado")</f>
        <v>nao encontrado</v>
      </c>
      <c r="AC1085" s="0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0" t="str">
        <f aca="false">IFERROR(INDEX('Mov Entradas (Rel 10497)'!$L:$L,MATCH(AC1086,'Mov Entradas (Rel 10497)'!$I:$I,0)),"nao encontrado")</f>
        <v>CAFE MARATA 250G</v>
      </c>
      <c r="AC1086" s="0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0" t="str">
        <f aca="false">IFERROR(INDEX('Mov Entradas (Rel 10497)'!$L:$L,MATCH(AC1088,'Mov Entradas (Rel 10497)'!$I:$I,0)),"nao encontrado")</f>
        <v>IOGURTE FRUT GURT 30</v>
      </c>
      <c r="AC1088" s="0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0" t="str">
        <f aca="false">IFERROR(INDEX('Mov Entradas (Rel 10497)'!$L:$L,MATCH(AC1093,'Mov Entradas (Rel 10497)'!$I:$I,0)),"nao encontrado")</f>
        <v>PAN. HAMBURGUER DORA</v>
      </c>
      <c r="AC1093" s="0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0" t="str">
        <f aca="false">IFERROR(INDEX('Mov Entradas (Rel 10497)'!$L:$L,MATCH(AC1099,'Mov Entradas (Rel 10497)'!$I:$I,0)),"nao encontrado")</f>
        <v>BRIGADEIRO</v>
      </c>
      <c r="AC1099" s="0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0" t="str">
        <f aca="false">IFERROR(INDEX('Mov Entradas (Rel 10497)'!$L:$L,MATCH(AC1102,'Mov Entradas (Rel 10497)'!$I:$I,0)),"nao encontrado")</f>
        <v>nao encontrado</v>
      </c>
      <c r="AC1102" s="0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0" t="str">
        <f aca="false">IFERROR(INDEX('Mov Entradas (Rel 10497)'!$L:$L,MATCH(AC1103,'Mov Entradas (Rel 10497)'!$I:$I,0)),"nao encontrado")</f>
        <v>nao encontrado</v>
      </c>
      <c r="AC1103" s="0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0" t="str">
        <f aca="false">IFERROR(INDEX('Mov Entradas (Rel 10497)'!$L:$L,MATCH(AC1104,'Mov Entradas (Rel 10497)'!$I:$I,0)),"nao encontrado")</f>
        <v>nao encontrado</v>
      </c>
      <c r="AC1104" s="0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0" t="str">
        <f aca="false">IFERROR(INDEX('Mov Entradas (Rel 10497)'!$L:$L,MATCH(AC1105,'Mov Entradas (Rel 10497)'!$I:$I,0)),"nao encontrado")</f>
        <v>AREIA SAN P GATO PIPICAT 4KG</v>
      </c>
      <c r="AC1105" s="0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0" t="str">
        <f aca="false">IFERROR(INDEX('Mov Entradas (Rel 10497)'!$L:$L,MATCH(AC1106,'Mov Entradas (Rel 10497)'!$I:$I,0)),"nao encontrado")</f>
        <v>REAL CLASSICO 2L PET</v>
      </c>
      <c r="AC1106" s="0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0" t="str">
        <f aca="false">IFERROR(INDEX('Mov Entradas (Rel 10497)'!$L:$L,MATCH(AC1107,'Mov Entradas (Rel 10497)'!$I:$I,0)),"nao encontrado")</f>
        <v>AGUA SANI BRILUX1L</v>
      </c>
      <c r="AC1107" s="0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0" t="str">
        <f aca="false">IFERROR(INDEX('Mov Entradas (Rel 10497)'!$L:$L,MATCH(AC1108,'Mov Entradas (Rel 10497)'!$I:$I,0)),"nao encontrado")</f>
        <v>SORVETE 2 LTS FLOCOS</v>
      </c>
      <c r="AC1108" s="0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0" t="str">
        <f aca="false">IFERROR(INDEX('Mov Entradas (Rel 10497)'!$L:$L,MATCH(AC1109,'Mov Entradas (Rel 10497)'!$I:$I,0)),"nao encontrado")</f>
        <v>nao encontrado</v>
      </c>
      <c r="AC1109" s="0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0" t="str">
        <f aca="false">IFERROR(INDEX('Mov Entradas (Rel 10497)'!$L:$L,MATCH(AC1111,'Mov Entradas (Rel 10497)'!$I:$I,0)),"nao encontrado")</f>
        <v>ALHO KG</v>
      </c>
      <c r="AC1111" s="0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0" t="str">
        <f aca="false">IFERROR(INDEX('Mov Entradas (Rel 10497)'!$L:$L,MATCH(AC1113,'Mov Entradas (Rel 10497)'!$I:$I,0)),"nao encontrado")</f>
        <v>BOLO BLOOM 600G</v>
      </c>
      <c r="AC1113" s="0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0" t="str">
        <f aca="false">IFERROR(INDEX('Mov Entradas (Rel 10497)'!$L:$L,MATCH(AC1117,'Mov Entradas (Rel 10497)'!$I:$I,0)),"nao encontrado")</f>
        <v>nao encontrado</v>
      </c>
      <c r="AC1117" s="0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0" t="str">
        <f aca="false">IFERROR(INDEX('Mov Entradas (Rel 10497)'!$L:$L,MATCH(AC1118,'Mov Entradas (Rel 10497)'!$I:$I,0)),"nao encontrado")</f>
        <v>nao encontrado</v>
      </c>
      <c r="AC1118" s="0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46197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1304461</v>
      </c>
      <c r="L1119" s="17" t="n">
        <v>12404733</v>
      </c>
      <c r="M1119" s="1" t="s">
        <v>45</v>
      </c>
      <c r="N1119" s="1" t="s">
        <v>37</v>
      </c>
      <c r="P1119" s="17" t="n">
        <v>128</v>
      </c>
      <c r="Q1119" s="1" t="s">
        <v>46</v>
      </c>
      <c r="R1119" s="1" t="s">
        <v>47</v>
      </c>
      <c r="S1119" s="17" t="n">
        <v>1130101</v>
      </c>
      <c r="T1119" s="1" t="s">
        <v>48</v>
      </c>
      <c r="U1119" s="18" t="n">
        <v>742.53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0" t="str">
        <f aca="false">IFERROR(INDEX('Mov Entradas (Rel 10497)'!$L:$L,MATCH(AC1119,'Mov Entradas (Rel 10497)'!$I:$I,0)),"nao encontrado")</f>
        <v>nao encontrado</v>
      </c>
      <c r="AC1119" s="0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46044</v>
      </c>
      <c r="C1120" s="16" t="n">
        <v>46225</v>
      </c>
      <c r="D1120" s="17" t="n">
        <v>514</v>
      </c>
      <c r="E1120" s="1" t="s">
        <v>33</v>
      </c>
      <c r="F1120" s="17" t="n">
        <v>34</v>
      </c>
      <c r="G1120" s="1" t="s">
        <v>34</v>
      </c>
      <c r="H1120" s="17" t="n">
        <v>2110405</v>
      </c>
      <c r="I1120" s="1" t="s">
        <v>35</v>
      </c>
      <c r="J1120" s="17" t="n">
        <v>1306220</v>
      </c>
      <c r="L1120" s="17" t="n">
        <v>203991</v>
      </c>
      <c r="M1120" s="1" t="s">
        <v>527</v>
      </c>
      <c r="N1120" s="1" t="s">
        <v>37</v>
      </c>
      <c r="P1120" s="17" t="n">
        <v>101</v>
      </c>
      <c r="Q1120" s="1" t="s">
        <v>38</v>
      </c>
      <c r="R1120" s="1" t="s">
        <v>140</v>
      </c>
      <c r="S1120" s="17" t="n">
        <v>2110901</v>
      </c>
      <c r="T1120" s="1" t="s">
        <v>141</v>
      </c>
      <c r="U1120" s="18" t="n">
        <v>6601.19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46204</v>
      </c>
      <c r="C1121" s="16" t="n">
        <v>46225</v>
      </c>
      <c r="D1121" s="17" t="n">
        <v>1740</v>
      </c>
      <c r="E1121" s="1" t="s">
        <v>171</v>
      </c>
      <c r="F1121" s="17" t="n">
        <v>24</v>
      </c>
      <c r="G1121" s="1" t="s">
        <v>43</v>
      </c>
      <c r="H1121" s="17" t="n">
        <v>2110101</v>
      </c>
      <c r="I1121" s="1" t="s">
        <v>44</v>
      </c>
      <c r="J1121" s="17" t="n">
        <v>1335359</v>
      </c>
      <c r="L1121" s="17" t="n">
        <v>12428242</v>
      </c>
      <c r="M1121" s="1" t="s">
        <v>45</v>
      </c>
      <c r="N1121" s="1" t="s">
        <v>37</v>
      </c>
      <c r="P1121" s="17" t="n">
        <v>167</v>
      </c>
      <c r="Q1121" s="1" t="s">
        <v>102</v>
      </c>
      <c r="R1121" s="1" t="s">
        <v>47</v>
      </c>
      <c r="S1121" s="17" t="n">
        <v>1130101</v>
      </c>
      <c r="T1121" s="1" t="s">
        <v>48</v>
      </c>
      <c r="U1121" s="18" t="n">
        <v>683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0" t="str">
        <f aca="false">IFERROR(INDEX('Mov Entradas (Rel 10497)'!$L:$L,MATCH(AC1121,'Mov Entradas (Rel 10497)'!$I:$I,0)),"nao encontrado")</f>
        <v>LINGUI DE FRANGO KG</v>
      </c>
      <c r="AC1121" s="0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0" t="str">
        <f aca="false">IFERROR(INDEX('Mov Entradas (Rel 10497)'!$L:$L,MATCH(AC1122,'Mov Entradas (Rel 10497)'!$I:$I,0)),"nao encontrado")</f>
        <v>ASACOMP.FRAG1K</v>
      </c>
      <c r="AC1122" s="0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0" t="str">
        <f aca="false">IFERROR(INDEX('Mov Entradas (Rel 10497)'!$L:$L,MATCH(AC1123,'Mov Entradas (Rel 10497)'!$I:$I,0)),"nao encontrado")</f>
        <v>SAB BARRA ECON 500G</v>
      </c>
      <c r="AC1123" s="0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0" t="str">
        <f aca="false">IFERROR(INDEX('Mov Entradas (Rel 10497)'!$L:$L,MATCH(AC1124,'Mov Entradas (Rel 10497)'!$I:$I,0)),"nao encontrado")</f>
        <v>FARINHA D AGUA DELIC</v>
      </c>
      <c r="AC1124" s="0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0" t="str">
        <f aca="false">IFERROR(INDEX('Mov Entradas (Rel 10497)'!$L:$L,MATCH(AC1125,'Mov Entradas (Rel 10497)'!$I:$I,0)),"nao encontrado")</f>
        <v>LINGUI DE FRANGO KG</v>
      </c>
      <c r="AC1125" s="0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0" t="str">
        <f aca="false">IFERROR(INDEX('Mov Entradas (Rel 10497)'!$L:$L,MATCH(AC1126,'Mov Entradas (Rel 10497)'!$I:$I,0)),"nao encontrado")</f>
        <v>RAÇÃO CHAMP CÃO FILHOTE 900G</v>
      </c>
      <c r="AC1126" s="0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0" t="str">
        <f aca="false">IFERROR(INDEX('Mov Entradas (Rel 10497)'!$L:$L,MATCH(AC1127,'Mov Entradas (Rel 10497)'!$I:$I,0)),"nao encontrado")</f>
        <v>MOLHO DE PIMENTA CEP</v>
      </c>
      <c r="AC1127" s="0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0" t="str">
        <f aca="false">IFERROR(INDEX('Mov Entradas (Rel 10497)'!$L:$L,MATCH(AC1128,'Mov Entradas (Rel 10497)'!$I:$I,0)),"nao encontrado")</f>
        <v>FRUTAP IOG MOR C/CER</v>
      </c>
      <c r="AC1128" s="0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0" t="str">
        <f aca="false">IFERROR(INDEX('Mov Entradas (Rel 10497)'!$L:$L,MATCH(AC1132,'Mov Entradas (Rel 10497)'!$I:$I,0)),"nao encontrado")</f>
        <v>nao encontrado</v>
      </c>
      <c r="AC1132" s="0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0" t="str">
        <f aca="false">IFERROR(INDEX('Mov Entradas (Rel 10497)'!$L:$L,MATCH(AC1133,'Mov Entradas (Rel 10497)'!$I:$I,0)),"nao encontrado")</f>
        <v>nao encontrado</v>
      </c>
      <c r="AC1133" s="0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0" t="str">
        <f aca="false">IFERROR(INDEX('Mov Entradas (Rel 10497)'!$L:$L,MATCH(AC1134,'Mov Entradas (Rel 10497)'!$I:$I,0)),"nao encontrado")</f>
        <v>nao encontrado</v>
      </c>
      <c r="AC1134" s="0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0" t="str">
        <f aca="false">IFERROR(INDEX('Mov Entradas (Rel 10497)'!$L:$L,MATCH(AC1135,'Mov Entradas (Rel 10497)'!$I:$I,0)),"nao encontrado")</f>
        <v>nao encontrado</v>
      </c>
      <c r="AC1135" s="0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0" t="str">
        <f aca="false">IFERROR(INDEX('Mov Entradas (Rel 10497)'!$L:$L,MATCH(AC1136,'Mov Entradas (Rel 10497)'!$I:$I,0)),"nao encontrado")</f>
        <v>SORVETE TOYA MORANGO</v>
      </c>
      <c r="AC1136" s="0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0" t="str">
        <f aca="false">IFERROR(INDEX('Mov Entradas (Rel 10497)'!$L:$L,MATCH(AC1137,'Mov Entradas (Rel 10497)'!$I:$I,0)),"nao encontrado")</f>
        <v>SACOLA DE 3KG</v>
      </c>
      <c r="AC1137" s="0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0" t="str">
        <f aca="false">IFERROR(INDEX('Mov Entradas (Rel 10497)'!$L:$L,MATCH(AC1138,'Mov Entradas (Rel 10497)'!$I:$I,0)),"nao encontrado")</f>
        <v>ENERGETICO BALLY TRAD 2L</v>
      </c>
      <c r="AC1138" s="0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0" t="str">
        <f aca="false">IFERROR(INDEX('Mov Entradas (Rel 10497)'!$L:$L,MATCH(AC1139,'Mov Entradas (Rel 10497)'!$I:$I,0)),"nao encontrado")</f>
        <v>BISTECA BOVINAKG</v>
      </c>
      <c r="AC1139" s="0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0" t="str">
        <f aca="false">IFERROR(INDEX('Mov Entradas (Rel 10497)'!$L:$L,MATCH(AC1140,'Mov Entradas (Rel 10497)'!$I:$I,0)),"nao encontrado")</f>
        <v>LEITE PO ITAMBE 400G</v>
      </c>
      <c r="AC1140" s="0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0" t="str">
        <f aca="false">IFERROR(INDEX('Mov Entradas (Rel 10497)'!$L:$L,MATCH(AC1141,'Mov Entradas (Rel 10497)'!$I:$I,0)),"nao encontrado")</f>
        <v>ISQUEIRO BIC G</v>
      </c>
      <c r="AC1141" s="0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0" t="str">
        <f aca="false">IFERROR(INDEX('Mov Entradas (Rel 10497)'!$L:$L,MATCH(AC1142,'Mov Entradas (Rel 10497)'!$I:$I,0)),"nao encontrado")</f>
        <v>-KETCHUP TRADICIONAL</v>
      </c>
      <c r="AC1142" s="0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0" t="str">
        <f aca="false">IFERROR(INDEX('Mov Entradas (Rel 10497)'!$L:$L,MATCH(AC1143,'Mov Entradas (Rel 10497)'!$I:$I,0)),"nao encontrado")</f>
        <v>SUCO DE LARANJA VIGOR 200ML</v>
      </c>
      <c r="AC1143" s="0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0" t="str">
        <f aca="false">IFERROR(INDEX('Mov Entradas (Rel 10497)'!$L:$L,MATCH(AC1144,'Mov Entradas (Rel 10497)'!$I:$I,0)),"nao encontrado")</f>
        <v>TRASEIRO DE BOI L1</v>
      </c>
      <c r="AC1144" s="0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0" t="str">
        <f aca="false">IFERROR(INDEX('Mov Entradas (Rel 10497)'!$L:$L,MATCH(AC1145,'Mov Entradas (Rel 10497)'!$I:$I,0)),"nao encontrado")</f>
        <v>PAO TORRADO BROTHERS</v>
      </c>
      <c r="AC1145" s="0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0" t="str">
        <f aca="false">IFERROR(INDEX('Mov Entradas (Rel 10497)'!$L:$L,MATCH(AC1146,'Mov Entradas (Rel 10497)'!$I:$I,0)),"nao encontrado")</f>
        <v>CAFE KIMINO 250G</v>
      </c>
      <c r="AC1146" s="0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0" t="str">
        <f aca="false">IFERROR(INDEX('Mov Entradas (Rel 10497)'!$L:$L,MATCH(AC1148,'Mov Entradas (Rel 10497)'!$I:$I,0)),"nao encontrado")</f>
        <v>OVOS BRANCO UNID</v>
      </c>
      <c r="AC1148" s="0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0" t="str">
        <f aca="false">IFERROR(INDEX('Mov Entradas (Rel 10497)'!$L:$L,MATCH(AC1149,'Mov Entradas (Rel 10497)'!$I:$I,0)),"nao encontrado")</f>
        <v>REF COCA LT 350ML</v>
      </c>
      <c r="AC1149" s="0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0" t="str">
        <f aca="false">IFERROR(INDEX('Mov Entradas (Rel 10497)'!$L:$L,MATCH(AC1150,'Mov Entradas (Rel 10497)'!$I:$I,0)),"nao encontrado")</f>
        <v>KAPO UVA 200ML</v>
      </c>
      <c r="AC1150" s="0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0" t="str">
        <f aca="false">IFERROR(INDEX('Mov Entradas (Rel 10497)'!$L:$L,MATCH(AC1155,'Mov Entradas (Rel 10497)'!$I:$I,0)),"nao encontrado")</f>
        <v>nao encontrado</v>
      </c>
      <c r="AC1155" s="0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0" t="str">
        <f aca="false">IFERROR(INDEX('Mov Entradas (Rel 10497)'!$L:$L,MATCH(AC1156,'Mov Entradas (Rel 10497)'!$I:$I,0)),"nao encontrado")</f>
        <v>nao encontrado</v>
      </c>
      <c r="AC1156" s="0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0" t="str">
        <f aca="false">IFERROR(INDEX('Mov Entradas (Rel 10497)'!$L:$L,MATCH(AC1157,'Mov Entradas (Rel 10497)'!$I:$I,0)),"nao encontrado")</f>
        <v>nao encontrado</v>
      </c>
      <c r="AC1157" s="0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0" t="str">
        <f aca="false">IFERROR(INDEX('Mov Entradas (Rel 10497)'!$L:$L,MATCH(AC1158,'Mov Entradas (Rel 10497)'!$I:$I,0)),"nao encontrado")</f>
        <v>nao encontrado</v>
      </c>
      <c r="AC1158" s="0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0" t="str">
        <f aca="false">IFERROR(INDEX('Mov Entradas (Rel 10497)'!$L:$L,MATCH(AC1159,'Mov Entradas (Rel 10497)'!$I:$I,0)),"nao encontrado")</f>
        <v>CEREAL MOC FLAK120G</v>
      </c>
      <c r="AC1159" s="0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46220</v>
      </c>
      <c r="C1160" s="16" t="n">
        <v>46227</v>
      </c>
      <c r="D1160" s="17" t="n">
        <v>1378</v>
      </c>
      <c r="E1160" s="1" t="s">
        <v>121</v>
      </c>
      <c r="F1160" s="17" t="n">
        <v>24</v>
      </c>
      <c r="G1160" s="1" t="s">
        <v>43</v>
      </c>
      <c r="H1160" s="17" t="n">
        <v>1110204</v>
      </c>
      <c r="I1160" s="1" t="s">
        <v>204</v>
      </c>
      <c r="J1160" s="17" t="n">
        <v>1414499</v>
      </c>
      <c r="L1160" s="17" t="n">
        <v>18250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201.5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0" t="str">
        <f aca="false">IFERROR(INDEX('Mov Entradas (Rel 10497)'!$L:$L,MATCH(AC1160,'Mov Entradas (Rel 10497)'!$I:$I,0)),"nao encontrado")</f>
        <v>PAN. HAMBURGUER DORA</v>
      </c>
      <c r="AC1160" s="0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46209</v>
      </c>
      <c r="C1161" s="16" t="n">
        <v>46227</v>
      </c>
      <c r="D1161" s="17" t="n">
        <v>1136</v>
      </c>
      <c r="E1161" s="1" t="s">
        <v>695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1377173</v>
      </c>
      <c r="L1161" s="17" t="n">
        <v>516261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567.71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0" t="str">
        <f aca="false">IFERROR(INDEX('Mov Entradas (Rel 10497)'!$L:$L,MATCH(AC1161,'Mov Entradas (Rel 10497)'!$I:$I,0)),"nao encontrado")</f>
        <v>KRO QUEIJO 100G</v>
      </c>
      <c r="AC1161" s="0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1666</v>
      </c>
      <c r="E1162" s="1" t="s">
        <v>214</v>
      </c>
      <c r="F1162" s="17" t="n">
        <v>24</v>
      </c>
      <c r="G1162" s="1" t="s">
        <v>43</v>
      </c>
      <c r="H1162" s="17" t="n">
        <v>2110101</v>
      </c>
      <c r="I1162" s="1" t="s">
        <v>44</v>
      </c>
      <c r="J1162" s="17" t="n">
        <v>1377206</v>
      </c>
      <c r="L1162" s="17" t="n">
        <v>5667172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1901.92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0" t="str">
        <f aca="false">IFERROR(INDEX('Mov Entradas (Rel 10497)'!$L:$L,MATCH(AC1162,'Mov Entradas (Rel 10497)'!$I:$I,0)),"nao encontrado")</f>
        <v>DUNHILL CARLTON BLEN</v>
      </c>
      <c r="AC1162" s="0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46212</v>
      </c>
      <c r="C1163" s="16" t="n">
        <v>46227</v>
      </c>
      <c r="D1163" s="17" t="n">
        <v>1816</v>
      </c>
      <c r="E1163" s="1" t="s">
        <v>556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1392479</v>
      </c>
      <c r="L1163" s="17" t="n">
        <v>3333641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1528.63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0" t="str">
        <f aca="false">IFERROR(INDEX('Mov Entradas (Rel 10497)'!$L:$L,MATCH(AC1163,'Mov Entradas (Rel 10497)'!$I:$I,0)),"nao encontrado")</f>
        <v>AGUA SANI BRINORT 1L</v>
      </c>
      <c r="AC1163" s="0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46218</v>
      </c>
      <c r="C1164" s="16" t="n">
        <v>46227</v>
      </c>
      <c r="D1164" s="17" t="n">
        <v>10009</v>
      </c>
      <c r="E1164" s="1" t="s">
        <v>375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1402519</v>
      </c>
      <c r="L1164" s="17" t="n">
        <v>1426526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1113.53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0" t="str">
        <f aca="false">IFERROR(INDEX('Mov Entradas (Rel 10497)'!$L:$L,MATCH(AC1164,'Mov Entradas (Rel 10497)'!$I:$I,0)),"nao encontrado")</f>
        <v>BATON CHOCO AO LEITE</v>
      </c>
      <c r="AC1164" s="0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46213</v>
      </c>
      <c r="C1165" s="16" t="n">
        <v>46227</v>
      </c>
      <c r="D1165" s="17" t="n">
        <v>1657</v>
      </c>
      <c r="E1165" s="1" t="s">
        <v>257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1407141</v>
      </c>
      <c r="L1165" s="17" t="n">
        <v>3761991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708.09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0" t="str">
        <f aca="false">IFERROR(INDEX('Mov Entradas (Rel 10497)'!$L:$L,MATCH(AC1165,'Mov Entradas (Rel 10497)'!$I:$I,0)),"nao encontrado")</f>
        <v>NAFTALINA SANILAR 50</v>
      </c>
      <c r="AC1165" s="0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46219</v>
      </c>
      <c r="C1166" s="16" t="n">
        <v>46227</v>
      </c>
      <c r="D1166" s="17" t="n">
        <v>1814</v>
      </c>
      <c r="E1166" s="1" t="s">
        <v>341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1411448</v>
      </c>
      <c r="L1166" s="17" t="n">
        <v>276211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678.13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0" t="str">
        <f aca="false">IFERROR(INDEX('Mov Entradas (Rel 10497)'!$L:$L,MATCH(AC1166,'Mov Entradas (Rel 10497)'!$I:$I,0)),"nao encontrado")</f>
        <v>POLPA GRAVIOLA 100G</v>
      </c>
      <c r="AC1166" s="0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46217</v>
      </c>
      <c r="C1167" s="16" t="n">
        <v>46227</v>
      </c>
      <c r="D1167" s="17" t="n">
        <v>1723</v>
      </c>
      <c r="E1167" s="1" t="s">
        <v>77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1411463</v>
      </c>
      <c r="L1167" s="17" t="n">
        <v>56411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4513.6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0" t="str">
        <f aca="false">IFERROR(INDEX('Mov Entradas (Rel 10497)'!$L:$L,MATCH(AC1167,'Mov Entradas (Rel 10497)'!$I:$I,0)),"nao encontrado")</f>
        <v>TRASEIRO DE BOI L1</v>
      </c>
      <c r="AC1167" s="0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46219</v>
      </c>
      <c r="C1168" s="16" t="n">
        <v>46227</v>
      </c>
      <c r="D1168" s="17" t="n">
        <v>1166</v>
      </c>
      <c r="E1168" s="1" t="s">
        <v>944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1411480</v>
      </c>
      <c r="L1168" s="17" t="n">
        <v>335191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631.62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0" t="str">
        <f aca="false">IFERROR(INDEX('Mov Entradas (Rel 10497)'!$L:$L,MATCH(AC1168,'Mov Entradas (Rel 10497)'!$I:$I,0)),"nao encontrado")</f>
        <v>MARGARINA DELINE 250</v>
      </c>
      <c r="AC1168" s="0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0" t="str">
        <f aca="false">IFERROR(INDEX('Mov Entradas (Rel 10497)'!$L:$L,MATCH(AC1172,'Mov Entradas (Rel 10497)'!$I:$I,0)),"nao encontrado")</f>
        <v>MACA FUJI KG</v>
      </c>
      <c r="AC1172" s="0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0" t="str">
        <f aca="false">IFERROR(INDEX('Mov Entradas (Rel 10497)'!$L:$L,MATCH(AC1173,'Mov Entradas (Rel 10497)'!$I:$I,0)),"nao encontrado")</f>
        <v>BOLO MIYAZAKI GRANDE</v>
      </c>
      <c r="AC1173" s="0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0" t="str">
        <f aca="false">IFERROR(INDEX('Mov Entradas (Rel 10497)'!$L:$L,MATCH(AC1176,'Mov Entradas (Rel 10497)'!$I:$I,0)),"nao encontrado")</f>
        <v>CARVAO VEGETAL 3KG</v>
      </c>
      <c r="AC1176" s="0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0" t="str">
        <f aca="false">IFERROR(INDEX('Mov Entradas (Rel 10497)'!$L:$L,MATCH(AC1177,'Mov Entradas (Rel 10497)'!$I:$I,0)),"nao encontrado")</f>
        <v>nao encontrado</v>
      </c>
      <c r="AC1177" s="0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0" t="str">
        <f aca="false">IFERROR(INDEX('Mov Entradas (Rel 10497)'!$L:$L,MATCH(AC1178,'Mov Entradas (Rel 10497)'!$I:$I,0)),"nao encontrado")</f>
        <v>nao encontrado</v>
      </c>
      <c r="AC1178" s="0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0" t="str">
        <f aca="false">IFERROR(INDEX('Mov Entradas (Rel 10497)'!$L:$L,MATCH(AC1179,'Mov Entradas (Rel 10497)'!$I:$I,0)),"nao encontrado")</f>
        <v>nao encontrado</v>
      </c>
      <c r="AC1179" s="0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0" t="str">
        <f aca="false">IFERROR(INDEX('Mov Entradas (Rel 10497)'!$L:$L,MATCH(AC1180,'Mov Entradas (Rel 10497)'!$I:$I,0)),"nao encontrado")</f>
        <v>nao encontrado</v>
      </c>
      <c r="AC1180" s="0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0" t="str">
        <f aca="false">IFERROR(INDEX('Mov Entradas (Rel 10497)'!$L:$L,MATCH(AC1181,'Mov Entradas (Rel 10497)'!$I:$I,0)),"nao encontrado")</f>
        <v>nao encontrado</v>
      </c>
      <c r="AC1181" s="0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0" t="str">
        <f aca="false">IFERROR(INDEX('Mov Entradas (Rel 10497)'!$L:$L,MATCH(AC1182,'Mov Entradas (Rel 10497)'!$I:$I,0)),"nao encontrado")</f>
        <v>nao encontrado</v>
      </c>
      <c r="AC1182" s="0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0" t="str">
        <f aca="false">IFERROR(INDEX('Mov Entradas (Rel 10497)'!$L:$L,MATCH(AC1183,'Mov Entradas (Rel 10497)'!$I:$I,0)),"nao encontrado")</f>
        <v>nao encontrado</v>
      </c>
      <c r="AC1183" s="0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0" t="str">
        <f aca="false">IFERROR(INDEX('Mov Entradas (Rel 10497)'!$L:$L,MATCH(AC1184,'Mov Entradas (Rel 10497)'!$I:$I,0)),"nao encontrado")</f>
        <v>TUCUPI DA RAI 500ML</v>
      </c>
      <c r="AC1184" s="0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1672</v>
      </c>
      <c r="E1186" s="1" t="s">
        <v>68</v>
      </c>
      <c r="F1186" s="17" t="n">
        <v>24</v>
      </c>
      <c r="G1186" s="1" t="s">
        <v>43</v>
      </c>
      <c r="H1186" s="17" t="n">
        <v>2110101</v>
      </c>
      <c r="I1186" s="1" t="s">
        <v>44</v>
      </c>
      <c r="J1186" s="17" t="n">
        <v>1369286</v>
      </c>
      <c r="L1186" s="17" t="n">
        <v>1388539</v>
      </c>
      <c r="M1186" s="1" t="s">
        <v>151</v>
      </c>
      <c r="N1186" s="1" t="s">
        <v>70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887.5</v>
      </c>
      <c r="W1186" s="18" t="n">
        <v>0</v>
      </c>
      <c r="X1186" s="1" t="s">
        <v>1245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0" t="str">
        <f aca="false">IFERROR(INDEX('Mov Entradas (Rel 10497)'!$L:$L,MATCH(AC1186,'Mov Entradas (Rel 10497)'!$I:$I,0)),"nao encontrado")</f>
        <v>AGUAYARA GALAO 20L</v>
      </c>
      <c r="AC1186" s="0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1398</v>
      </c>
      <c r="E1187" s="1" t="s">
        <v>1246</v>
      </c>
      <c r="F1187" s="17" t="n">
        <v>24</v>
      </c>
      <c r="G1187" s="1" t="s">
        <v>43</v>
      </c>
      <c r="H1187" s="17" t="n">
        <v>1110204</v>
      </c>
      <c r="I1187" s="1" t="s">
        <v>204</v>
      </c>
      <c r="J1187" s="17" t="n">
        <v>1397019</v>
      </c>
      <c r="L1187" s="17" t="n">
        <v>33331</v>
      </c>
      <c r="M1187" s="1" t="s">
        <v>45</v>
      </c>
      <c r="N1187" s="1" t="s">
        <v>37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592.06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0" t="str">
        <f aca="false">IFERROR(INDEX('Mov Entradas (Rel 10497)'!$L:$L,MATCH(AC1187,'Mov Entradas (Rel 10497)'!$I:$I,0)),"nao encontrado")</f>
        <v>CADERNO STIFF AMAREL</v>
      </c>
      <c r="AC1187" s="0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1122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1397045</v>
      </c>
      <c r="L1188" s="17" t="n">
        <v>664111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614.99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0" t="str">
        <f aca="false">IFERROR(INDEX('Mov Entradas (Rel 10497)'!$L:$L,MATCH(AC1188,'Mov Entradas (Rel 10497)'!$I:$I,0)),"nao encontrado")</f>
        <v>CAD CD 12X1 168FLS P</v>
      </c>
      <c r="AC1188" s="0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0" t="str">
        <f aca="false">IFERROR(INDEX('Mov Entradas (Rel 10497)'!$L:$L,MATCH(AC1190,'Mov Entradas (Rel 10497)'!$I:$I,0)),"nao encontrado")</f>
        <v>PRESUNTO DE PERU</v>
      </c>
      <c r="AC1190" s="0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0" t="str">
        <f aca="false">IFERROR(INDEX('Mov Entradas (Rel 10497)'!$L:$L,MATCH(AC1193,'Mov Entradas (Rel 10497)'!$I:$I,0)),"nao encontrado")</f>
        <v>BRIGADEIRO</v>
      </c>
      <c r="AC1193" s="0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0" t="str">
        <f aca="false">IFERROR(INDEX('Mov Entradas (Rel 10497)'!$L:$L,MATCH(AC1195,'Mov Entradas (Rel 10497)'!$I:$I,0)),"nao encontrado")</f>
        <v>LR GAS R22 FRAC. PRECO DO KG</v>
      </c>
      <c r="AC1195" s="0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0" t="str">
        <f aca="false">IFERROR(INDEX('Mov Entradas (Rel 10497)'!$L:$L,MATCH(AC1198,'Mov Entradas (Rel 10497)'!$I:$I,0)),"nao encontrado")</f>
        <v>nao encontrado</v>
      </c>
      <c r="AC1198" s="0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0" t="str">
        <f aca="false">IFERROR(INDEX('Mov Entradas (Rel 10497)'!$L:$L,MATCH(AC1199,'Mov Entradas (Rel 10497)'!$I:$I,0)),"nao encontrado")</f>
        <v>nao encontrado</v>
      </c>
      <c r="AC1199" s="0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0" t="str">
        <f aca="false">IFERROR(INDEX('Mov Entradas (Rel 10497)'!$L:$L,MATCH(AC1201,'Mov Entradas (Rel 10497)'!$I:$I,0)),"nao encontrado")</f>
        <v>nao encontrado</v>
      </c>
      <c r="AC1201" s="0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0" t="str">
        <f aca="false">IFERROR(INDEX('Mov Entradas (Rel 10497)'!$L:$L,MATCH(AC1203,'Mov Entradas (Rel 10497)'!$I:$I,0)),"nao encontrado")</f>
        <v>nao encontrado</v>
      </c>
      <c r="AC1203" s="0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0" t="str">
        <f aca="false">IFERROR(INDEX('Mov Entradas (Rel 10497)'!$L:$L,MATCH(AC1204,'Mov Entradas (Rel 10497)'!$I:$I,0)),"nao encontrado")</f>
        <v>CAFE MARATA 250G</v>
      </c>
      <c r="AC1204" s="0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0" t="str">
        <f aca="false">IFERROR(INDEX('Mov Entradas (Rel 10497)'!$L:$L,MATCH(AC1205,'Mov Entradas (Rel 10497)'!$I:$I,0)),"nao encontrado")</f>
        <v>MOLHO POMAROLA 260G</v>
      </c>
      <c r="AC1205" s="0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0" t="str">
        <f aca="false">IFERROR(INDEX('Mov Entradas (Rel 10497)'!$L:$L,MATCH(AC1206,'Mov Entradas (Rel 10497)'!$I:$I,0)),"nao encontrado")</f>
        <v>RAC CONFIANCA AD 15K</v>
      </c>
      <c r="AC1206" s="0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0" t="str">
        <f aca="false">IFERROR(INDEX('Mov Entradas (Rel 10497)'!$L:$L,MATCH(AC1207,'Mov Entradas (Rel 10497)'!$I:$I,0)),"nao encontrado")</f>
        <v>TRASEIRO DE BOI L1</v>
      </c>
      <c r="AC1207" s="0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0" t="str">
        <f aca="false">IFERROR(INDEX('Mov Entradas (Rel 10497)'!$L:$L,MATCH(AC1208,'Mov Entradas (Rel 10497)'!$I:$I,0)),"nao encontrado")</f>
        <v>CERMICHE ULTRA N LON</v>
      </c>
      <c r="AC1208" s="0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0" t="str">
        <f aca="false">IFERROR(INDEX('Mov Entradas (Rel 10497)'!$L:$L,MATCH(AC1210,'Mov Entradas (Rel 10497)'!$I:$I,0)),"nao encontrado")</f>
        <v>TRASEIRO DE BOI L1</v>
      </c>
      <c r="AC1210" s="0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0" t="str">
        <f aca="false">IFERROR(INDEX('Mov Entradas (Rel 10497)'!$L:$L,MATCH(AC1215,'Mov Entradas (Rel 10497)'!$I:$I,0)),"nao encontrado")</f>
        <v>nao encontrado</v>
      </c>
      <c r="AC1215" s="0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0" t="str">
        <f aca="false">IFERROR(INDEX('Mov Entradas (Rel 10497)'!$L:$L,MATCH(AC1216,'Mov Entradas (Rel 10497)'!$I:$I,0)),"nao encontrado")</f>
        <v>AREIA SAN P GATO PIPICAT 4KG</v>
      </c>
      <c r="AC1216" s="0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0" t="str">
        <f aca="false">IFERROR(INDEX('Mov Entradas (Rel 10497)'!$L:$L,MATCH(AC1217,'Mov Entradas (Rel 10497)'!$I:$I,0)),"nao encontrado")</f>
        <v>AGUA SANI BRILUX1L</v>
      </c>
      <c r="AC1217" s="0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0" t="str">
        <f aca="false">IFERROR(INDEX('Mov Entradas (Rel 10497)'!$L:$L,MATCH(AC1218,'Mov Entradas (Rel 10497)'!$I:$I,0)),"nao encontrado")</f>
        <v>REFRI. FANTA UVA 1,5</v>
      </c>
      <c r="AC1218" s="0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0" t="str">
        <f aca="false">IFERROR(INDEX('Mov Entradas (Rel 10497)'!$L:$L,MATCH(AC1219,'Mov Entradas (Rel 10497)'!$I:$I,0)),"nao encontrado")</f>
        <v>SPRITE 2L RETORNAVEL</v>
      </c>
      <c r="AC1219" s="0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0" t="str">
        <f aca="false">IFERROR(INDEX('Mov Entradas (Rel 10497)'!$L:$L,MATCH(AC1220,'Mov Entradas (Rel 10497)'!$I:$I,0)),"nao encontrado")</f>
        <v>TRASEIRO DE BOI L1</v>
      </c>
      <c r="AC1220" s="0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0" t="str">
        <f aca="false">IFERROR(INDEX('Mov Entradas (Rel 10497)'!$L:$L,MATCH(AC1223,'Mov Entradas (Rel 10497)'!$I:$I,0)),"nao encontrado")</f>
        <v>PAN. HOT DOG DORAY C</v>
      </c>
      <c r="AC1223" s="0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0" t="str">
        <f aca="false">IFERROR(INDEX('Mov Entradas (Rel 10497)'!$L:$L,MATCH(AC1224,'Mov Entradas (Rel 10497)'!$I:$I,0)),"nao encontrado")</f>
        <v>PAO MINI DOG RO 300G</v>
      </c>
      <c r="AC1224" s="0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0" t="str">
        <f aca="false">IFERROR(INDEX('Mov Entradas (Rel 10497)'!$L:$L,MATCH(AC1225,'Mov Entradas (Rel 10497)'!$I:$I,0)),"nao encontrado")</f>
        <v>PICOLE PREMIUM COOKI</v>
      </c>
      <c r="AC1225" s="0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0" t="str">
        <f aca="false">IFERROR(INDEX('Mov Entradas (Rel 10497)'!$L:$L,MATCH(AC1227,'Mov Entradas (Rel 10497)'!$I:$I,0)),"nao encontrado")</f>
        <v>MACA FUJI KG</v>
      </c>
      <c r="AC1227" s="0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0" t="str">
        <f aca="false">IFERROR(INDEX('Mov Entradas (Rel 10497)'!$L:$L,MATCH(AC1229,'Mov Entradas (Rel 10497)'!$I:$I,0)),"nao encontrado")</f>
        <v>BOLO BLOOM 600G</v>
      </c>
      <c r="AC1229" s="0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0" t="str">
        <f aca="false">IFERROR(INDEX('Mov Entradas (Rel 10497)'!$L:$L,MATCH(AC1233,'Mov Entradas (Rel 10497)'!$I:$I,0)),"nao encontrado")</f>
        <v>LINGUI DE FRANGO KG</v>
      </c>
      <c r="AC1233" s="0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0" t="str">
        <f aca="false">IFERROR(INDEX('Mov Entradas (Rel 10497)'!$L:$L,MATCH(AC1234,'Mov Entradas (Rel 10497)'!$I:$I,0)),"nao encontrado")</f>
        <v>ASACOMP.FRAG1K</v>
      </c>
      <c r="AC1234" s="0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0" t="str">
        <f aca="false">IFERROR(INDEX('Mov Entradas (Rel 10497)'!$L:$L,MATCH(AC1235,'Mov Entradas (Rel 10497)'!$I:$I,0)),"nao encontrado")</f>
        <v>BISTECA BOVINAKG</v>
      </c>
      <c r="AC1235" s="0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0" t="str">
        <f aca="false">IFERROR(INDEX('Mov Entradas (Rel 10497)'!$L:$L,MATCH(AC1236,'Mov Entradas (Rel 10497)'!$I:$I,0)),"nao encontrado")</f>
        <v>PICOLE BRIGAD TOYA</v>
      </c>
      <c r="AC1236" s="0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0" t="str">
        <f aca="false">IFERROR(INDEX('Mov Entradas (Rel 10497)'!$L:$L,MATCH(AC1237,'Mov Entradas (Rel 10497)'!$I:$I,0)),"nao encontrado")</f>
        <v>LINGUI DE FRANGO KG</v>
      </c>
      <c r="AC1237" s="0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0" t="str">
        <f aca="false">IFERROR(INDEX('Mov Entradas (Rel 10497)'!$L:$L,MATCH(AC1238,'Mov Entradas (Rel 10497)'!$I:$I,0)),"nao encontrado")</f>
        <v>RAÇÃO CHAMP CÃO FILHOTE 900G</v>
      </c>
      <c r="AC1238" s="0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0" t="str">
        <f aca="false">IFERROR(INDEX('Mov Entradas (Rel 10497)'!$L:$L,MATCH(AC1239,'Mov Entradas (Rel 10497)'!$I:$I,0)),"nao encontrado")</f>
        <v>MOLHO DE PIMENTA CEP</v>
      </c>
      <c r="AC1239" s="0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0" t="str">
        <f aca="false">IFERROR(INDEX('Mov Entradas (Rel 10497)'!$L:$L,MATCH(AC1240,'Mov Entradas (Rel 10497)'!$I:$I,0)),"nao encontrado")</f>
        <v>IOG BI-CAMADA MGO CO</v>
      </c>
      <c r="AC1240" s="0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0" t="str">
        <f aca="false">IFERROR(INDEX('Mov Entradas (Rel 10497)'!$L:$L,MATCH(AC1241,'Mov Entradas (Rel 10497)'!$I:$I,0)),"nao encontrado")</f>
        <v>nao encontrado</v>
      </c>
      <c r="AC1241" s="0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0" t="str">
        <f aca="false">IFERROR(INDEX('Mov Entradas (Rel 10497)'!$L:$L,MATCH(AC1242,'Mov Entradas (Rel 10497)'!$I:$I,0)),"nao encontrado")</f>
        <v>REAL GOLD 250ML PET</v>
      </c>
      <c r="AC1242" s="0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0" t="str">
        <f aca="false">IFERROR(INDEX('Mov Entradas (Rel 10497)'!$L:$L,MATCH(AC1243,'Mov Entradas (Rel 10497)'!$I:$I,0)),"nao encontrado")</f>
        <v>TRASEIRO DE BOI L1</v>
      </c>
      <c r="AC1243" s="0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0" t="str">
        <f aca="false">IFERROR(INDEX('Mov Entradas (Rel 10497)'!$L:$L,MATCH(AC1244,'Mov Entradas (Rel 10497)'!$I:$I,0)),"nao encontrado")</f>
        <v>FRUTAPINHO PETIT MOR</v>
      </c>
      <c r="AC1244" s="0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0" t="str">
        <f aca="false">IFERROR(INDEX('Mov Entradas (Rel 10497)'!$L:$L,MATCH(AC1245,'Mov Entradas (Rel 10497)'!$I:$I,0)),"nao encontrado")</f>
        <v>CARRE SUINO KG</v>
      </c>
      <c r="AC1245" s="0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0" t="str">
        <f aca="false">IFERROR(INDEX('Mov Entradas (Rel 10497)'!$L:$L,MATCH(AC1246,'Mov Entradas (Rel 10497)'!$I:$I,0)),"nao encontrado")</f>
        <v>SUCO YOFRUT COPO 300</v>
      </c>
      <c r="AC1246" s="0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0" t="str">
        <f aca="false">IFERROR(INDEX('Mov Entradas (Rel 10497)'!$L:$L,MATCH(AC1247,'Mov Entradas (Rel 10497)'!$I:$I,0)),"nao encontrado")</f>
        <v>BOLO MIYAZAKI GRANDE</v>
      </c>
      <c r="AC1247" s="0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0" t="str">
        <f aca="false">IFERROR(INDEX('Mov Entradas (Rel 10497)'!$L:$L,MATCH(AC1251,'Mov Entradas (Rel 10497)'!$I:$I,0)),"nao encontrado")</f>
        <v>BOLO BLOOM 600G</v>
      </c>
      <c r="AC1251" s="0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0" t="str">
        <f aca="false">IFERROR(INDEX('Mov Entradas (Rel 10497)'!$L:$L,MATCH(AC1252,'Mov Entradas (Rel 10497)'!$I:$I,0)),"nao encontrado")</f>
        <v>SACOLA DE 3KG</v>
      </c>
      <c r="AC1252" s="0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0" t="str">
        <f aca="false">IFERROR(INDEX('Mov Entradas (Rel 10497)'!$L:$L,MATCH(AC1253,'Mov Entradas (Rel 10497)'!$I:$I,0)),"nao encontrado")</f>
        <v>ENERGETICO BALLY TRAD 2L</v>
      </c>
      <c r="AC1253" s="0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46212</v>
      </c>
      <c r="C1254" s="16" t="n">
        <v>46233</v>
      </c>
      <c r="D1254" s="1" t="n">
        <v>1656</v>
      </c>
      <c r="E1254" s="1" t="s">
        <v>262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1373885</v>
      </c>
      <c r="L1254" s="1" t="n">
        <v>2233332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396.51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0" t="str">
        <f aca="false">IFERROR(INDEX('Mov Entradas (Rel 10497)'!$L:$L,MATCH(AC1254,'Mov Entradas (Rel 10497)'!$I:$I,0)),"nao encontrado")</f>
        <v>-KETCHUP TRADICIONAL</v>
      </c>
      <c r="AC1254" s="0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46211</v>
      </c>
      <c r="C1255" s="16" t="n">
        <v>46233</v>
      </c>
      <c r="D1255" s="1" t="n">
        <v>1718</v>
      </c>
      <c r="E1255" s="1" t="s">
        <v>410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1373757</v>
      </c>
      <c r="L1255" s="1" t="n">
        <v>8043782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369.82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0" t="str">
        <f aca="false">IFERROR(INDEX('Mov Entradas (Rel 10497)'!$L:$L,MATCH(AC1255,'Mov Entradas (Rel 10497)'!$I:$I,0)),"nao encontrado")</f>
        <v>ISQUEIRO BIC G</v>
      </c>
      <c r="AC1255" s="0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0" t="str">
        <f aca="false">IFERROR(INDEX('Mov Entradas (Rel 10497)'!$L:$L,MATCH(AC1256,'Mov Entradas (Rel 10497)'!$I:$I,0)),"nao encontrado")</f>
        <v>SUCO DE LARANJA VIGOR 200ML</v>
      </c>
      <c r="AC1256" s="0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0" t="str">
        <f aca="false">IFERROR(INDEX('Mov Entradas (Rel 10497)'!$L:$L,MATCH(AC1257,'Mov Entradas (Rel 10497)'!$I:$I,0)),"nao encontrado")</f>
        <v>SUCO TAMPICO 1L</v>
      </c>
      <c r="AC1257" s="0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0" t="str">
        <f aca="false">IFERROR(INDEX('Mov Entradas (Rel 10497)'!$L:$L,MATCH(AC1258,'Mov Entradas (Rel 10497)'!$I:$I,0)),"nao encontrado")</f>
        <v>CAFE KIMINO 250G</v>
      </c>
      <c r="AC1258" s="0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0" t="str">
        <f aca="false">IFERROR(INDEX('Mov Entradas (Rel 10497)'!$L:$L,MATCH(AC1259,'Mov Entradas (Rel 10497)'!$I:$I,0)),"nao encontrado")</f>
        <v>PAO DE FORMA BROTHER</v>
      </c>
      <c r="AC1259" s="0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0" t="str">
        <f aca="false">IFERROR(INDEX('Mov Entradas (Rel 10497)'!$L:$L,MATCH(AC1264,'Mov Entradas (Rel 10497)'!$I:$I,0)),"nao encontrado")</f>
        <v>nao encontrado</v>
      </c>
      <c r="AC1264" s="0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0" t="str">
        <f aca="false">IFERROR(INDEX('Mov Entradas (Rel 10497)'!$L:$L,MATCH(AC1265,'Mov Entradas (Rel 10497)'!$I:$I,0)),"nao encontrado")</f>
        <v>KRO QUEIJO 100G</v>
      </c>
      <c r="AC1265" s="0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0" t="str">
        <f aca="false">IFERROR(INDEX('Mov Entradas (Rel 10497)'!$L:$L,MATCH(AC1266,'Mov Entradas (Rel 10497)'!$I:$I,0)),"nao encontrado")</f>
        <v>AGUA SANI BRINORT 1L</v>
      </c>
      <c r="AC1266" s="0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0" t="str">
        <f aca="false">IFERROR(INDEX('Mov Entradas (Rel 10497)'!$L:$L,MATCH(AC1267,'Mov Entradas (Rel 10497)'!$I:$I,0)),"nao encontrado")</f>
        <v>MOLHO BARBECÃO SABOR</v>
      </c>
      <c r="AC1267" s="0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0" t="str">
        <f aca="false">IFERROR(INDEX('Mov Entradas (Rel 10497)'!$L:$L,MATCH(AC1268,'Mov Entradas (Rel 10497)'!$I:$I,0)),"nao encontrado")</f>
        <v>LACO P PRESENTE PEQU</v>
      </c>
      <c r="AC1268" s="0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0" t="str">
        <f aca="false">IFERROR(INDEX('Mov Entradas (Rel 10497)'!$L:$L,MATCH(AC1269,'Mov Entradas (Rel 10497)'!$I:$I,0)),"nao encontrado")</f>
        <v>TALENTO CSTN 85G</v>
      </c>
      <c r="AC1269" s="0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0" t="str">
        <f aca="false">IFERROR(INDEX('Mov Entradas (Rel 10497)'!$L:$L,MATCH(AC1270,'Mov Entradas (Rel 10497)'!$I:$I,0)),"nao encontrado")</f>
        <v>NAFTALINA SANILAR 50</v>
      </c>
      <c r="AC1270" s="0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0" t="str">
        <f aca="false">IFERROR(INDEX('Mov Entradas (Rel 10497)'!$L:$L,MATCH(AC1271,'Mov Entradas (Rel 10497)'!$I:$I,0)),"nao encontrado")</f>
        <v>POLPA GRAVIOLA 100G</v>
      </c>
      <c r="AC1271" s="0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0" t="str">
        <f aca="false">IFERROR(INDEX('Mov Entradas (Rel 10497)'!$L:$L,MATCH(AC1272,'Mov Entradas (Rel 10497)'!$I:$I,0)),"nao encontrado")</f>
        <v>CAFE DO NORT 100G</v>
      </c>
      <c r="AC1272" s="0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0" t="str">
        <f aca="false">IFERROR(INDEX('Mov Entradas (Rel 10497)'!$L:$L,MATCH(AC1273,'Mov Entradas (Rel 10497)'!$I:$I,0)),"nao encontrado")</f>
        <v>MARGARINA DELINE 250</v>
      </c>
      <c r="AC1273" s="0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0" t="str">
        <f aca="false">IFERROR(INDEX('Mov Entradas (Rel 10497)'!$L:$L,MATCH(AC1274,'Mov Entradas (Rel 10497)'!$I:$I,0)),"nao encontrado")</f>
        <v>OVOS MARROM UNID</v>
      </c>
      <c r="AC1274" s="0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0" t="str">
        <f aca="false">IFERROR(INDEX('Mov Entradas (Rel 10497)'!$L:$L,MATCH(AC1276,'Mov Entradas (Rel 10497)'!$I:$I,0)),"nao encontrado")</f>
        <v>PAN. HAMBURGUER DORA</v>
      </c>
      <c r="AC1276" s="0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0" t="str">
        <f aca="false">IFERROR(INDEX('Mov Entradas (Rel 10497)'!$L:$L,MATCH(AC1277,'Mov Entradas (Rel 10497)'!$I:$I,0)),"nao encontrado")</f>
        <v>REFR COCA COLA 200ML</v>
      </c>
      <c r="AC1277" s="0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0" t="str">
        <f aca="false">IFERROR(INDEX('Mov Entradas (Rel 10497)'!$L:$L,MATCH(AC1278,'Mov Entradas (Rel 10497)'!$I:$I,0)),"nao encontrado")</f>
        <v>REFRI. FANTA UVA 1,5</v>
      </c>
      <c r="AC1278" s="0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0" t="str">
        <f aca="false">IFERROR(INDEX('Mov Entradas (Rel 10497)'!$L:$L,MATCH(AC1279,'Mov Entradas (Rel 10497)'!$I:$I,0)),"nao encontrado")</f>
        <v>TRASEIRO DE BOI L1</v>
      </c>
      <c r="AC1279" s="0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0" t="str">
        <f aca="false">IFERROR(INDEX('Mov Entradas (Rel 10497)'!$L:$L,MATCH(AC1282,'Mov Entradas (Rel 10497)'!$I:$I,0)),"nao encontrado")</f>
        <v>CARVAO VEGETAL 3KG</v>
      </c>
      <c r="AC1282" s="0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0" t="str">
        <f aca="false">IFERROR(INDEX('Mov Entradas (Rel 10497)'!$L:$L,MATCH(AC1283,'Mov Entradas (Rel 10497)'!$I:$I,0)),"nao encontrado")</f>
        <v>TRASEIRO DE BOI L1</v>
      </c>
      <c r="AC1283" s="0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0" t="str">
        <f aca="false">IFERROR(INDEX('Mov Entradas (Rel 10497)'!$L:$L,MATCH(AC1284,'Mov Entradas (Rel 10497)'!$I:$I,0)),"nao encontrado")</f>
        <v>COXA E SOBRECOXA KG</v>
      </c>
      <c r="AC1284" s="0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0" t="str">
        <f aca="false">IFERROR(INDEX('Mov Entradas (Rel 10497)'!$L:$L,MATCH(AC1286,'Mov Entradas (Rel 10497)'!$I:$I,0)),"nao encontrado")</f>
        <v>SUCO ALEGRIA UV 200M</v>
      </c>
      <c r="AC1286" s="0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0" t="str">
        <f aca="false">IFERROR(INDEX('Mov Entradas (Rel 10497)'!$L:$L,MATCH(AC1287,'Mov Entradas (Rel 10497)'!$I:$I,0)),"nao encontrado")</f>
        <v>AGUAYARA GALAO 20L</v>
      </c>
      <c r="AC1287" s="0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0" t="str">
        <f aca="false">IFERROR(INDEX('Mov Entradas (Rel 10497)'!$L:$L,MATCH(AC1288,'Mov Entradas (Rel 10497)'!$I:$I,0)),"nao encontrado")</f>
        <v>NISSIN LAMEN SUAVE TOMATE</v>
      </c>
      <c r="AC1288" s="0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0" t="str">
        <f aca="false">IFERROR(INDEX('Mov Entradas (Rel 10497)'!$L:$L,MATCH(AC1291,'Mov Entradas (Rel 10497)'!$I:$I,0)),"nao encontrado")</f>
        <v>BRIGADEIRO</v>
      </c>
      <c r="AC1291" s="0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0" t="str">
        <f aca="false">IFERROR(INDEX('Mov Entradas (Rel 10497)'!$L:$L,MATCH(AC1293,'Mov Entradas (Rel 10497)'!$I:$I,0)),"nao encontrado")</f>
        <v>BAND. IOGURT SACHE F</v>
      </c>
      <c r="AC1293" s="0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0" t="str">
        <f aca="false">IFERROR(INDEX('Mov Entradas (Rel 10497)'!$L:$L,MATCH(AC1295,'Mov Entradas (Rel 10497)'!$I:$I,0)),"nao encontrado")</f>
        <v>DAN GELO CUBO 5 KG</v>
      </c>
      <c r="AC1295" s="0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0" t="str">
        <f aca="false">IFERROR(INDEX('Mov Entradas (Rel 10497)'!$L:$L,MATCH(AC1296,'Mov Entradas (Rel 10497)'!$I:$I,0)),"nao encontrado")</f>
        <v>TRASEIRO DE BOI L1</v>
      </c>
      <c r="AC1296" s="0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0" t="str">
        <f aca="false">IFERROR(INDEX('Mov Entradas (Rel 10497)'!$L:$L,MATCH(AC1297,'Mov Entradas (Rel 10497)'!$I:$I,0)),"nao encontrado")</f>
        <v>MITTOSQUEIJO</v>
      </c>
      <c r="AC1297" s="0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0" t="str">
        <f aca="false">IFERROR(INDEX('Mov Entradas (Rel 10497)'!$L:$L,MATCH(AC1298,'Mov Entradas (Rel 10497)'!$I:$I,0)),"nao encontrado")</f>
        <v>nao encontrado</v>
      </c>
      <c r="AC1298" s="0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0" t="str">
        <f aca="false">IFERROR(INDEX('Mov Entradas (Rel 10497)'!$L:$L,MATCH(AC1299,'Mov Entradas (Rel 10497)'!$I:$I,0)),"nao encontrado")</f>
        <v>CAFE MARATA 250G</v>
      </c>
      <c r="AC1299" s="0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0" t="str">
        <f aca="false">IFERROR(INDEX('Mov Entradas (Rel 10497)'!$L:$L,MATCH(AC1300,'Mov Entradas (Rel 10497)'!$I:$I,0)),"nao encontrado")</f>
        <v>MOLHO POMAROLA 260G</v>
      </c>
      <c r="AC1300" s="0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0" t="str">
        <f aca="false">IFERROR(INDEX('Mov Entradas (Rel 10497)'!$L:$L,MATCH(AC1301,'Mov Entradas (Rel 10497)'!$I:$I,0)),"nao encontrado")</f>
        <v>RAC CONFIANCA AD 15K</v>
      </c>
      <c r="AC1301" s="0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0" t="str">
        <f aca="false">IFERROR(INDEX('Mov Entradas (Rel 10497)'!$L:$L,MATCH(AC1303,'Mov Entradas (Rel 10497)'!$I:$I,0)),"nao encontrado")</f>
        <v>COXA E SOBRECOXA KG</v>
      </c>
      <c r="AC1303" s="0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0" t="str">
        <f aca="false">IFERROR(INDEX('Mov Entradas (Rel 10497)'!$L:$L,MATCH(AC1304,'Mov Entradas (Rel 10497)'!$I:$I,0)),"nao encontrado")</f>
        <v>TRASEIRO DE BOI L1</v>
      </c>
      <c r="AC1304" s="0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0" t="str">
        <f aca="false">IFERROR(INDEX('Mov Entradas (Rel 10497)'!$L:$L,MATCH(AC1306,'Mov Entradas (Rel 10497)'!$I:$I,0)),"nao encontrado")</f>
        <v>CARRE SUINO KG</v>
      </c>
      <c r="AC1306" s="0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0" t="str">
        <f aca="false">IFERROR(INDEX('Mov Entradas (Rel 10497)'!$L:$L,MATCH(AC1307,'Mov Entradas (Rel 10497)'!$I:$I,0)),"nao encontrado")</f>
        <v>GELO SABORIZADO SABOR MELANCIA</v>
      </c>
      <c r="AC1307" s="0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0" t="str">
        <f aca="false">IFERROR(INDEX('Mov Entradas (Rel 10497)'!$L:$L,MATCH(AC1328,'Mov Entradas (Rel 10497)'!$I:$I,0)),"nao encontrado")</f>
        <v>AREIA SAN P GATO PIPICAT 4KG</v>
      </c>
      <c r="AC1328" s="0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0" t="str">
        <f aca="false">IFERROR(INDEX('Mov Entradas (Rel 10497)'!$L:$L,MATCH(AC1329,'Mov Entradas (Rel 10497)'!$I:$I,0)),"nao encontrado")</f>
        <v>AGUA SANI BRILUX1L</v>
      </c>
      <c r="AC1329" s="0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0" t="str">
        <f aca="false">IFERROR(INDEX('Mov Entradas (Rel 10497)'!$L:$L,MATCH(AC1332,'Mov Entradas (Rel 10497)'!$I:$I,0)),"nao encontrado")</f>
        <v>CANJICA MILHO BRANCO 400G</v>
      </c>
      <c r="AC1332" s="0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0" t="str">
        <f aca="false">IFERROR(INDEX('Mov Entradas (Rel 10497)'!$L:$L,MATCH(AC1333,'Mov Entradas (Rel 10497)'!$I:$I,0)),"nao encontrado")</f>
        <v>CALABRESA SEARA KG</v>
      </c>
      <c r="AC1333" s="0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0" t="str">
        <f aca="false">IFERROR(INDEX('Mov Entradas (Rel 10497)'!$L:$L,MATCH(AC1334,'Mov Entradas (Rel 10497)'!$I:$I,0)),"nao encontrado")</f>
        <v>COCADA CASMORENINH</v>
      </c>
      <c r="AC1334" s="0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0" t="str">
        <f aca="false">IFERROR(INDEX('Mov Entradas (Rel 10497)'!$L:$L,MATCH(AC1335,'Mov Entradas (Rel 10497)'!$I:$I,0)),"nao encontrado")</f>
        <v>PICOLE PREMIUM COOKI</v>
      </c>
      <c r="AC1335" s="0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0" t="str">
        <f aca="false">IFERROR(INDEX('Mov Entradas (Rel 10497)'!$L:$L,MATCH(AC1336,'Mov Entradas (Rel 10497)'!$I:$I,0)),"nao encontrado")</f>
        <v>DET.PO ALA LAVANDA</v>
      </c>
      <c r="AC1336" s="0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46231</v>
      </c>
      <c r="C1338" s="16" t="n">
        <v>46238</v>
      </c>
      <c r="D1338" s="1" t="n">
        <v>1749</v>
      </c>
      <c r="E1338" s="1" t="s">
        <v>268</v>
      </c>
      <c r="F1338" s="1" t="n">
        <v>24</v>
      </c>
      <c r="G1338" s="1" t="s">
        <v>43</v>
      </c>
      <c r="H1338" s="1" t="n">
        <v>2110405</v>
      </c>
      <c r="I1338" s="1" t="s">
        <v>35</v>
      </c>
      <c r="J1338" s="1" t="n">
        <v>1472995</v>
      </c>
      <c r="L1338" s="1" t="n">
        <v>35681</v>
      </c>
      <c r="M1338" s="1" t="s">
        <v>45</v>
      </c>
      <c r="N1338" s="1" t="s">
        <v>37</v>
      </c>
      <c r="P1338" s="1" t="n">
        <v>167</v>
      </c>
      <c r="Q1338" s="1" t="s">
        <v>102</v>
      </c>
      <c r="R1338" s="1" t="s">
        <v>47</v>
      </c>
      <c r="S1338" s="1" t="n">
        <v>1130101</v>
      </c>
      <c r="T1338" s="1" t="s">
        <v>48</v>
      </c>
      <c r="U1338" s="18" t="n">
        <v>1398.66</v>
      </c>
      <c r="W1338" s="1" t="n">
        <v>1398.66</v>
      </c>
      <c r="X1338" s="1" t="s">
        <v>1390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0" t="str">
        <f aca="false">IFERROR(INDEX('Mov Entradas (Rel 10497)'!$L:$L,MATCH(AC1338,'Mov Entradas (Rel 10497)'!$I:$I,0)),"nao encontrado")</f>
        <v>SAB BARRA ECON 500G</v>
      </c>
      <c r="AC1338" s="0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1723</v>
      </c>
      <c r="E1339" s="1" t="s">
        <v>77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1473766</v>
      </c>
      <c r="L1339" s="1" t="n">
        <v>578111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2040.8</v>
      </c>
      <c r="W1339" s="1" t="n">
        <v>2040.8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0" t="str">
        <f aca="false">IFERROR(INDEX('Mov Entradas (Rel 10497)'!$L:$L,MATCH(AC1339,'Mov Entradas (Rel 10497)'!$I:$I,0)),"nao encontrado")</f>
        <v>TRASEIRO DE BOI L1</v>
      </c>
      <c r="AC1339" s="0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46234</v>
      </c>
      <c r="C1340" s="16" t="n">
        <v>46238</v>
      </c>
      <c r="D1340" s="1" t="n">
        <v>42</v>
      </c>
      <c r="E1340" s="1" t="s">
        <v>81</v>
      </c>
      <c r="F1340" s="1" t="n">
        <v>34</v>
      </c>
      <c r="G1340" s="1" t="s">
        <v>34</v>
      </c>
      <c r="H1340" s="1" t="n">
        <v>2110101</v>
      </c>
      <c r="I1340" s="1" t="s">
        <v>44</v>
      </c>
      <c r="J1340" s="1" t="n">
        <v>1478620</v>
      </c>
      <c r="L1340" s="1" t="n">
        <v>4447</v>
      </c>
      <c r="M1340" s="1" t="s">
        <v>45</v>
      </c>
      <c r="N1340" s="1" t="s">
        <v>70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1774</v>
      </c>
      <c r="W1340" s="1" t="n">
        <v>1774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1615</v>
      </c>
      <c r="E1341" s="1" t="s">
        <v>131</v>
      </c>
      <c r="F1341" s="1" t="n">
        <v>34</v>
      </c>
      <c r="G1341" s="1" t="s">
        <v>34</v>
      </c>
      <c r="H1341" s="1" t="n">
        <v>2110405</v>
      </c>
      <c r="I1341" s="1" t="s">
        <v>35</v>
      </c>
      <c r="J1341" s="1" t="n">
        <v>1478626</v>
      </c>
      <c r="L1341" s="1" t="n">
        <v>229887</v>
      </c>
      <c r="M1341" s="1" t="s">
        <v>45</v>
      </c>
      <c r="N1341" s="1" t="s">
        <v>37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410</v>
      </c>
      <c r="W1341" s="1" t="n">
        <v>410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0" t="str">
        <f aca="false">IFERROR(INDEX('Mov Entradas (Rel 10497)'!$L:$L,MATCH(AC1341,'Mov Entradas (Rel 10497)'!$I:$I,0)),"nao encontrado")</f>
        <v>ALHO KG</v>
      </c>
      <c r="AC1341" s="0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1478631</v>
      </c>
      <c r="L1342" s="1" t="n">
        <v>229888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210</v>
      </c>
      <c r="W1342" s="1" t="n">
        <v>210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46235</v>
      </c>
      <c r="C1343" s="16" t="n">
        <v>46238</v>
      </c>
      <c r="D1343" s="1" t="n">
        <v>10096</v>
      </c>
      <c r="E1343" s="1" t="s">
        <v>1235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1492846</v>
      </c>
      <c r="L1343" s="1" t="n">
        <v>110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180</v>
      </c>
      <c r="W1343" s="1" t="n">
        <v>180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0" t="str">
        <f aca="false">IFERROR(INDEX('Mov Entradas (Rel 10497)'!$L:$L,MATCH(AC1343,'Mov Entradas (Rel 10497)'!$I:$I,0)),"nao encontrado")</f>
        <v>BOLO MIYAZAKI GRANDE</v>
      </c>
      <c r="AC1343" s="0" t="n">
        <v>110</v>
      </c>
    </row>
    <row r="1344" customFormat="false" ht="12.75" hidden="false" customHeight="true" outlineLevel="0" collapsed="false">
      <c r="A1344" s="1" t="n">
        <v>3</v>
      </c>
      <c r="B1344" s="16" t="n">
        <v>46238</v>
      </c>
      <c r="C1344" s="16" t="n">
        <v>46238</v>
      </c>
      <c r="D1344" s="1" t="n">
        <v>515</v>
      </c>
      <c r="E1344" s="1" t="s">
        <v>106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1499005</v>
      </c>
      <c r="L1344" s="1" t="n">
        <v>232821</v>
      </c>
      <c r="M1344" s="1" t="s">
        <v>45</v>
      </c>
      <c r="N1344" s="1" t="s">
        <v>37</v>
      </c>
      <c r="P1344" s="1" t="n">
        <v>101</v>
      </c>
      <c r="Q1344" s="1" t="s">
        <v>38</v>
      </c>
      <c r="R1344" s="1" t="s">
        <v>86</v>
      </c>
      <c r="S1344" s="1" t="n">
        <v>4210504</v>
      </c>
      <c r="T1344" s="1" t="s">
        <v>143</v>
      </c>
      <c r="U1344" s="18" t="n">
        <v>335.37</v>
      </c>
      <c r="W1344" s="1" t="n">
        <v>335.37</v>
      </c>
      <c r="X1344" s="1" t="s">
        <v>1396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0" t="str">
        <f aca="false">IFERROR(INDEX('Mov Entradas (Rel 10497)'!$L:$L,MATCH(AC1354,'Mov Entradas (Rel 10497)'!$I:$I,0)),"nao encontrado")</f>
        <v>LINGUI DE FRANGO KG</v>
      </c>
      <c r="AC1354" s="0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0" t="str">
        <f aca="false">IFERROR(INDEX('Mov Entradas (Rel 10497)'!$L:$L,MATCH(AC1355,'Mov Entradas (Rel 10497)'!$I:$I,0)),"nao encontrado")</f>
        <v>RAÇÃO CHAMP CÃO FILHOTE 900G</v>
      </c>
      <c r="AC1355" s="0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0" t="str">
        <f aca="false">IFERROR(INDEX('Mov Entradas (Rel 10497)'!$L:$L,MATCH(AC1356,'Mov Entradas (Rel 10497)'!$I:$I,0)),"nao encontrado")</f>
        <v>MOLHO DE PIMENTA CEP</v>
      </c>
      <c r="AC1356" s="0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0" t="str">
        <f aca="false">IFERROR(INDEX('Mov Entradas (Rel 10497)'!$L:$L,MATCH(AC1358,'Mov Entradas (Rel 10497)'!$I:$I,0)),"nao encontrado")</f>
        <v>COXA SOBRECOX AUR 1K</v>
      </c>
      <c r="AC1358" s="0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0" t="str">
        <f aca="false">IFERROR(INDEX('Mov Entradas (Rel 10497)'!$L:$L,MATCH(AC1359,'Mov Entradas (Rel 10497)'!$I:$I,0)),"nao encontrado")</f>
        <v>REAL GOLD 250ML PET</v>
      </c>
      <c r="AC1359" s="0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0" t="str">
        <f aca="false">IFERROR(INDEX('Mov Entradas (Rel 10497)'!$L:$L,MATCH(AC1360,'Mov Entradas (Rel 10497)'!$I:$I,0)),"nao encontrado")</f>
        <v>LINGUI DE FRANGO KG</v>
      </c>
      <c r="AC1360" s="0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0" t="str">
        <f aca="false">IFERROR(INDEX('Mov Entradas (Rel 10497)'!$L:$L,MATCH(AC1361,'Mov Entradas (Rel 10497)'!$I:$I,0)),"nao encontrado")</f>
        <v>FIGADO BOVINO KG</v>
      </c>
      <c r="AC1361" s="0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0" t="str">
        <f aca="false">IFERROR(INDEX('Mov Entradas (Rel 10497)'!$L:$L,MATCH(AC1362,'Mov Entradas (Rel 10497)'!$I:$I,0)),"nao encontrado")</f>
        <v>CUPNOODLES GALIN69G</v>
      </c>
      <c r="AC1362" s="0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0" t="str">
        <f aca="false">IFERROR(INDEX('Mov Entradas (Rel 10497)'!$L:$L,MATCH(AC1364,'Mov Entradas (Rel 10497)'!$I:$I,0)),"nao encontrado")</f>
        <v>PAN. PAOZINHO DORAY</v>
      </c>
      <c r="AC1364" s="0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0" t="str">
        <f aca="false">IFERROR(INDEX('Mov Entradas (Rel 10497)'!$L:$L,MATCH(AC1365,'Mov Entradas (Rel 10497)'!$I:$I,0)),"nao encontrado")</f>
        <v>FRUTAP IOG MOR C/CER</v>
      </c>
      <c r="AC1365" s="0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0" t="str">
        <f aca="false">IFERROR(INDEX('Mov Entradas (Rel 10497)'!$L:$L,MATCH(AC1367,'Mov Entradas (Rel 10497)'!$I:$I,0)),"nao encontrado")</f>
        <v>AGUA SANITARIA ECONOMICA 1LT</v>
      </c>
      <c r="AC1367" s="0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0" t="str">
        <f aca="false">IFERROR(INDEX('Mov Entradas (Rel 10497)'!$L:$L,MATCH(AC1370,'Mov Entradas (Rel 10497)'!$I:$I,0)),"nao encontrado")</f>
        <v>SACOLA DE 3KG</v>
      </c>
      <c r="AC1370" s="0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0" t="str">
        <f aca="false">IFERROR(INDEX('Mov Entradas (Rel 10497)'!$L:$L,MATCH(AC1371,'Mov Entradas (Rel 10497)'!$I:$I,0)),"nao encontrado")</f>
        <v>-KETCHUP TRADICIONAL</v>
      </c>
      <c r="AC1371" s="0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0" t="str">
        <f aca="false">IFERROR(INDEX('Mov Entradas (Rel 10497)'!$L:$L,MATCH(AC1372,'Mov Entradas (Rel 10497)'!$I:$I,0)),"nao encontrado")</f>
        <v>CAFE KIMINO 250G</v>
      </c>
      <c r="AC1372" s="0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0" t="str">
        <f aca="false">IFERROR(INDEX('Mov Entradas (Rel 10497)'!$L:$L,MATCH(AC1373,'Mov Entradas (Rel 10497)'!$I:$I,0)),"nao encontrado")</f>
        <v>GOMA DE MANDIOCA 500</v>
      </c>
      <c r="AC1373" s="0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0" t="str">
        <f aca="false">IFERROR(INDEX('Mov Entradas (Rel 10497)'!$L:$L,MATCH(AC1374,'Mov Entradas (Rel 10497)'!$I:$I,0)),"nao encontrado")</f>
        <v>nao encontrado</v>
      </c>
      <c r="AC1374" s="0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0" t="str">
        <f aca="false">IFERROR(INDEX('Mov Entradas (Rel 10497)'!$L:$L,MATCH(AC1375,'Mov Entradas (Rel 10497)'!$I:$I,0)),"nao encontrado")</f>
        <v>PAO DE FORMA BROTHER</v>
      </c>
      <c r="AC1375" s="0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0" t="str">
        <f aca="false">IFERROR(INDEX('Mov Entradas (Rel 10497)'!$L:$L,MATCH(AC1376,'Mov Entradas (Rel 10497)'!$I:$I,0)),"nao encontrado")</f>
        <v>TRASEIRO DE BOI L1</v>
      </c>
      <c r="AC1376" s="0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0" t="str">
        <f aca="false">IFERROR(INDEX('Mov Entradas (Rel 10497)'!$L:$L,MATCH(AC1377,'Mov Entradas (Rel 10497)'!$I:$I,0)),"nao encontrado")</f>
        <v>FILE PEITOA GRANEL</v>
      </c>
      <c r="AC1377" s="0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0" t="str">
        <f aca="false">IFERROR(INDEX('Mov Entradas (Rel 10497)'!$L:$L,MATCH(AC1378,'Mov Entradas (Rel 10497)'!$I:$I,0)),"nao encontrado")</f>
        <v>OVOS MARROM UNID</v>
      </c>
      <c r="AC1378" s="0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0" t="str">
        <f aca="false">IFERROR(INDEX('Mov Entradas (Rel 10497)'!$L:$L,MATCH(AC1379,'Mov Entradas (Rel 10497)'!$I:$I,0)),"nao encontrado")</f>
        <v>REFRI. FANTA UVA 1,5</v>
      </c>
      <c r="AC1379" s="0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0" t="str">
        <f aca="false">IFERROR(INDEX('Mov Entradas (Rel 10497)'!$L:$L,MATCH(AC1380,'Mov Entradas (Rel 10497)'!$I:$I,0)),"nao encontrado")</f>
        <v>REFR COCA COLA 200ML</v>
      </c>
      <c r="AC1380" s="0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46240</v>
      </c>
      <c r="C1381" s="16" t="n">
        <v>46240</v>
      </c>
      <c r="D1381" s="1" t="n">
        <v>515</v>
      </c>
      <c r="E1381" s="1" t="s">
        <v>106</v>
      </c>
      <c r="F1381" s="1" t="n">
        <v>34</v>
      </c>
      <c r="G1381" s="1" t="s">
        <v>34</v>
      </c>
      <c r="H1381" s="1" t="n">
        <v>2110405</v>
      </c>
      <c r="I1381" s="1" t="s">
        <v>35</v>
      </c>
      <c r="J1381" s="1" t="n">
        <v>1508982</v>
      </c>
      <c r="L1381" s="1" t="n">
        <v>234286</v>
      </c>
      <c r="M1381" s="1" t="s">
        <v>45</v>
      </c>
      <c r="N1381" s="1" t="s">
        <v>37</v>
      </c>
      <c r="P1381" s="1" t="n">
        <v>102</v>
      </c>
      <c r="Q1381" s="1" t="s">
        <v>187</v>
      </c>
      <c r="R1381" s="1" t="s">
        <v>205</v>
      </c>
      <c r="S1381" s="1" t="n">
        <v>4220199</v>
      </c>
      <c r="T1381" s="1" t="s">
        <v>206</v>
      </c>
      <c r="U1381" s="18" t="n">
        <v>10</v>
      </c>
      <c r="W1381" s="1" t="n">
        <v>10</v>
      </c>
      <c r="X1381" s="1" t="s">
        <v>1428</v>
      </c>
      <c r="Z1381" s="1" t="str">
        <f aca="false">IF($T1381="","",IFERROR(INDEX('Resumo Grupos'!$AC$3:$AC$200,MATCH($T1381,'Resumo Grupos'!$AB$3:$AB$200,0)),"n/d"))</f>
        <v>Pagamentos outros não operacionais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46237</v>
      </c>
      <c r="C1382" s="16" t="n">
        <v>46240</v>
      </c>
      <c r="D1382" s="1" t="n">
        <v>1734</v>
      </c>
      <c r="E1382" s="1" t="s">
        <v>126</v>
      </c>
      <c r="F1382" s="1" t="n">
        <v>24</v>
      </c>
      <c r="G1382" s="1" t="s">
        <v>43</v>
      </c>
      <c r="H1382" s="1" t="n">
        <v>2110405</v>
      </c>
      <c r="I1382" s="1" t="s">
        <v>35</v>
      </c>
      <c r="J1382" s="1" t="n">
        <v>1495558</v>
      </c>
      <c r="L1382" s="1" t="n">
        <v>2562081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430.14</v>
      </c>
      <c r="W1382" s="1" t="n">
        <v>430.14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0" t="str">
        <f aca="false">IFERROR(INDEX('Mov Entradas (Rel 10497)'!$L:$L,MATCH(AC1382,'Mov Entradas (Rel 10497)'!$I:$I,0)),"nao encontrado")</f>
        <v>SORVETE 2 LTS FLOCOS</v>
      </c>
      <c r="AC1382" s="0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46238</v>
      </c>
      <c r="C1383" s="16" t="n">
        <v>46240</v>
      </c>
      <c r="D1383" s="1" t="n">
        <v>10096</v>
      </c>
      <c r="E1383" s="1" t="s">
        <v>1235</v>
      </c>
      <c r="F1383" s="1" t="n">
        <v>34</v>
      </c>
      <c r="G1383" s="1" t="s">
        <v>34</v>
      </c>
      <c r="H1383" s="1" t="n">
        <v>2110405</v>
      </c>
      <c r="I1383" s="1" t="s">
        <v>35</v>
      </c>
      <c r="J1383" s="1" t="n">
        <v>1503214</v>
      </c>
      <c r="L1383" s="1" t="n">
        <v>233412</v>
      </c>
      <c r="M1383" s="1" t="s">
        <v>45</v>
      </c>
      <c r="N1383" s="1" t="s">
        <v>37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180</v>
      </c>
      <c r="W1383" s="1" t="n">
        <v>180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0" t="str">
        <f aca="false">IFERROR(INDEX('Mov Entradas (Rel 10497)'!$L:$L,MATCH(AC1383,'Mov Entradas (Rel 10497)'!$I:$I,0)),"nao encontrado")</f>
        <v>BOLO MIYAZAKI GRANDE</v>
      </c>
      <c r="AC1383" s="0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42</v>
      </c>
      <c r="E1384" s="1" t="s">
        <v>81</v>
      </c>
      <c r="F1384" s="1" t="n">
        <v>13</v>
      </c>
      <c r="G1384" s="1" t="s">
        <v>82</v>
      </c>
      <c r="H1384" s="1" t="n">
        <v>2110101</v>
      </c>
      <c r="I1384" s="1" t="s">
        <v>44</v>
      </c>
      <c r="J1384" s="1" t="n">
        <v>1507944</v>
      </c>
      <c r="L1384" s="1" t="n">
        <v>4467</v>
      </c>
      <c r="M1384" s="1" t="s">
        <v>45</v>
      </c>
      <c r="N1384" s="1" t="s">
        <v>70</v>
      </c>
      <c r="P1384" s="1" t="n">
        <v>167</v>
      </c>
      <c r="Q1384" s="1" t="s">
        <v>102</v>
      </c>
      <c r="R1384" s="1" t="s">
        <v>47</v>
      </c>
      <c r="S1384" s="1" t="n">
        <v>1130101</v>
      </c>
      <c r="T1384" s="1" t="s">
        <v>48</v>
      </c>
      <c r="U1384" s="18" t="n">
        <v>145</v>
      </c>
      <c r="W1384" s="1" t="n">
        <v>145</v>
      </c>
      <c r="X1384" s="1" t="s">
        <v>1431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1508954</v>
      </c>
      <c r="L1385" s="1" t="n">
        <v>234280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2.65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1508958</v>
      </c>
      <c r="L1386" s="1" t="n">
        <v>234282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4210505</v>
      </c>
      <c r="T1386" s="1" t="s">
        <v>145</v>
      </c>
      <c r="U1386" s="18" t="n">
        <v>0.05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514</v>
      </c>
      <c r="E1387" s="1" t="s">
        <v>33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1508974</v>
      </c>
      <c r="L1387" s="1" t="n">
        <v>234285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86</v>
      </c>
      <c r="S1387" s="1" t="n">
        <v>4210502</v>
      </c>
      <c r="T1387" s="1" t="s">
        <v>188</v>
      </c>
      <c r="U1387" s="18" t="n">
        <v>5.08</v>
      </c>
      <c r="W1387" s="1" t="n">
        <v>0</v>
      </c>
      <c r="X1387" s="1" t="s">
        <v>1434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0" t="str">
        <f aca="false">IFERROR(INDEX('Mov Entradas (Rel 10497)'!$L:$L,MATCH(AC1415,'Mov Entradas (Rel 10497)'!$I:$I,0)),"nao encontrado")</f>
        <v>AGUA SANI BRINORT 1L</v>
      </c>
      <c r="AC1415" s="0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0" t="str">
        <f aca="false">IFERROR(INDEX('Mov Entradas (Rel 10497)'!$L:$L,MATCH(AC1416,'Mov Entradas (Rel 10497)'!$I:$I,0)),"nao encontrado")</f>
        <v>MOLHO BARBECÃO SABOR</v>
      </c>
      <c r="AC1416" s="0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0" t="str">
        <f aca="false">IFERROR(INDEX('Mov Entradas (Rel 10497)'!$L:$L,MATCH(AC1417,'Mov Entradas (Rel 10497)'!$I:$I,0)),"nao encontrado")</f>
        <v>nao encontrado</v>
      </c>
      <c r="AC1417" s="0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0" t="str">
        <f aca="false">IFERROR(INDEX('Mov Entradas (Rel 10497)'!$L:$L,MATCH(AC1418,'Mov Entradas (Rel 10497)'!$I:$I,0)),"nao encontrado")</f>
        <v>NAFTALINA SANILAR 50</v>
      </c>
      <c r="AC1418" s="0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0" t="str">
        <f aca="false">IFERROR(INDEX('Mov Entradas (Rel 10497)'!$L:$L,MATCH(AC1419,'Mov Entradas (Rel 10497)'!$I:$I,0)),"nao encontrado")</f>
        <v>CAFE DO NORT 100G</v>
      </c>
      <c r="AC1419" s="0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0" t="str">
        <f aca="false">IFERROR(INDEX('Mov Entradas (Rel 10497)'!$L:$L,MATCH(AC1420,'Mov Entradas (Rel 10497)'!$I:$I,0)),"nao encontrado")</f>
        <v>MARGARINA DELINE 250</v>
      </c>
      <c r="AC1420" s="0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0" t="str">
        <f aca="false">IFERROR(INDEX('Mov Entradas (Rel 10497)'!$L:$L,MATCH(AC1421,'Mov Entradas (Rel 10497)'!$I:$I,0)),"nao encontrado")</f>
        <v>SUCO JANDAI CAJU500M</v>
      </c>
      <c r="AC1421" s="0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0" t="str">
        <f aca="false">IFERROR(INDEX('Mov Entradas (Rel 10497)'!$L:$L,MATCH(AC1422,'Mov Entradas (Rel 10497)'!$I:$I,0)),"nao encontrado")</f>
        <v>TRASEIRO DE BOI L1</v>
      </c>
      <c r="AC1422" s="0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0" t="str">
        <f aca="false">IFERROR(INDEX('Mov Entradas (Rel 10497)'!$L:$L,MATCH(AC1423,'Mov Entradas (Rel 10497)'!$I:$I,0)),"nao encontrado")</f>
        <v>nao encontrado</v>
      </c>
      <c r="AC1423" s="0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0" t="str">
        <f aca="false">IFERROR(INDEX('Mov Entradas (Rel 10497)'!$L:$L,MATCH(AC1426,'Mov Entradas (Rel 10497)'!$I:$I,0)),"nao encontrado")</f>
        <v>FAZENDINH LAR 500 ML</v>
      </c>
      <c r="AC1426" s="0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0" t="str">
        <f aca="false">IFERROR(INDEX('Mov Entradas (Rel 10497)'!$L:$L,MATCH(AC1427,'Mov Entradas (Rel 10497)'!$I:$I,0)),"nao encontrado")</f>
        <v>POLPA GRAVIOLA 100G</v>
      </c>
      <c r="AC1427" s="0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0" t="str">
        <f aca="false">IFERROR(INDEX('Mov Entradas (Rel 10497)'!$L:$L,MATCH(AC1428,'Mov Entradas (Rel 10497)'!$I:$I,0)),"nao encontrado")</f>
        <v>PAN. HAMBURGUER DORA</v>
      </c>
      <c r="AC1428" s="0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0" t="str">
        <f aca="false">IFERROR(INDEX('Mov Entradas (Rel 10497)'!$L:$L,MATCH(AC1429,'Mov Entradas (Rel 10497)'!$I:$I,0)),"nao encontrado")</f>
        <v>ALHO KG</v>
      </c>
      <c r="AC1429" s="0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0" t="str">
        <f aca="false">IFERROR(INDEX('Mov Entradas (Rel 10497)'!$L:$L,MATCH(AC1434,'Mov Entradas (Rel 10497)'!$I:$I,0)),"nao encontrado")</f>
        <v>SUCO ALEGRIA UV 200M</v>
      </c>
      <c r="AC1434" s="0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0" t="str">
        <f aca="false">IFERROR(INDEX('Mov Entradas (Rel 10497)'!$L:$L,MATCH(AC1435,'Mov Entradas (Rel 10497)'!$I:$I,0)),"nao encontrado")</f>
        <v>AGUAYARA GALAO 20L</v>
      </c>
      <c r="AC1435" s="0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0" t="str">
        <f aca="false">IFERROR(INDEX('Mov Entradas (Rel 10497)'!$L:$L,MATCH(AC1436,'Mov Entradas (Rel 10497)'!$I:$I,0)),"nao encontrado")</f>
        <v>SAZON CALDO CARNE 32</v>
      </c>
      <c r="AC1436" s="0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0" t="str">
        <f aca="false">IFERROR(INDEX('Mov Entradas (Rel 10497)'!$L:$L,MATCH(AC1437,'Mov Entradas (Rel 10497)'!$I:$I,0)),"nao encontrado")</f>
        <v>NISSIN LAMEN SUAVE TOMATE</v>
      </c>
      <c r="AC1437" s="0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0" t="str">
        <f aca="false">IFERROR(INDEX('Mov Entradas (Rel 10497)'!$L:$L,MATCH(AC1439,'Mov Entradas (Rel 10497)'!$I:$I,0)),"nao encontrado")</f>
        <v>MORTADELA DEFUM 200G</v>
      </c>
      <c r="AC1439" s="0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0" t="str">
        <f aca="false">IFERROR(INDEX('Mov Entradas (Rel 10497)'!$L:$L,MATCH(AC1440,'Mov Entradas (Rel 10497)'!$I:$I,0)),"nao encontrado")</f>
        <v>MACA FUJI KG</v>
      </c>
      <c r="AC1440" s="0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0" t="str">
        <f aca="false">IFERROR(INDEX('Mov Entradas (Rel 10497)'!$L:$L,MATCH(AC1444,'Mov Entradas (Rel 10497)'!$I:$I,0)),"nao encontrado")</f>
        <v>PRENDEDOR DE ROUPA M</v>
      </c>
      <c r="AC1444" s="0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1246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0" t="str">
        <f aca="false">IFERROR(INDEX('Mov Entradas (Rel 10497)'!$L:$L,MATCH(AC1445,'Mov Entradas (Rel 10497)'!$I:$I,0)),"nao encontrado")</f>
        <v>CADERNO STIFF AMAREL</v>
      </c>
      <c r="AC1445" s="0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1248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0" t="str">
        <f aca="false">IFERROR(INDEX('Mov Entradas (Rel 10497)'!$L:$L,MATCH(AC1446,'Mov Entradas (Rel 10497)'!$I:$I,0)),"nao encontrado")</f>
        <v>CAD CD 12X1 168FLS P</v>
      </c>
      <c r="AC1446" s="0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0" t="str">
        <f aca="false">IFERROR(INDEX('Mov Entradas (Rel 10497)'!$L:$L,MATCH(AC1448,'Mov Entradas (Rel 10497)'!$I:$I,0)),"nao encontrado")</f>
        <v>nao encontrado</v>
      </c>
      <c r="AC1448" s="0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0" t="str">
        <f aca="false">IFERROR(INDEX('Mov Entradas (Rel 10497)'!$L:$L,MATCH(AC1451,'Mov Entradas (Rel 10497)'!$I:$I,0)),"nao encontrado")</f>
        <v>MOLHO POMAROLA 260G</v>
      </c>
      <c r="AC1451" s="0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0" t="str">
        <f aca="false">IFERROR(INDEX('Mov Entradas (Rel 10497)'!$L:$L,MATCH(AC1452,'Mov Entradas (Rel 10497)'!$I:$I,0)),"nao encontrado")</f>
        <v>RAC CONFIANCA AD 15K</v>
      </c>
      <c r="AC1452" s="0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0" t="str">
        <f aca="false">IFERROR(INDEX('Mov Entradas (Rel 10497)'!$L:$L,MATCH(AC1453,'Mov Entradas (Rel 10497)'!$I:$I,0)),"nao encontrado")</f>
        <v>COXA E SOBRECOXA KG</v>
      </c>
      <c r="AC1453" s="0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46225</v>
      </c>
      <c r="C1454" s="16" t="n">
        <v>46244</v>
      </c>
      <c r="D1454" s="1" t="n">
        <v>1613</v>
      </c>
      <c r="E1454" s="1" t="s">
        <v>178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1434411</v>
      </c>
      <c r="L1454" s="1" t="n">
        <v>16099463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1315.92</v>
      </c>
      <c r="W1454" s="1" t="n">
        <v>1315.92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0" t="str">
        <f aca="false">IFERROR(INDEX('Mov Entradas (Rel 10497)'!$L:$L,MATCH(AC1454,'Mov Entradas (Rel 10497)'!$I:$I,0)),"nao encontrado")</f>
        <v>CARRE SUINO KG</v>
      </c>
      <c r="AC1454" s="0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46228</v>
      </c>
      <c r="C1455" s="16" t="n">
        <v>46244</v>
      </c>
      <c r="D1455" s="1" t="n">
        <v>1608</v>
      </c>
      <c r="E1455" s="1" t="s">
        <v>42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1458379</v>
      </c>
      <c r="L1455" s="1" t="n">
        <v>16998851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418.68</v>
      </c>
      <c r="W1455" s="1" t="n">
        <v>418.68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0" t="str">
        <f aca="false">IFERROR(INDEX('Mov Entradas (Rel 10497)'!$L:$L,MATCH(AC1455,'Mov Entradas (Rel 10497)'!$I:$I,0)),"nao encontrado")</f>
        <v>CHEETOS LUA PARMESAO 143G</v>
      </c>
      <c r="AC1455" s="0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46230</v>
      </c>
      <c r="C1456" s="16" t="n">
        <v>46244</v>
      </c>
      <c r="D1456" s="1" t="n">
        <v>1269</v>
      </c>
      <c r="E1456" s="1" t="s">
        <v>1371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1458690</v>
      </c>
      <c r="L1456" s="1" t="n">
        <v>42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746.66</v>
      </c>
      <c r="W1456" s="1" t="n">
        <v>746.66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0" t="str">
        <f aca="false">IFERROR(INDEX('Mov Entradas (Rel 10497)'!$L:$L,MATCH(AC1456,'Mov Entradas (Rel 10497)'!$I:$I,0)),"nao encontrado")</f>
        <v>GELO SABORIZADO SABOR MELANCIA</v>
      </c>
      <c r="AC1456" s="0" t="n">
        <v>4</v>
      </c>
    </row>
    <row r="1457" customFormat="false" ht="12.75" hidden="false" customHeight="true" outlineLevel="0" collapsed="false">
      <c r="A1457" s="1" t="n">
        <v>3</v>
      </c>
      <c r="B1457" s="16" t="n">
        <v>46228</v>
      </c>
      <c r="C1457" s="16" t="n">
        <v>46244</v>
      </c>
      <c r="D1457" s="1" t="n">
        <v>1608</v>
      </c>
      <c r="E1457" s="1" t="s">
        <v>42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1468572</v>
      </c>
      <c r="L1457" s="1" t="n">
        <v>16995931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903.46</v>
      </c>
      <c r="W1457" s="1" t="n">
        <v>903.46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0" t="str">
        <f aca="false">IFERROR(INDEX('Mov Entradas (Rel 10497)'!$L:$L,MATCH(AC1457,'Mov Entradas (Rel 10497)'!$I:$I,0)),"nao encontrado")</f>
        <v>ACHOC TODDY 200G</v>
      </c>
      <c r="AC1457" s="0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0" t="str">
        <f aca="false">IFERROR(INDEX('Mov Entradas (Rel 10497)'!$L:$L,MATCH(AC1458,'Mov Entradas (Rel 10497)'!$I:$I,0)),"nao encontrado")</f>
        <v>AGUAYARA GALAO 20L</v>
      </c>
      <c r="AC1458" s="0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0" t="str">
        <f aca="false">IFERROR(INDEX('Mov Entradas (Rel 10497)'!$L:$L,MATCH(AC1459,'Mov Entradas (Rel 10497)'!$I:$I,0)),"nao encontrado")</f>
        <v>DUNHILL CARLTON BLEN</v>
      </c>
      <c r="AC1459" s="0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0" t="str">
        <f aca="false">IFERROR(INDEX('Mov Entradas (Rel 10497)'!$L:$L,MATCH(AC1468,'Mov Entradas (Rel 10497)'!$I:$I,0)),"nao encontrado")</f>
        <v>CANJICA MILHO BRANCO 400G</v>
      </c>
      <c r="AC1468" s="0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0" t="str">
        <f aca="false">IFERROR(INDEX('Mov Entradas (Rel 10497)'!$L:$L,MATCH(AC1469,'Mov Entradas (Rel 10497)'!$I:$I,0)),"nao encontrado")</f>
        <v>FIGADO BOVINO KG</v>
      </c>
      <c r="AC1469" s="0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0" t="str">
        <f aca="false">IFERROR(INDEX('Mov Entradas (Rel 10497)'!$L:$L,MATCH(AC1470,'Mov Entradas (Rel 10497)'!$I:$I,0)),"nao encontrado")</f>
        <v>DET.PO ALA LAVANDA</v>
      </c>
      <c r="AC1470" s="0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0" t="str">
        <f aca="false">IFERROR(INDEX('Mov Entradas (Rel 10497)'!$L:$L,MATCH(AC1471,'Mov Entradas (Rel 10497)'!$I:$I,0)),"nao encontrado")</f>
        <v>LINGUI DE FRANGO KG</v>
      </c>
      <c r="AC1471" s="0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0" t="str">
        <f aca="false">IFERROR(INDEX('Mov Entradas (Rel 10497)'!$L:$L,MATCH(AC1472,'Mov Entradas (Rel 10497)'!$I:$I,0)),"nao encontrado")</f>
        <v>SAB BARRA ECON 500G</v>
      </c>
      <c r="AC1472" s="0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0" t="str">
        <f aca="false">IFERROR(INDEX('Mov Entradas (Rel 10497)'!$L:$L,MATCH(AC1473,'Mov Entradas (Rel 10497)'!$I:$I,0)),"nao encontrado")</f>
        <v>TRASEIRO DE BOI L1</v>
      </c>
      <c r="AC1473" s="0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0" t="str">
        <f aca="false">IFERROR(INDEX('Mov Entradas (Rel 10497)'!$L:$L,MATCH(AC1474,'Mov Entradas (Rel 10497)'!$I:$I,0)),"nao encontrado")</f>
        <v>FILE PEITOA GRANEL</v>
      </c>
      <c r="AC1474" s="0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0" t="str">
        <f aca="false">IFERROR(INDEX('Mov Entradas (Rel 10497)'!$L:$L,MATCH(AC1475,'Mov Entradas (Rel 10497)'!$I:$I,0)),"nao encontrado")</f>
        <v>BOBINA PVC FILME 38X</v>
      </c>
      <c r="AC1475" s="0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0" t="str">
        <f aca="false">IFERROR(INDEX('Mov Entradas (Rel 10497)'!$L:$L,MATCH(AC1476,'Mov Entradas (Rel 10497)'!$I:$I,0)),"nao encontrado")</f>
        <v>BATON CHOCO AO LEITE</v>
      </c>
      <c r="AC1476" s="0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0" t="str">
        <f aca="false">IFERROR(INDEX('Mov Entradas (Rel 10497)'!$L:$L,MATCH(AC1477,'Mov Entradas (Rel 10497)'!$I:$I,0)),"nao encontrado")</f>
        <v>CERV. BRAHMA CHOPP L</v>
      </c>
      <c r="AC1477" s="0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0" t="str">
        <f aca="false">IFERROR(INDEX('Mov Entradas (Rel 10497)'!$L:$L,MATCH(AC1478,'Mov Entradas (Rel 10497)'!$I:$I,0)),"nao encontrado")</f>
        <v>SORVETE 2 LTS FLOCOS</v>
      </c>
      <c r="AC1478" s="0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0" t="str">
        <f aca="false">IFERROR(INDEX('Mov Entradas (Rel 10497)'!$L:$L,MATCH(AC1479,'Mov Entradas (Rel 10497)'!$I:$I,0)),"nao encontrado")</f>
        <v>PAN. HAMBURGUER DORA</v>
      </c>
      <c r="AC1479" s="0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0" t="str">
        <f aca="false">IFERROR(INDEX('Mov Entradas (Rel 10497)'!$L:$L,MATCH(AC1480,'Mov Entradas (Rel 10497)'!$I:$I,0)),"nao encontrado")</f>
        <v>REFR FANTA UVA 2L</v>
      </c>
      <c r="AC1480" s="0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0" t="str">
        <f aca="false">IFERROR(INDEX('Mov Entradas (Rel 10497)'!$L:$L,MATCH(AC1481,'Mov Entradas (Rel 10497)'!$I:$I,0)),"nao encontrado")</f>
        <v>REFRI. COCA COLA RETORNAVEL 2L</v>
      </c>
      <c r="AC1481" s="0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0" t="str">
        <f aca="false">IFERROR(INDEX('Mov Entradas (Rel 10497)'!$L:$L,MATCH(AC1482,'Mov Entradas (Rel 10497)'!$I:$I,0)),"nao encontrado")</f>
        <v>KAPO UVA 200ML</v>
      </c>
      <c r="AC1482" s="0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0" t="str">
        <f aca="false">IFERROR(INDEX('Mov Entradas (Rel 10497)'!$L:$L,MATCH(AC1483,'Mov Entradas (Rel 10497)'!$I:$I,0)),"nao encontrado")</f>
        <v>SORVETE 1 LT CHOCOLA</v>
      </c>
      <c r="AC1483" s="0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0" t="str">
        <f aca="false">IFERROR(INDEX('Mov Entradas (Rel 10497)'!$L:$L,MATCH(AC1484,'Mov Entradas (Rel 10497)'!$I:$I,0)),"nao encontrado")</f>
        <v>ACTIVIA MORANGO 170G</v>
      </c>
      <c r="AC1484" s="0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0" t="str">
        <f aca="false">IFERROR(INDEX('Mov Entradas (Rel 10497)'!$L:$L,MATCH(AC1485,'Mov Entradas (Rel 10497)'!$I:$I,0)),"nao encontrado")</f>
        <v>nao encontrado</v>
      </c>
      <c r="AC1485" s="0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0" t="str">
        <f aca="false">IFERROR(INDEX('Mov Entradas (Rel 10497)'!$L:$L,MATCH(AC1488,'Mov Entradas (Rel 10497)'!$I:$I,0)),"nao encontrado")</f>
        <v>BOLO MIYAZAKI GRANDE</v>
      </c>
      <c r="AC1488" s="0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0" t="str">
        <f aca="false">IFERROR(INDEX('Mov Entradas (Rel 10497)'!$L:$L,MATCH(AC1489,'Mov Entradas (Rel 10497)'!$I:$I,0)),"nao encontrado")</f>
        <v>BOLO BLOOM 600G</v>
      </c>
      <c r="AC1489" s="0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0" t="str">
        <f aca="false">IFERROR(INDEX('Mov Entradas (Rel 10497)'!$L:$L,MATCH(AC1492,'Mov Entradas (Rel 10497)'!$I:$I,0)),"nao encontrado")</f>
        <v>LINGUI DE FRANGO KG</v>
      </c>
      <c r="AC1492" s="0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0" t="str">
        <f aca="false">IFERROR(INDEX('Mov Entradas (Rel 10497)'!$L:$L,MATCH(AC1493,'Mov Entradas (Rel 10497)'!$I:$I,0)),"nao encontrado")</f>
        <v>IOG BI-CAMADA MGO CO</v>
      </c>
      <c r="AC1493" s="0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0" t="str">
        <f aca="false">IFERROR(INDEX('Mov Entradas (Rel 10497)'!$L:$L,MATCH(AC1494,'Mov Entradas (Rel 10497)'!$I:$I,0)),"nao encontrado")</f>
        <v>CUPNOODLES GALIN69G</v>
      </c>
      <c r="AC1494" s="0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0" t="str">
        <f aca="false">IFERROR(INDEX('Mov Entradas (Rel 10497)'!$L:$L,MATCH(AC1495,'Mov Entradas (Rel 10497)'!$I:$I,0)),"nao encontrado")</f>
        <v>SACOLA DE 3KG</v>
      </c>
      <c r="AC1495" s="0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0" t="str">
        <f aca="false">IFERROR(INDEX('Mov Entradas (Rel 10497)'!$L:$L,MATCH(AC1496,'Mov Entradas (Rel 10497)'!$I:$I,0)),"nao encontrado")</f>
        <v>PATINHO BOVINO KG</v>
      </c>
      <c r="AC1496" s="0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0" t="str">
        <f aca="false">IFERROR(INDEX('Mov Entradas (Rel 10497)'!$L:$L,MATCH(AC1497,'Mov Entradas (Rel 10497)'!$I:$I,0)),"nao encontrado")</f>
        <v>AGUA MIN SNT CLAU 2L</v>
      </c>
      <c r="AC1497" s="0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0" t="str">
        <f aca="false">IFERROR(INDEX('Mov Entradas (Rel 10497)'!$L:$L,MATCH(AC1498,'Mov Entradas (Rel 10497)'!$I:$I,0)),"nao encontrado")</f>
        <v>FILE PEITOA GRANEL</v>
      </c>
      <c r="AC1498" s="0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0" t="str">
        <f aca="false">IFERROR(INDEX('Mov Entradas (Rel 10497)'!$L:$L,MATCH(AC1499,'Mov Entradas (Rel 10497)'!$I:$I,0)),"nao encontrado")</f>
        <v>FRUTAP IOG MOR C/CER</v>
      </c>
      <c r="AC1499" s="0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0" t="str">
        <f aca="false">IFERROR(INDEX('Mov Entradas (Rel 10497)'!$L:$L,MATCH(AC1500,'Mov Entradas (Rel 10497)'!$I:$I,0)),"nao encontrado")</f>
        <v>TRASEIRO DE BOI L1</v>
      </c>
      <c r="AC1500" s="0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0" t="str">
        <f aca="false">IFERROR(INDEX('Mov Entradas (Rel 10497)'!$L:$L,MATCH(AC1502,'Mov Entradas (Rel 10497)'!$I:$I,0)),"nao encontrado")</f>
        <v>BRIGADEIRO</v>
      </c>
      <c r="AC1502" s="0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0" t="str">
        <f aca="false">IFERROR(INDEX('Mov Entradas (Rel 10497)'!$L:$L,MATCH(AC1503,'Mov Entradas (Rel 10497)'!$I:$I,0)),"nao encontrado")</f>
        <v>nao encontrado</v>
      </c>
      <c r="AC1503" s="0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0" t="str">
        <f aca="false">IFERROR(INDEX('Mov Entradas (Rel 10497)'!$L:$L,MATCH(AC1504,'Mov Entradas (Rel 10497)'!$I:$I,0)),"nao encontrado")</f>
        <v>RACAO FRANGO CORTE ABATE - SC 25 KG</v>
      </c>
      <c r="AC1504" s="0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0" t="str">
        <f aca="false">IFERROR(INDEX('Mov Entradas (Rel 10497)'!$L:$L,MATCH(AC1506,'Mov Entradas (Rel 10497)'!$I:$I,0)),"nao encontrado")</f>
        <v>REQUEIJÃO CATUPIRY C</v>
      </c>
      <c r="AC1506" s="0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0" t="str">
        <f aca="false">IFERROR(INDEX('Mov Entradas (Rel 10497)'!$L:$L,MATCH(AC1507,'Mov Entradas (Rel 10497)'!$I:$I,0)),"nao encontrado")</f>
        <v>TRASEIRO DE BOI L1</v>
      </c>
      <c r="AC1507" s="0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0" t="str">
        <f aca="false">IFERROR(INDEX('Mov Entradas (Rel 10497)'!$L:$L,MATCH(AC1508,'Mov Entradas (Rel 10497)'!$I:$I,0)),"nao encontrado")</f>
        <v>TRIDENT MORANGO</v>
      </c>
      <c r="AC1508" s="0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0" t="str">
        <f aca="false">IFERROR(INDEX('Mov Entradas (Rel 10497)'!$L:$L,MATCH(AC1509,'Mov Entradas (Rel 10497)'!$I:$I,0)),"nao encontrado")</f>
        <v>AGUACRIM 20L</v>
      </c>
      <c r="AC1509" s="0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0" t="str">
        <f aca="false">IFERROR(INDEX('Mov Entradas (Rel 10497)'!$L:$L,MATCH(AC1511,'Mov Entradas (Rel 10497)'!$I:$I,0)),"nao encontrado")</f>
        <v>PAO TORRADO BROTHERS</v>
      </c>
      <c r="AC1511" s="0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0" t="str">
        <f aca="false">IFERROR(INDEX('Mov Entradas (Rel 10497)'!$L:$L,MATCH(AC1512,'Mov Entradas (Rel 10497)'!$I:$I,0)),"nao encontrado")</f>
        <v>MILHO PRA PIPOCA DON</v>
      </c>
      <c r="AC1512" s="0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0" t="str">
        <f aca="false">IFERROR(INDEX('Mov Entradas (Rel 10497)'!$L:$L,MATCH(AC1513,'Mov Entradas (Rel 10497)'!$I:$I,0)),"nao encontrado")</f>
        <v>OVOS MARROM UNID</v>
      </c>
      <c r="AC1513" s="0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0" t="str">
        <f aca="false">IFERROR(INDEX('Mov Entradas (Rel 10497)'!$L:$L,MATCH(AC1514,'Mov Entradas (Rel 10497)'!$I:$I,0)),"nao encontrado")</f>
        <v>BOLO MIYAZAKI GRANDE</v>
      </c>
      <c r="AC1514" s="0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0" t="str">
        <f aca="false">IFERROR(INDEX('Mov Entradas (Rel 10497)'!$L:$L,MATCH(AC1519,'Mov Entradas (Rel 10497)'!$I:$I,0)),"nao encontrado")</f>
        <v>MOLHO BARBECÃO SABOR</v>
      </c>
      <c r="AC1519" s="0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0" t="str">
        <f aca="false">IFERROR(INDEX('Mov Entradas (Rel 10497)'!$L:$L,MATCH(AC1520,'Mov Entradas (Rel 10497)'!$I:$I,0)),"nao encontrado")</f>
        <v>SUCO JANDAI CAJU500M</v>
      </c>
      <c r="AC1520" s="0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0" t="str">
        <f aca="false">IFERROR(INDEX('Mov Entradas (Rel 10497)'!$L:$L,MATCH(AC1521,'Mov Entradas (Rel 10497)'!$I:$I,0)),"nao encontrado")</f>
        <v>CACHAÇA COROTE 500ML</v>
      </c>
      <c r="AC1521" s="0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0" t="str">
        <f aca="false">IFERROR(INDEX('Mov Entradas (Rel 10497)'!$L:$L,MATCH(AC1522,'Mov Entradas (Rel 10497)'!$I:$I,0)),"nao encontrado")</f>
        <v>LEIT COC SOCOCO 200M</v>
      </c>
      <c r="AC1522" s="0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0" t="str">
        <f aca="false">IFERROR(INDEX('Mov Entradas (Rel 10497)'!$L:$L,MATCH(AC1523,'Mov Entradas (Rel 10497)'!$I:$I,0)),"nao encontrado")</f>
        <v>FARINHA DE TAPIOCA 4</v>
      </c>
      <c r="AC1523" s="0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0" t="str">
        <f aca="false">IFERROR(INDEX('Mov Entradas (Rel 10497)'!$L:$L,MATCH(AC1526,'Mov Entradas (Rel 10497)'!$I:$I,0)),"nao encontrado")</f>
        <v>LEITE EM PO PIRACANJUBA 400G</v>
      </c>
      <c r="AC1526" s="0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0" t="str">
        <f aca="false">IFERROR(INDEX('Mov Entradas (Rel 10497)'!$L:$L,MATCH(AC1527,'Mov Entradas (Rel 10497)'!$I:$I,0)),"nao encontrado")</f>
        <v>POLPA GRAVIOLA 100G</v>
      </c>
      <c r="AC1527" s="0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0" t="str">
        <f aca="false">IFERROR(INDEX('Mov Entradas (Rel 10497)'!$L:$L,MATCH(AC1528,'Mov Entradas (Rel 10497)'!$I:$I,0)),"nao encontrado")</f>
        <v>NISSIN LAMEN SUAVE TOMATE</v>
      </c>
      <c r="AC1528" s="0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0" t="str">
        <f aca="false">IFERROR(INDEX('Mov Entradas (Rel 10497)'!$L:$L,MATCH(AC1531,'Mov Entradas (Rel 10497)'!$I:$I,0)),"nao encontrado")</f>
        <v>PRESUNTO DE PERU</v>
      </c>
      <c r="AC1531" s="0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0" t="str">
        <f aca="false">IFERROR(INDEX('Mov Entradas (Rel 10497)'!$L:$L,MATCH(AC1533,'Mov Entradas (Rel 10497)'!$I:$I,0)),"nao encontrado")</f>
        <v>TRASEIRO DE BOI L1</v>
      </c>
      <c r="AC1533" s="0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0" t="str">
        <f aca="false">IFERROR(INDEX('Mov Entradas (Rel 10497)'!$L:$L,MATCH(AC1534,'Mov Entradas (Rel 10497)'!$I:$I,0)),"nao encontrado")</f>
        <v>PAN. PAOZINHO DORAY</v>
      </c>
      <c r="AC1534" s="0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0" t="str">
        <f aca="false">IFERROR(INDEX('Mov Entradas (Rel 10497)'!$L:$L,MATCH(AC1535,'Mov Entradas (Rel 10497)'!$I:$I,0)),"nao encontrado")</f>
        <v>MACA FUJI KG</v>
      </c>
      <c r="AC1535" s="0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0" t="str">
        <f aca="false">IFERROR(INDEX('Mov Entradas (Rel 10497)'!$L:$L,MATCH(AC1538,'Mov Entradas (Rel 10497)'!$I:$I,0)),"nao encontrado")</f>
        <v>BOLO BLOOM 600G</v>
      </c>
      <c r="AC1538" s="0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0" t="str">
        <f aca="false">IFERROR(INDEX('Mov Entradas (Rel 10497)'!$L:$L,MATCH(AC1540,'Mov Entradas (Rel 10497)'!$I:$I,0)),"nao encontrado")</f>
        <v>DAN GELO CUBO 5 KG</v>
      </c>
      <c r="AC1540" s="0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0" t="str">
        <f aca="false">IFERROR(INDEX('Mov Entradas (Rel 10497)'!$L:$L,MATCH(AC1541,'Mov Entradas (Rel 10497)'!$I:$I,0)),"nao encontrado")</f>
        <v>CARVAO VEGETAL 3KG</v>
      </c>
      <c r="AC1541" s="0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0" t="str">
        <f aca="false">IFERROR(INDEX('Mov Entradas (Rel 10497)'!$L:$L,MATCH(AC1543,'Mov Entradas (Rel 10497)'!$I:$I,0)),"nao encontrado")</f>
        <v>SAZON CALDO CARNE 32</v>
      </c>
      <c r="AC1543" s="0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0" t="str">
        <f aca="false">IFERROR(INDEX('Mov Entradas (Rel 10497)'!$L:$L,MATCH(AC1544,'Mov Entradas (Rel 10497)'!$I:$I,0)),"nao encontrado")</f>
        <v>NISSIN LAMEN SUAVE TOMATE</v>
      </c>
      <c r="AC1544" s="0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0" t="str">
        <f aca="false">IFERROR(INDEX('Mov Entradas (Rel 10497)'!$L:$L,MATCH(AC1546,'Mov Entradas (Rel 10497)'!$I:$I,0)),"nao encontrado")</f>
        <v>MACA FUJI KG</v>
      </c>
      <c r="AC1546" s="0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0" t="str">
        <f aca="false">IFERROR(INDEX('Mov Entradas (Rel 10497)'!$L:$L,MATCH(AC1547,'Mov Entradas (Rel 10497)'!$I:$I,0)),"nao encontrado")</f>
        <v>SUCO ALEGRIA FRUIT S</v>
      </c>
      <c r="AC1547" s="0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0" t="str">
        <f aca="false">IFERROR(INDEX('Mov Entradas (Rel 10497)'!$L:$L,MATCH(AC1548,'Mov Entradas (Rel 10497)'!$I:$I,0)),"nao encontrado")</f>
        <v>TRASEIRO DE BOI L1</v>
      </c>
      <c r="AC1548" s="0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0" t="str">
        <f aca="false">IFERROR(INDEX('Mov Entradas (Rel 10497)'!$L:$L,MATCH(AC1552,'Mov Entradas (Rel 10497)'!$I:$I,0)),"nao encontrado")</f>
        <v>POLPA GRAVIOLA 100G</v>
      </c>
      <c r="AC1552" s="0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0" t="str">
        <f aca="false">IFERROR(INDEX('Mov Entradas (Rel 10497)'!$L:$L,MATCH(AC1556,'Mov Entradas (Rel 10497)'!$I:$I,0)),"nao encontrado")</f>
        <v>FIGADO BOVINO KG</v>
      </c>
      <c r="AC1556" s="0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0" t="str">
        <f aca="false">IFERROR(INDEX('Mov Entradas (Rel 10497)'!$L:$L,MATCH(AC1557,'Mov Entradas (Rel 10497)'!$I:$I,0)),"nao encontrado")</f>
        <v>CHEETOS LUA PARMESAO 143G</v>
      </c>
      <c r="AC1557" s="0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0" t="str">
        <f aca="false">IFERROR(INDEX('Mov Entradas (Rel 10497)'!$L:$L,MATCH(AC1558,'Mov Entradas (Rel 10497)'!$I:$I,0)),"nao encontrado")</f>
        <v>GELO SABORIZADO SABOR MELANCIA</v>
      </c>
      <c r="AC1558" s="0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0" t="str">
        <f aca="false">IFERROR(INDEX('Mov Entradas (Rel 10497)'!$L:$L,MATCH(AC1559,'Mov Entradas (Rel 10497)'!$I:$I,0)),"nao encontrado")</f>
        <v>ADUELA ANGELIM 13CM</v>
      </c>
      <c r="AC1559" s="0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0" t="str">
        <f aca="false">IFERROR(INDEX('Mov Entradas (Rel 10497)'!$L:$L,MATCH(AC1560,'Mov Entradas (Rel 10497)'!$I:$I,0)),"nao encontrado")</f>
        <v>ACHOC TODDY 200G</v>
      </c>
      <c r="AC1560" s="0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0" t="str">
        <f aca="false">IFERROR(INDEX('Mov Entradas (Rel 10497)'!$L:$L,MATCH(AC1561,'Mov Entradas (Rel 10497)'!$I:$I,0)),"nao encontrado")</f>
        <v>AGUAYARA GALAO 20L</v>
      </c>
      <c r="AC1561" s="0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0" t="str">
        <f aca="false">IFERROR(INDEX('Mov Entradas (Rel 10497)'!$L:$L,MATCH(AC1562,'Mov Entradas (Rel 10497)'!$I:$I,0)),"nao encontrado")</f>
        <v>RC FRISK GATO ADULT MIX CARNE KG</v>
      </c>
      <c r="AC1562" s="0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0" t="str">
        <f aca="false">IFERROR(INDEX('Mov Entradas (Rel 10497)'!$L:$L,MATCH(AC1563,'Mov Entradas (Rel 10497)'!$I:$I,0)),"nao encontrado")</f>
        <v>AVEIA NESTL FLOC170G</v>
      </c>
      <c r="AC1563" s="0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0" t="str">
        <f aca="false">IFERROR(INDEX('Mov Entradas (Rel 10497)'!$L:$L,MATCH(AC1564,'Mov Entradas (Rel 10497)'!$I:$I,0)),"nao encontrado")</f>
        <v>TRASEIRO DE BOI L1</v>
      </c>
      <c r="AC1564" s="0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0" t="str">
        <f aca="false">IFERROR(INDEX('Mov Entradas (Rel 10497)'!$L:$L,MATCH(AC1565,'Mov Entradas (Rel 10497)'!$I:$I,0)),"nao encontrado")</f>
        <v>DUNHILL CARLTON BLEN</v>
      </c>
      <c r="AC1565" s="0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0" t="str">
        <f aca="false">IFERROR(INDEX('Mov Entradas (Rel 10497)'!$L:$L,MATCH(AC1566,'Mov Entradas (Rel 10497)'!$I:$I,0)),"nao encontrado")</f>
        <v>ADOC ADOCYL SACARINA 100ML</v>
      </c>
      <c r="AC1566" s="0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0" t="str">
        <f aca="false">IFERROR(INDEX('Mov Entradas (Rel 10497)'!$L:$L,MATCH(AC1567,'Mov Entradas (Rel 10497)'!$I:$I,0)),"nao encontrado")</f>
        <v>PRENDEDOR DE ROUPA M</v>
      </c>
      <c r="AC1567" s="0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0" t="str">
        <f aca="false">IFERROR(INDEX('Mov Entradas (Rel 10497)'!$L:$L,MATCH(AC1568,'Mov Entradas (Rel 10497)'!$I:$I,0)),"nao encontrado")</f>
        <v>FILE PEITOA GRANEL</v>
      </c>
      <c r="AC1568" s="0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0" t="str">
        <f aca="false">IFERROR(INDEX('Mov Entradas (Rel 10497)'!$L:$L,MATCH(AC1569,'Mov Entradas (Rel 10497)'!$I:$I,0)),"nao encontrado")</f>
        <v>TRASEIRO DE BOI L1</v>
      </c>
      <c r="AC1569" s="0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0" t="str">
        <f aca="false">IFERROR(INDEX('Mov Entradas (Rel 10497)'!$L:$L,MATCH(AC1574,'Mov Entradas (Rel 10497)'!$I:$I,0)),"nao encontrado")</f>
        <v>SALG CHEETOS ONDA REQUEIJAO 40G</v>
      </c>
      <c r="AC1574" s="0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0" t="str">
        <f aca="false">IFERROR(INDEX('Mov Entradas (Rel 10497)'!$L:$L,MATCH(AC1580,'Mov Entradas (Rel 10497)'!$I:$I,0)),"nao encontrado")</f>
        <v>CANJICA MILHO BRANCO 400G</v>
      </c>
      <c r="AC1580" s="0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0" t="str">
        <f aca="false">IFERROR(INDEX('Mov Entradas (Rel 10497)'!$L:$L,MATCH(AC1581,'Mov Entradas (Rel 10497)'!$I:$I,0)),"nao encontrado")</f>
        <v>DET.PO ALA LAVANDA</v>
      </c>
      <c r="AC1581" s="0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0" t="str">
        <f aca="false">IFERROR(INDEX('Mov Entradas (Rel 10497)'!$L:$L,MATCH(AC1582,'Mov Entradas (Rel 10497)'!$I:$I,0)),"nao encontrado")</f>
        <v>LINGUI DE FRANGO KG</v>
      </c>
      <c r="AC1582" s="0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0" t="str">
        <f aca="false">IFERROR(INDEX('Mov Entradas (Rel 10497)'!$L:$L,MATCH(AC1583,'Mov Entradas (Rel 10497)'!$I:$I,0)),"nao encontrado")</f>
        <v>SAB BARRA ECON 500G</v>
      </c>
      <c r="AC1583" s="0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0" t="str">
        <f aca="false">IFERROR(INDEX('Mov Entradas (Rel 10497)'!$L:$L,MATCH(AC1584,'Mov Entradas (Rel 10497)'!$I:$I,0)),"nao encontrado")</f>
        <v>FILE PEITOA GRANEL</v>
      </c>
      <c r="AC1584" s="0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0" t="str">
        <f aca="false">IFERROR(INDEX('Mov Entradas (Rel 10497)'!$L:$L,MATCH(AC1585,'Mov Entradas (Rel 10497)'!$I:$I,0)),"nao encontrado")</f>
        <v>-KETCHUP TRADICIONAL</v>
      </c>
      <c r="AC1585" s="0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0" t="str">
        <f aca="false">IFERROR(INDEX('Mov Entradas (Rel 10497)'!$L:$L,MATCH(AC1586,'Mov Entradas (Rel 10497)'!$I:$I,0)),"nao encontrado")</f>
        <v>MILHO P/ PIPOCA 200G</v>
      </c>
      <c r="AC1586" s="0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0" t="str">
        <f aca="false">IFERROR(INDEX('Mov Entradas (Rel 10497)'!$L:$L,MATCH(AC1587,'Mov Entradas (Rel 10497)'!$I:$I,0)),"nao encontrado")</f>
        <v>CREM LEIT ITALAC200G</v>
      </c>
      <c r="AC1587" s="0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0" t="str">
        <f aca="false">IFERROR(INDEX('Mov Entradas (Rel 10497)'!$L:$L,MATCH(AC1588,'Mov Entradas (Rel 10497)'!$I:$I,0)),"nao encontrado")</f>
        <v>TRASEIRO DE BOI L1</v>
      </c>
      <c r="AC1588" s="0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0" t="str">
        <f aca="false">IFERROR(INDEX('Mov Entradas (Rel 10497)'!$L:$L,MATCH(AC1589,'Mov Entradas (Rel 10497)'!$I:$I,0)),"nao encontrado")</f>
        <v>CAFE KIMINO 250G</v>
      </c>
      <c r="AC1589" s="0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0" t="str">
        <f aca="false">IFERROR(INDEX('Mov Entradas (Rel 10497)'!$L:$L,MATCH(AC1590,'Mov Entradas (Rel 10497)'!$I:$I,0)),"nao encontrado")</f>
        <v>nao encontrado</v>
      </c>
      <c r="AC1590" s="0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0" t="str">
        <f aca="false">IFERROR(INDEX('Mov Entradas (Rel 10497)'!$L:$L,MATCH(AC1591,'Mov Entradas (Rel 10497)'!$I:$I,0)),"nao encontrado")</f>
        <v>PICOLE BRIGAD TOYA</v>
      </c>
      <c r="AC1591" s="0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0" t="str">
        <f aca="false">IFERROR(INDEX('Mov Entradas (Rel 10497)'!$L:$L,MATCH(AC1592,'Mov Entradas (Rel 10497)'!$I:$I,0)),"nao encontrado")</f>
        <v>PAN. PAOZINHO DORAY</v>
      </c>
      <c r="AC1592" s="0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0" t="str">
        <f aca="false">IFERROR(INDEX('Mov Entradas (Rel 10497)'!$L:$L,MATCH(AC1593,'Mov Entradas (Rel 10497)'!$I:$I,0)),"nao encontrado")</f>
        <v>TRASEIRO DE BOI L1</v>
      </c>
      <c r="AC1593" s="0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0" t="str">
        <f aca="false">IFERROR(INDEX('Mov Entradas (Rel 10497)'!$L:$L,MATCH(AC1594,'Mov Entradas (Rel 10497)'!$I:$I,0)),"nao encontrado")</f>
        <v>SORVETE 2 LTS ACAI E</v>
      </c>
      <c r="AC1594" s="0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0" t="str">
        <f aca="false">IFERROR(INDEX('Mov Entradas (Rel 10497)'!$L:$L,MATCH(AC1597,'Mov Entradas (Rel 10497)'!$I:$I,0)),"nao encontrado")</f>
        <v>ALHO KG</v>
      </c>
      <c r="AC1597" s="0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0" t="str">
        <f aca="false">IFERROR(INDEX('Mov Entradas (Rel 10497)'!$L:$L,MATCH(AC1599,'Mov Entradas (Rel 10497)'!$I:$I,0)),"nao encontrado")</f>
        <v>ESPONJA MULTIUSO P.L</v>
      </c>
      <c r="AC1599" s="0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0" t="str">
        <f aca="false">IFERROR(INDEX('Mov Entradas (Rel 10497)'!$L:$L,MATCH(AC1600,'Mov Entradas (Rel 10497)'!$I:$I,0)),"nao encontrado")</f>
        <v>BOLO MIYAZAKI GRANDE</v>
      </c>
      <c r="AC1600" s="0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0" t="str">
        <f aca="false">IFERROR(INDEX('Mov Entradas (Rel 10497)'!$L:$L,MATCH(AC1602,'Mov Entradas (Rel 10497)'!$I:$I,0)),"nao encontrado")</f>
        <v>LIVRO DE LER E COLOR</v>
      </c>
      <c r="AC1602" s="0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0" t="str">
        <f aca="false">IFERROR(INDEX('Mov Entradas (Rel 10497)'!$L:$L,MATCH(AC1604,'Mov Entradas (Rel 10497)'!$I:$I,0)),"nao encontrado")</f>
        <v>LINGUI DE FRANGO KG</v>
      </c>
      <c r="AC1604" s="0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0" t="str">
        <f aca="false">IFERROR(INDEX('Mov Entradas (Rel 10497)'!$L:$L,MATCH(AC1605,'Mov Entradas (Rel 10497)'!$I:$I,0)),"nao encontrado")</f>
        <v>CUPNOODLES GALIN69G</v>
      </c>
      <c r="AC1605" s="0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0" t="str">
        <f aca="false">IFERROR(INDEX('Mov Entradas (Rel 10497)'!$L:$L,MATCH(AC1607,'Mov Entradas (Rel 10497)'!$I:$I,0)),"nao encontrado")</f>
        <v>SACOLA DE 3KG</v>
      </c>
      <c r="AC1607" s="0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0" t="str">
        <f aca="false">IFERROR(INDEX('Mov Entradas (Rel 10497)'!$L:$L,MATCH(AC1608,'Mov Entradas (Rel 10497)'!$I:$I,0)),"nao encontrado")</f>
        <v>FINI BEIJOS MORANGO 90G</v>
      </c>
      <c r="AC1608" s="0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0" t="str">
        <f aca="false">IFERROR(INDEX('Mov Entradas (Rel 10497)'!$L:$L,MATCH(AC1609,'Mov Entradas (Rel 10497)'!$I:$I,0)),"nao encontrado")</f>
        <v>AGUA MIN SNT CLAU 2L</v>
      </c>
      <c r="AC1609" s="0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0" t="str">
        <f aca="false">IFERROR(INDEX('Mov Entradas (Rel 10497)'!$L:$L,MATCH(AC1610,'Mov Entradas (Rel 10497)'!$I:$I,0)),"nao encontrado")</f>
        <v>SALG CHEETOS ONDA REQUEIJAO 40G</v>
      </c>
      <c r="AC1610" s="0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0" t="str">
        <f aca="false">IFERROR(INDEX('Mov Entradas (Rel 10497)'!$L:$L,MATCH(AC1611,'Mov Entradas (Rel 10497)'!$I:$I,0)),"nao encontrado")</f>
        <v>IOG BI-CAMADA MGO CO</v>
      </c>
      <c r="AC1611" s="0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0" t="str">
        <f aca="false">IFERROR(INDEX('Mov Entradas (Rel 10497)'!$L:$L,MATCH(AC1612,'Mov Entradas (Rel 10497)'!$I:$I,0)),"nao encontrado")</f>
        <v>nao encontrado</v>
      </c>
      <c r="AC1612" s="0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0" t="str">
        <f aca="false">IFERROR(INDEX('Mov Entradas (Rel 10497)'!$L:$L,MATCH(AC1613,'Mov Entradas (Rel 10497)'!$I:$I,0)),"nao encontrado")</f>
        <v>TRASEIRO DE BOI L1</v>
      </c>
      <c r="AC1613" s="0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0" t="str">
        <f aca="false">IFERROR(INDEX('Mov Entradas (Rel 10497)'!$L:$L,MATCH(AC1614,'Mov Entradas (Rel 10497)'!$I:$I,0)),"nao encontrado")</f>
        <v>FAZENDINH LAR 500 ML</v>
      </c>
      <c r="AC1614" s="0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0" t="str">
        <f aca="false">IFERROR(INDEX('Mov Entradas (Rel 10497)'!$L:$L,MATCH(AC1615,'Mov Entradas (Rel 10497)'!$I:$I,0)),"nao encontrado")</f>
        <v>REAL CLASSICO 2L PET</v>
      </c>
      <c r="AC1615" s="0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0" t="str">
        <f aca="false">IFERROR(INDEX('Mov Entradas (Rel 10497)'!$L:$L,MATCH(AC1616,'Mov Entradas (Rel 10497)'!$I:$I,0)),"nao encontrado")</f>
        <v>AGUAYARA GALAO 20L</v>
      </c>
      <c r="AC1616" s="0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0" t="str">
        <f aca="false">IFERROR(INDEX('Mov Entradas (Rel 10497)'!$L:$L,MATCH(AC1617,'Mov Entradas (Rel 10497)'!$I:$I,0)),"nao encontrado")</f>
        <v>NESCAU 200G</v>
      </c>
      <c r="AC1617" s="0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0" t="str">
        <f aca="false">IFERROR(INDEX('Mov Entradas (Rel 10497)'!$L:$L,MATCH(AC1618,'Mov Entradas (Rel 10497)'!$I:$I,0)),"nao encontrado")</f>
        <v>LEITE ITALAC DESN 1L</v>
      </c>
      <c r="AC1618" s="0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0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46196</v>
      </c>
      <c r="C1622" s="16" t="n">
        <v>46254</v>
      </c>
      <c r="D1622" s="1" t="n">
        <v>560</v>
      </c>
      <c r="E1622" s="1" t="s">
        <v>222</v>
      </c>
      <c r="F1622" s="1" t="n">
        <v>24</v>
      </c>
      <c r="G1622" s="1" t="s">
        <v>43</v>
      </c>
      <c r="H1622" s="1" t="n">
        <v>2110101</v>
      </c>
      <c r="I1622" s="1" t="s">
        <v>44</v>
      </c>
      <c r="J1622" s="1" t="n">
        <v>1293646</v>
      </c>
      <c r="L1622" s="1" t="n">
        <v>1716</v>
      </c>
      <c r="M1622" s="1" t="s">
        <v>45</v>
      </c>
      <c r="N1622" s="1" t="s">
        <v>70</v>
      </c>
      <c r="P1622" s="1" t="n">
        <v>128</v>
      </c>
      <c r="Q1622" s="1" t="s">
        <v>46</v>
      </c>
      <c r="R1622" s="1" t="s">
        <v>47</v>
      </c>
      <c r="S1622" s="1" t="n">
        <v>1130101</v>
      </c>
      <c r="T1622" s="1" t="s">
        <v>48</v>
      </c>
      <c r="U1622" s="18" t="n">
        <v>250</v>
      </c>
      <c r="W1622" s="1" t="n">
        <v>0</v>
      </c>
      <c r="X1622" s="1" t="s">
        <v>1631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0" t="str">
        <f aca="false">IFERROR(INDEX('Mov Entradas (Rel 10497)'!$L:$L,MATCH(AC1622,'Mov Entradas (Rel 10497)'!$I:$I,0)),"nao encontrado")</f>
        <v>nao encontrado</v>
      </c>
      <c r="AC1622" s="0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33</v>
      </c>
      <c r="E1623" s="1" t="s">
        <v>72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1424252</v>
      </c>
      <c r="L1623" s="1" t="n">
        <v>222229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64</v>
      </c>
      <c r="S1623" s="1" t="n">
        <v>4210107</v>
      </c>
      <c r="T1623" s="1" t="s">
        <v>532</v>
      </c>
      <c r="U1623" s="18" t="n">
        <v>203.75</v>
      </c>
      <c r="W1623" s="1" t="n">
        <v>0</v>
      </c>
      <c r="X1623" s="1" t="s">
        <v>1163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46223</v>
      </c>
      <c r="C1624" s="16" t="n">
        <v>46254</v>
      </c>
      <c r="D1624" s="1" t="n">
        <v>17</v>
      </c>
      <c r="E1624" s="1" t="s">
        <v>1294</v>
      </c>
      <c r="F1624" s="1" t="n">
        <v>34</v>
      </c>
      <c r="G1624" s="1" t="s">
        <v>34</v>
      </c>
      <c r="H1624" s="1" t="n">
        <v>2110405</v>
      </c>
      <c r="I1624" s="1" t="s">
        <v>35</v>
      </c>
      <c r="J1624" s="1" t="n">
        <v>1464473</v>
      </c>
      <c r="L1624" s="1" t="n">
        <v>227845</v>
      </c>
      <c r="M1624" s="1" t="s">
        <v>151</v>
      </c>
      <c r="N1624" s="1" t="s">
        <v>37</v>
      </c>
      <c r="P1624" s="1" t="n">
        <v>101</v>
      </c>
      <c r="Q1624" s="1" t="s">
        <v>38</v>
      </c>
      <c r="R1624" s="1" t="s">
        <v>205</v>
      </c>
      <c r="S1624" s="1" t="n">
        <v>4220199</v>
      </c>
      <c r="T1624" s="1" t="s">
        <v>206</v>
      </c>
      <c r="U1624" s="18" t="n">
        <v>2600</v>
      </c>
      <c r="W1624" s="1" t="n">
        <v>0</v>
      </c>
      <c r="X1624" s="1" t="s">
        <v>1295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46231</v>
      </c>
      <c r="C1625" s="16" t="n">
        <v>46254</v>
      </c>
      <c r="D1625" s="1" t="n">
        <v>10028</v>
      </c>
      <c r="E1625" s="1" t="s">
        <v>592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1464619</v>
      </c>
      <c r="L1625" s="1" t="n">
        <v>227869</v>
      </c>
      <c r="M1625" s="1" t="s">
        <v>45</v>
      </c>
      <c r="N1625" s="1" t="s">
        <v>37</v>
      </c>
      <c r="P1625" s="1" t="n">
        <v>101</v>
      </c>
      <c r="Q1625" s="1" t="s">
        <v>38</v>
      </c>
      <c r="R1625" s="1" t="s">
        <v>73</v>
      </c>
      <c r="S1625" s="1" t="n">
        <v>4210315</v>
      </c>
      <c r="T1625" s="1" t="s">
        <v>440</v>
      </c>
      <c r="U1625" s="18" t="n">
        <v>595.9</v>
      </c>
      <c r="W1625" s="1" t="n">
        <v>0</v>
      </c>
      <c r="X1625" s="1" t="s">
        <v>593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46232</v>
      </c>
      <c r="C1626" s="16" t="n">
        <v>46254</v>
      </c>
      <c r="D1626" s="1" t="n">
        <v>1718</v>
      </c>
      <c r="E1626" s="1" t="s">
        <v>410</v>
      </c>
      <c r="F1626" s="1" t="n">
        <v>24</v>
      </c>
      <c r="G1626" s="1" t="s">
        <v>43</v>
      </c>
      <c r="H1626" s="1" t="n">
        <v>1110204</v>
      </c>
      <c r="I1626" s="1" t="s">
        <v>204</v>
      </c>
      <c r="J1626" s="1" t="n">
        <v>1473785</v>
      </c>
      <c r="L1626" s="1" t="n">
        <v>8101042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1000.47</v>
      </c>
      <c r="W1626" s="1" t="n">
        <v>0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0" t="str">
        <f aca="false">IFERROR(INDEX('Mov Entradas (Rel 10497)'!$L:$L,MATCH(AC1626,'Mov Entradas (Rel 10497)'!$I:$I,0)),"nao encontrado")</f>
        <v>TRIDENT MORANGO</v>
      </c>
      <c r="AC1626" s="0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46233</v>
      </c>
      <c r="C1627" s="16" t="n">
        <v>46254</v>
      </c>
      <c r="D1627" s="1" t="n">
        <v>10009</v>
      </c>
      <c r="E1627" s="1" t="s">
        <v>375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1495568</v>
      </c>
      <c r="L1627" s="1" t="n">
        <v>1434035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228.24</v>
      </c>
      <c r="W1627" s="1" t="n">
        <v>0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0" t="str">
        <f aca="false">IFERROR(INDEX('Mov Entradas (Rel 10497)'!$L:$L,MATCH(AC1627,'Mov Entradas (Rel 10497)'!$I:$I,0)),"nao encontrado")</f>
        <v>PSTMP BISC RECH CHOC 130G</v>
      </c>
      <c r="AC1627" s="0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1110204</v>
      </c>
      <c r="I1628" s="1" t="s">
        <v>204</v>
      </c>
      <c r="J1628" s="1" t="n">
        <v>1504101</v>
      </c>
      <c r="L1628" s="1" t="n">
        <v>23076071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496.59</v>
      </c>
      <c r="W1628" s="1" t="n">
        <v>0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0" t="str">
        <f aca="false">IFERROR(INDEX('Mov Entradas (Rel 10497)'!$L:$L,MATCH(AC1628,'Mov Entradas (Rel 10497)'!$I:$I,0)),"nao encontrado")</f>
        <v>AMENDOIM JAPONES DORI 30G</v>
      </c>
      <c r="AC1628" s="0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46239</v>
      </c>
      <c r="C1629" s="16" t="n">
        <v>46254</v>
      </c>
      <c r="D1629" s="1" t="n">
        <v>1612</v>
      </c>
      <c r="E1629" s="1" t="s">
        <v>266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1504128</v>
      </c>
      <c r="L1629" s="1" t="n">
        <v>23076081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368.38</v>
      </c>
      <c r="W1629" s="1" t="n">
        <v>0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0" t="str">
        <f aca="false">IFERROR(INDEX('Mov Entradas (Rel 10497)'!$L:$L,MATCH(AC1629,'Mov Entradas (Rel 10497)'!$I:$I,0)),"nao encontrado")</f>
        <v>OVO KINDER JOY 20G</v>
      </c>
      <c r="AC1629" s="0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46234</v>
      </c>
      <c r="C1630" s="16" t="n">
        <v>46254</v>
      </c>
      <c r="D1630" s="1" t="n">
        <v>1672</v>
      </c>
      <c r="E1630" s="1" t="s">
        <v>68</v>
      </c>
      <c r="F1630" s="1" t="n">
        <v>24</v>
      </c>
      <c r="G1630" s="1" t="s">
        <v>43</v>
      </c>
      <c r="H1630" s="1" t="n">
        <v>1110204</v>
      </c>
      <c r="I1630" s="1" t="s">
        <v>204</v>
      </c>
      <c r="J1630" s="1" t="n">
        <v>1504748</v>
      </c>
      <c r="L1630" s="1" t="n">
        <v>14118642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245</v>
      </c>
      <c r="W1630" s="1" t="n">
        <v>0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0" t="str">
        <f aca="false">IFERROR(INDEX('Mov Entradas (Rel 10497)'!$L:$L,MATCH(AC1630,'Mov Entradas (Rel 10497)'!$I:$I,0)),"nao encontrado")</f>
        <v>AGUACRIM 20L</v>
      </c>
      <c r="AC1630" s="0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46239</v>
      </c>
      <c r="C1631" s="16" t="n">
        <v>46254</v>
      </c>
      <c r="D1631" s="1" t="n">
        <v>1601</v>
      </c>
      <c r="E1631" s="1" t="s">
        <v>156</v>
      </c>
      <c r="F1631" s="1" t="n">
        <v>24</v>
      </c>
      <c r="G1631" s="1" t="s">
        <v>43</v>
      </c>
      <c r="H1631" s="1" t="n">
        <v>1110204</v>
      </c>
      <c r="I1631" s="1" t="s">
        <v>204</v>
      </c>
      <c r="J1631" s="1" t="n">
        <v>1508046</v>
      </c>
      <c r="L1631" s="1" t="n">
        <v>9610981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477.88</v>
      </c>
      <c r="W1631" s="1" t="n">
        <v>0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0" t="str">
        <f aca="false">IFERROR(INDEX('Mov Entradas (Rel 10497)'!$L:$L,MATCH(AC1631,'Mov Entradas (Rel 10497)'!$I:$I,0)),"nao encontrado")</f>
        <v>TRIGO TRIGOLAR C/F1K</v>
      </c>
      <c r="AC1631" s="0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46240</v>
      </c>
      <c r="C1632" s="16" t="n">
        <v>46254</v>
      </c>
      <c r="D1632" s="1" t="n">
        <v>1643</v>
      </c>
      <c r="E1632" s="1" t="s">
        <v>199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1509613</v>
      </c>
      <c r="L1632" s="1" t="n">
        <v>108091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228</v>
      </c>
      <c r="W1632" s="1" t="n">
        <v>0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0" t="str">
        <f aca="false">IFERROR(INDEX('Mov Entradas (Rel 10497)'!$L:$L,MATCH(AC1632,'Mov Entradas (Rel 10497)'!$I:$I,0)),"nao encontrado")</f>
        <v>COCADA CASMORENINH</v>
      </c>
      <c r="AC1632" s="0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1107</v>
      </c>
      <c r="E1633" s="1" t="s">
        <v>166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1509618</v>
      </c>
      <c r="L1633" s="1" t="n">
        <v>4383351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984.44</v>
      </c>
      <c r="W1633" s="1" t="n">
        <v>0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0" t="str">
        <f aca="false">IFERROR(INDEX('Mov Entradas (Rel 10497)'!$L:$L,MATCH(AC1633,'Mov Entradas (Rel 10497)'!$I:$I,0)),"nao encontrado")</f>
        <v>BOLINHO MORANGO 7308</v>
      </c>
      <c r="AC1633" s="0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46239</v>
      </c>
      <c r="C1634" s="16" t="n">
        <v>46254</v>
      </c>
      <c r="D1634" s="1" t="n">
        <v>1667</v>
      </c>
      <c r="E1634" s="1" t="s">
        <v>810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1509699</v>
      </c>
      <c r="L1634" s="1" t="n">
        <v>3978882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610.15</v>
      </c>
      <c r="W1634" s="1" t="n">
        <v>0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0" t="str">
        <f aca="false">IFERROR(INDEX('Mov Entradas (Rel 10497)'!$L:$L,MATCH(AC1634,'Mov Entradas (Rel 10497)'!$I:$I,0)),"nao encontrado")</f>
        <v>MILHO PRA PIPOCA DON</v>
      </c>
      <c r="AC1634" s="0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46240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1512771</v>
      </c>
      <c r="L1635" s="1" t="n">
        <v>58795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1194.6</v>
      </c>
      <c r="W1635" s="1" t="n">
        <v>0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0" t="str">
        <f aca="false">IFERROR(INDEX('Mov Entradas (Rel 10497)'!$L:$L,MATCH(AC1635,'Mov Entradas (Rel 10497)'!$I:$I,0)),"nao encontrado")</f>
        <v>DIANTEIRO DE BOI L</v>
      </c>
      <c r="AC1635" s="0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46247</v>
      </c>
      <c r="C1636" s="16" t="n">
        <v>46254</v>
      </c>
      <c r="D1636" s="1" t="n">
        <v>1723</v>
      </c>
      <c r="E1636" s="1" t="s">
        <v>77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1545622</v>
      </c>
      <c r="L1636" s="1" t="n">
        <v>595071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2260.33</v>
      </c>
      <c r="W1636" s="1" t="n">
        <v>0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0" t="str">
        <f aca="false">IFERROR(INDEX('Mov Entradas (Rel 10497)'!$L:$L,MATCH(AC1636,'Mov Entradas (Rel 10497)'!$I:$I,0)),"nao encontrado")</f>
        <v>DIANTEIRO DE BOI L</v>
      </c>
      <c r="AC1636" s="0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1814</v>
      </c>
      <c r="E1637" s="1" t="s">
        <v>341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1542965</v>
      </c>
      <c r="L1637" s="1" t="n">
        <v>283531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730.72</v>
      </c>
      <c r="W1637" s="1" t="n">
        <v>0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0" t="str">
        <f aca="false">IFERROR(INDEX('Mov Entradas (Rel 10497)'!$L:$L,MATCH(AC1637,'Mov Entradas (Rel 10497)'!$I:$I,0)),"nao encontrado")</f>
        <v>POLPA GRAVIOLA 100G</v>
      </c>
      <c r="AC1637" s="0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46246</v>
      </c>
      <c r="C1638" s="16" t="n">
        <v>46254</v>
      </c>
      <c r="D1638" s="1" t="n">
        <v>1642</v>
      </c>
      <c r="E1638" s="1" t="s">
        <v>276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1543002</v>
      </c>
      <c r="L1638" s="1" t="n">
        <v>1036551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552.02</v>
      </c>
      <c r="W1638" s="1" t="n">
        <v>0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0" t="str">
        <f aca="false">IFERROR(INDEX('Mov Entradas (Rel 10497)'!$L:$L,MATCH(AC1638,'Mov Entradas (Rel 10497)'!$I:$I,0)),"nao encontrado")</f>
        <v>PAO DE FORMA BROTHER</v>
      </c>
      <c r="AC1638" s="0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46247</v>
      </c>
      <c r="C1639" s="16" t="n">
        <v>46254</v>
      </c>
      <c r="D1639" s="1" t="n">
        <v>10063</v>
      </c>
      <c r="E1639" s="1" t="s">
        <v>220</v>
      </c>
      <c r="F1639" s="1" t="n">
        <v>24</v>
      </c>
      <c r="G1639" s="1" t="s">
        <v>43</v>
      </c>
      <c r="H1639" s="1" t="n">
        <v>2110405</v>
      </c>
      <c r="I1639" s="1" t="s">
        <v>35</v>
      </c>
      <c r="J1639" s="1" t="n">
        <v>1545750</v>
      </c>
      <c r="L1639" s="1" t="n">
        <v>2703</v>
      </c>
      <c r="M1639" s="1" t="s">
        <v>45</v>
      </c>
      <c r="N1639" s="1" t="s">
        <v>37</v>
      </c>
      <c r="P1639" s="1" t="n">
        <v>167</v>
      </c>
      <c r="Q1639" s="1" t="s">
        <v>102</v>
      </c>
      <c r="R1639" s="1" t="s">
        <v>47</v>
      </c>
      <c r="S1639" s="1" t="n">
        <v>1130101</v>
      </c>
      <c r="T1639" s="1" t="s">
        <v>48</v>
      </c>
      <c r="U1639" s="18" t="n">
        <v>1865</v>
      </c>
      <c r="W1639" s="1" t="n">
        <v>0</v>
      </c>
      <c r="X1639" s="1" t="s">
        <v>1645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0" t="str">
        <f aca="false">IFERROR(INDEX('Mov Entradas (Rel 10497)'!$L:$L,MATCH(AC1639,'Mov Entradas (Rel 10497)'!$I:$I,0)),"nao encontrado")</f>
        <v>OVOS MARROM UNID</v>
      </c>
      <c r="AC1639" s="0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1947</v>
      </c>
      <c r="E1640" s="1" t="s">
        <v>520</v>
      </c>
      <c r="F1640" s="1" t="n">
        <v>34</v>
      </c>
      <c r="G1640" s="1" t="s">
        <v>34</v>
      </c>
      <c r="H1640" s="1" t="n">
        <v>2110405</v>
      </c>
      <c r="I1640" s="1" t="s">
        <v>35</v>
      </c>
      <c r="J1640" s="1" t="n">
        <v>1561660</v>
      </c>
      <c r="L1640" s="1" t="n">
        <v>7</v>
      </c>
      <c r="M1640" s="1" t="s">
        <v>45</v>
      </c>
      <c r="N1640" s="1" t="s">
        <v>37</v>
      </c>
      <c r="P1640" s="1" t="n">
        <v>101</v>
      </c>
      <c r="Q1640" s="1" t="s">
        <v>38</v>
      </c>
      <c r="R1640" s="1" t="s">
        <v>567</v>
      </c>
      <c r="S1640" s="1" t="n">
        <v>2110707</v>
      </c>
      <c r="T1640" s="1" t="s">
        <v>568</v>
      </c>
      <c r="U1640" s="18" t="n">
        <v>2045.22</v>
      </c>
      <c r="W1640" s="1" t="n">
        <v>0</v>
      </c>
      <c r="X1640" s="1" t="s">
        <v>1646</v>
      </c>
      <c r="Z1640" s="1" t="str">
        <f aca="false">IF($T1640="","",IFERROR(INDEX('Resumo Grupos'!$AC$3:$AC$200,MATCH($T1640,'Resumo Grupos'!$AB$3:$AB$200,0)),"n/d"))</f>
        <v>Impostos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46251</v>
      </c>
      <c r="C1641" s="16" t="n">
        <v>46254</v>
      </c>
      <c r="D1641" s="1" t="n">
        <v>642</v>
      </c>
      <c r="E1641" s="1" t="s">
        <v>136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1568158</v>
      </c>
      <c r="L1641" s="1" t="n">
        <v>606</v>
      </c>
      <c r="M1641" s="1" t="s">
        <v>45</v>
      </c>
      <c r="N1641" s="1" t="s">
        <v>37</v>
      </c>
      <c r="P1641" s="1" t="n">
        <v>167</v>
      </c>
      <c r="Q1641" s="1" t="s">
        <v>102</v>
      </c>
      <c r="R1641" s="1" t="s">
        <v>47</v>
      </c>
      <c r="S1641" s="1" t="n">
        <v>1130101</v>
      </c>
      <c r="T1641" s="1" t="s">
        <v>48</v>
      </c>
      <c r="U1641" s="18" t="n">
        <v>240</v>
      </c>
      <c r="W1641" s="1" t="n">
        <v>0</v>
      </c>
      <c r="X1641" s="1" t="s">
        <v>1647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0" t="str">
        <f aca="false">IFERROR(INDEX('Mov Entradas (Rel 10497)'!$L:$L,MATCH(AC1641,'Mov Entradas (Rel 10497)'!$I:$I,0)),"nao encontrado")</f>
        <v>BOLO BLOOM 600G</v>
      </c>
      <c r="AC1641" s="0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1807</v>
      </c>
      <c r="E1642" s="1" t="s">
        <v>570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1572086</v>
      </c>
      <c r="L1642" s="1" t="n">
        <v>243023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567</v>
      </c>
      <c r="S1642" s="1" t="n">
        <v>2110701</v>
      </c>
      <c r="T1642" s="1" t="s">
        <v>571</v>
      </c>
      <c r="U1642" s="18" t="n">
        <v>4049.11</v>
      </c>
      <c r="W1642" s="1" t="n">
        <v>0</v>
      </c>
      <c r="X1642" s="1" t="s">
        <v>1648</v>
      </c>
      <c r="Z1642" s="1" t="str">
        <f aca="false">IF($T1642="","",IFERROR(INDEX('Resumo Grupos'!$AC$3:$AC$200,MATCH($T1642,'Resumo Grupos'!$AB$3:$AB$200,0)),"n/d"))</f>
        <v>Impostos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32</v>
      </c>
      <c r="E1643" s="1" t="s">
        <v>203</v>
      </c>
      <c r="F1643" s="1" t="n">
        <v>24</v>
      </c>
      <c r="G1643" s="1" t="s">
        <v>43</v>
      </c>
      <c r="H1643" s="1" t="n">
        <v>2110405</v>
      </c>
      <c r="I1643" s="1" t="s">
        <v>35</v>
      </c>
      <c r="J1643" s="1" t="n">
        <v>1572221</v>
      </c>
      <c r="L1643" s="1" t="n">
        <v>243036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205</v>
      </c>
      <c r="S1643" s="1" t="n">
        <v>4220199</v>
      </c>
      <c r="T1643" s="1" t="s">
        <v>206</v>
      </c>
      <c r="U1643" s="18" t="n">
        <v>620</v>
      </c>
      <c r="W1643" s="1" t="n">
        <v>0</v>
      </c>
      <c r="X1643" s="1" t="s">
        <v>1649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1572587</v>
      </c>
      <c r="L1644" s="1" t="n">
        <v>243072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4210303</v>
      </c>
      <c r="T1644" s="1" t="s">
        <v>523</v>
      </c>
      <c r="U1644" s="18" t="n">
        <v>1288.83</v>
      </c>
      <c r="W1644" s="1" t="n">
        <v>0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1947</v>
      </c>
      <c r="E1645" s="1" t="s">
        <v>520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1572640</v>
      </c>
      <c r="L1645" s="1" t="n">
        <v>243078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73</v>
      </c>
      <c r="S1645" s="1" t="n">
        <v>4210302</v>
      </c>
      <c r="T1645" s="1" t="s">
        <v>521</v>
      </c>
      <c r="U1645" s="18" t="n">
        <v>4326.37</v>
      </c>
      <c r="W1645" s="1" t="n">
        <v>0</v>
      </c>
      <c r="X1645" s="1" t="s">
        <v>1651</v>
      </c>
      <c r="Z1645" s="1" t="str">
        <f aca="false">IF($T1645="","",IFERROR(INDEX('Resumo Grupos'!$AC$3:$AC$200,MATCH($T1645,'Resumo Grupos'!$AB$3:$AB$200,0)),"n/d"))</f>
        <v>Impostos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46253</v>
      </c>
      <c r="C1646" s="16" t="n">
        <v>46254</v>
      </c>
      <c r="D1646" s="1" t="n">
        <v>33</v>
      </c>
      <c r="E1646" s="1" t="s">
        <v>72</v>
      </c>
      <c r="F1646" s="1" t="n">
        <v>34</v>
      </c>
      <c r="G1646" s="1" t="s">
        <v>34</v>
      </c>
      <c r="H1646" s="1" t="n">
        <v>2110405</v>
      </c>
      <c r="I1646" s="1" t="s">
        <v>35</v>
      </c>
      <c r="J1646" s="1" t="n">
        <v>1572839</v>
      </c>
      <c r="L1646" s="1" t="n">
        <v>243103</v>
      </c>
      <c r="M1646" s="1" t="s">
        <v>45</v>
      </c>
      <c r="N1646" s="1" t="s">
        <v>37</v>
      </c>
      <c r="P1646" s="1" t="n">
        <v>101</v>
      </c>
      <c r="Q1646" s="1" t="s">
        <v>38</v>
      </c>
      <c r="R1646" s="1" t="s">
        <v>658</v>
      </c>
      <c r="S1646" s="1" t="n">
        <v>1140101</v>
      </c>
      <c r="T1646" s="1" t="s">
        <v>659</v>
      </c>
      <c r="U1646" s="18" t="n">
        <v>74.36</v>
      </c>
      <c r="W1646" s="1" t="n">
        <v>0</v>
      </c>
      <c r="X1646" s="1" t="s">
        <v>1652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1575752</v>
      </c>
      <c r="L1647" s="1" t="n">
        <v>4523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157</v>
      </c>
      <c r="W1647" s="1" t="n">
        <v>0</v>
      </c>
      <c r="X1647" s="1" t="s">
        <v>1653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1575781</v>
      </c>
      <c r="L1648" s="1" t="n">
        <v>4524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250</v>
      </c>
      <c r="W1648" s="1" t="n">
        <v>0</v>
      </c>
      <c r="X1648" s="1" t="s">
        <v>1126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46254</v>
      </c>
      <c r="C1649" s="16" t="n">
        <v>46254</v>
      </c>
      <c r="D1649" s="1" t="n">
        <v>42</v>
      </c>
      <c r="E1649" s="1" t="s">
        <v>81</v>
      </c>
      <c r="F1649" s="1" t="n">
        <v>13</v>
      </c>
      <c r="G1649" s="1" t="s">
        <v>82</v>
      </c>
      <c r="H1649" s="1" t="n">
        <v>2110101</v>
      </c>
      <c r="I1649" s="1" t="s">
        <v>44</v>
      </c>
      <c r="J1649" s="1" t="n">
        <v>1576169</v>
      </c>
      <c r="L1649" s="1" t="n">
        <v>4526</v>
      </c>
      <c r="M1649" s="1" t="s">
        <v>45</v>
      </c>
      <c r="N1649" s="1" t="s">
        <v>70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37.38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46212</v>
      </c>
      <c r="C1650" s="16" t="n">
        <v>46255</v>
      </c>
      <c r="D1650" s="1" t="n">
        <v>10037</v>
      </c>
      <c r="E1650" s="1" t="s">
        <v>361</v>
      </c>
      <c r="F1650" s="1" t="n">
        <v>24</v>
      </c>
      <c r="G1650" s="1" t="s">
        <v>43</v>
      </c>
      <c r="H1650" s="1" t="n">
        <v>2110405</v>
      </c>
      <c r="I1650" s="1" t="s">
        <v>35</v>
      </c>
      <c r="J1650" s="1" t="n">
        <v>1392538</v>
      </c>
      <c r="L1650" s="1" t="n">
        <v>27514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565.02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0" t="str">
        <f aca="false">IFERROR(INDEX('Mov Entradas (Rel 10497)'!$L:$L,MATCH(AC1650,'Mov Entradas (Rel 10497)'!$I:$I,0)),"nao encontrado")</f>
        <v>MOLHO BARBECÃO SABOR</v>
      </c>
      <c r="AC1650" s="0" t="n">
        <v>2751</v>
      </c>
    </row>
    <row r="1651" customFormat="false" ht="12.75" hidden="false" customHeight="true" outlineLevel="0" collapsed="false">
      <c r="A1651" s="1" t="n">
        <v>3</v>
      </c>
      <c r="B1651" s="16" t="n">
        <v>46225</v>
      </c>
      <c r="C1651" s="16" t="n">
        <v>46255</v>
      </c>
      <c r="D1651" s="1" t="n">
        <v>1699</v>
      </c>
      <c r="E1651" s="1" t="s">
        <v>61</v>
      </c>
      <c r="F1651" s="1" t="n">
        <v>24</v>
      </c>
      <c r="G1651" s="1" t="s">
        <v>43</v>
      </c>
      <c r="H1651" s="1" t="n">
        <v>1110204</v>
      </c>
      <c r="I1651" s="1" t="s">
        <v>204</v>
      </c>
      <c r="J1651" s="1" t="n">
        <v>1439143</v>
      </c>
      <c r="L1651" s="1" t="n">
        <v>3087373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894.34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0" t="str">
        <f aca="false">IFERROR(INDEX('Mov Entradas (Rel 10497)'!$L:$L,MATCH(AC1651,'Mov Entradas (Rel 10497)'!$I:$I,0)),"nao encontrado")</f>
        <v>SUCO JANDAI CAJU500M</v>
      </c>
      <c r="AC1651" s="0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46232</v>
      </c>
      <c r="C1652" s="16" t="n">
        <v>46255</v>
      </c>
      <c r="D1652" s="1" t="n">
        <v>1196</v>
      </c>
      <c r="E1652" s="1" t="s">
        <v>175</v>
      </c>
      <c r="F1652" s="1" t="n">
        <v>24</v>
      </c>
      <c r="G1652" s="1" t="s">
        <v>43</v>
      </c>
      <c r="H1652" s="1" t="n">
        <v>2110405</v>
      </c>
      <c r="I1652" s="1" t="s">
        <v>35</v>
      </c>
      <c r="J1652" s="1" t="n">
        <v>1478193</v>
      </c>
      <c r="L1652" s="1" t="n">
        <v>131712</v>
      </c>
      <c r="M1652" s="1" t="s">
        <v>45</v>
      </c>
      <c r="N1652" s="1" t="s">
        <v>37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481.15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0" t="str">
        <f aca="false">IFERROR(INDEX('Mov Entradas (Rel 10497)'!$L:$L,MATCH(AC1652,'Mov Entradas (Rel 10497)'!$I:$I,0)),"nao encontrado")</f>
        <v>LEITE EM PO PIRACANJUBA 400G</v>
      </c>
      <c r="AC1652" s="0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46232</v>
      </c>
      <c r="C1653" s="16" t="n">
        <v>46255</v>
      </c>
      <c r="D1653" s="1" t="n">
        <v>1699</v>
      </c>
      <c r="E1653" s="1" t="s">
        <v>61</v>
      </c>
      <c r="F1653" s="1" t="n">
        <v>24</v>
      </c>
      <c r="G1653" s="1" t="s">
        <v>43</v>
      </c>
      <c r="H1653" s="1" t="n">
        <v>1110204</v>
      </c>
      <c r="I1653" s="1" t="s">
        <v>204</v>
      </c>
      <c r="J1653" s="1" t="n">
        <v>1474070</v>
      </c>
      <c r="L1653" s="1" t="n">
        <v>3095422</v>
      </c>
      <c r="M1653" s="1" t="s">
        <v>45</v>
      </c>
      <c r="N1653" s="1" t="s">
        <v>37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983.7</v>
      </c>
      <c r="W1653" s="1" t="n">
        <v>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0" t="str">
        <f aca="false">IFERROR(INDEX('Mov Entradas (Rel 10497)'!$L:$L,MATCH(AC1653,'Mov Entradas (Rel 10497)'!$I:$I,0)),"nao encontrado")</f>
        <v>CACHAÇA COROTE 500ML</v>
      </c>
      <c r="AC1653" s="0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46232</v>
      </c>
      <c r="C1654" s="16" t="n">
        <v>46255</v>
      </c>
      <c r="D1654" s="1" t="n">
        <v>10017</v>
      </c>
      <c r="E1654" s="1" t="s">
        <v>337</v>
      </c>
      <c r="F1654" s="1" t="n">
        <v>24</v>
      </c>
      <c r="G1654" s="1" t="s">
        <v>43</v>
      </c>
      <c r="H1654" s="1" t="n">
        <v>2110405</v>
      </c>
      <c r="I1654" s="1" t="s">
        <v>35</v>
      </c>
      <c r="J1654" s="1" t="n">
        <v>1474081</v>
      </c>
      <c r="L1654" s="1" t="n">
        <v>1950892</v>
      </c>
      <c r="M1654" s="1" t="s">
        <v>45</v>
      </c>
      <c r="N1654" s="1" t="s">
        <v>37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1191.81</v>
      </c>
      <c r="W1654" s="1" t="n">
        <v>0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0" t="str">
        <f aca="false">IFERROR(INDEX('Mov Entradas (Rel 10497)'!$L:$L,MATCH(AC1654,'Mov Entradas (Rel 10497)'!$I:$I,0)),"nao encontrado")</f>
        <v>LEIT COC SOCOCO 200M</v>
      </c>
      <c r="AC1654" s="0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46233</v>
      </c>
      <c r="C1655" s="16" t="n">
        <v>46255</v>
      </c>
      <c r="D1655" s="1" t="n">
        <v>1608</v>
      </c>
      <c r="E1655" s="1" t="s">
        <v>42</v>
      </c>
      <c r="F1655" s="1" t="n">
        <v>24</v>
      </c>
      <c r="G1655" s="1" t="s">
        <v>43</v>
      </c>
      <c r="H1655" s="1" t="n">
        <v>1110204</v>
      </c>
      <c r="I1655" s="1" t="s">
        <v>204</v>
      </c>
      <c r="J1655" s="1" t="n">
        <v>1482397</v>
      </c>
      <c r="L1655" s="1" t="n">
        <v>17031522</v>
      </c>
      <c r="M1655" s="1" t="s">
        <v>45</v>
      </c>
      <c r="N1655" s="1" t="s">
        <v>37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362.68</v>
      </c>
      <c r="W1655" s="1" t="n">
        <v>0</v>
      </c>
      <c r="X1655" s="1" t="s">
        <v>1660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0" t="str">
        <f aca="false">IFERROR(INDEX('Mov Entradas (Rel 10497)'!$L:$L,MATCH(AC1655,'Mov Entradas (Rel 10497)'!$I:$I,0)),"nao encontrado")</f>
        <v>NISSIN LAMEN SUAVE TOMATE</v>
      </c>
      <c r="AC1655" s="0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46239</v>
      </c>
      <c r="C1656" s="16" t="n">
        <v>46255</v>
      </c>
      <c r="D1656" s="1" t="n">
        <v>1699</v>
      </c>
      <c r="E1656" s="1" t="s">
        <v>61</v>
      </c>
      <c r="F1656" s="1" t="n">
        <v>24</v>
      </c>
      <c r="G1656" s="1" t="s">
        <v>43</v>
      </c>
      <c r="H1656" s="1" t="n">
        <v>2110405</v>
      </c>
      <c r="I1656" s="1" t="s">
        <v>35</v>
      </c>
      <c r="J1656" s="1" t="n">
        <v>1512612</v>
      </c>
      <c r="L1656" s="1" t="n">
        <v>3101541</v>
      </c>
      <c r="M1656" s="1" t="s">
        <v>45</v>
      </c>
      <c r="N1656" s="1" t="s">
        <v>37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986.03</v>
      </c>
      <c r="W1656" s="1" t="n">
        <v>0</v>
      </c>
      <c r="X1656" s="1" t="s">
        <v>1661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0" t="str">
        <f aca="false">IFERROR(INDEX('Mov Entradas (Rel 10497)'!$L:$L,MATCH(AC1656,'Mov Entradas (Rel 10497)'!$I:$I,0)),"nao encontrado")</f>
        <v>CONS CARNE BO320G</v>
      </c>
      <c r="AC1656" s="0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46240</v>
      </c>
      <c r="C1657" s="16" t="n">
        <v>46255</v>
      </c>
      <c r="D1657" s="1" t="n">
        <v>1136</v>
      </c>
      <c r="E1657" s="1" t="s">
        <v>695</v>
      </c>
      <c r="F1657" s="1" t="n">
        <v>24</v>
      </c>
      <c r="G1657" s="1" t="s">
        <v>43</v>
      </c>
      <c r="H1657" s="1" t="n">
        <v>2110405</v>
      </c>
      <c r="I1657" s="1" t="s">
        <v>35</v>
      </c>
      <c r="J1657" s="1" t="n">
        <v>1513131</v>
      </c>
      <c r="L1657" s="1" t="n">
        <v>53541</v>
      </c>
      <c r="M1657" s="1" t="s">
        <v>45</v>
      </c>
      <c r="N1657" s="1" t="s">
        <v>37</v>
      </c>
      <c r="P1657" s="1" t="n">
        <v>167</v>
      </c>
      <c r="Q1657" s="1" t="s">
        <v>102</v>
      </c>
      <c r="R1657" s="1" t="s">
        <v>47</v>
      </c>
      <c r="S1657" s="1" t="n">
        <v>1130101</v>
      </c>
      <c r="T1657" s="1" t="s">
        <v>48</v>
      </c>
      <c r="U1657" s="18" t="n">
        <v>500.78</v>
      </c>
      <c r="W1657" s="1" t="n">
        <v>0</v>
      </c>
      <c r="X1657" s="1" t="s">
        <v>1662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0" t="str">
        <f aca="false">IFERROR(INDEX('Mov Entradas (Rel 10497)'!$L:$L,MATCH(AC1657,'Mov Entradas (Rel 10497)'!$I:$I,0)),"nao encontrado")</f>
        <v>ESCOVA DENTAL WIT BA</v>
      </c>
      <c r="AC1657" s="0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46241</v>
      </c>
      <c r="C1658" s="16" t="n">
        <v>46255</v>
      </c>
      <c r="D1658" s="1" t="n">
        <v>1723</v>
      </c>
      <c r="E1658" s="1" t="s">
        <v>77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1514500</v>
      </c>
      <c r="L1658" s="1" t="n">
        <v>589282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1847.6</v>
      </c>
      <c r="W1658" s="1" t="n">
        <v>0</v>
      </c>
      <c r="X1658" s="1" t="s">
        <v>1663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0" t="str">
        <f aca="false">IFERROR(INDEX('Mov Entradas (Rel 10497)'!$L:$L,MATCH(AC1658,'Mov Entradas (Rel 10497)'!$I:$I,0)),"nao encontrado")</f>
        <v>TRASEIRO DE BOI L1</v>
      </c>
      <c r="AC1658" s="0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46248</v>
      </c>
      <c r="C1659" s="16" t="n">
        <v>46255</v>
      </c>
      <c r="D1659" s="1" t="n">
        <v>1828</v>
      </c>
      <c r="E1659" s="1" t="s">
        <v>280</v>
      </c>
      <c r="F1659" s="1" t="n">
        <v>24</v>
      </c>
      <c r="G1659" s="1" t="s">
        <v>43</v>
      </c>
      <c r="H1659" s="1" t="n">
        <v>2110405</v>
      </c>
      <c r="I1659" s="1" t="s">
        <v>35</v>
      </c>
      <c r="J1659" s="1" t="n">
        <v>1545759</v>
      </c>
      <c r="L1659" s="1" t="n">
        <v>1431</v>
      </c>
      <c r="M1659" s="1" t="s">
        <v>45</v>
      </c>
      <c r="N1659" s="1" t="s">
        <v>37</v>
      </c>
      <c r="P1659" s="1" t="n">
        <v>167</v>
      </c>
      <c r="Q1659" s="1" t="s">
        <v>102</v>
      </c>
      <c r="R1659" s="1" t="s">
        <v>47</v>
      </c>
      <c r="S1659" s="1" t="n">
        <v>1130101</v>
      </c>
      <c r="T1659" s="1" t="s">
        <v>48</v>
      </c>
      <c r="U1659" s="18" t="n">
        <v>711.94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0" t="str">
        <f aca="false">IFERROR(INDEX('Mov Entradas (Rel 10497)'!$L:$L,MATCH(AC1659,'Mov Entradas (Rel 10497)'!$I:$I,0)),"nao encontrado")</f>
        <v>PRESUNTO DE PERU</v>
      </c>
      <c r="AC1659" s="0" t="n">
        <v>1431</v>
      </c>
    </row>
    <row r="1660" customFormat="false" ht="12.75" hidden="false" customHeight="true" outlineLevel="0" collapsed="false">
      <c r="A1660" s="1" t="n">
        <v>3</v>
      </c>
      <c r="B1660" s="16" t="n">
        <v>46248</v>
      </c>
      <c r="C1660" s="16" t="n">
        <v>46255</v>
      </c>
      <c r="D1660" s="1" t="n">
        <v>42</v>
      </c>
      <c r="E1660" s="1" t="s">
        <v>81</v>
      </c>
      <c r="F1660" s="1" t="n">
        <v>34</v>
      </c>
      <c r="G1660" s="1" t="s">
        <v>34</v>
      </c>
      <c r="H1660" s="1" t="n">
        <v>2110101</v>
      </c>
      <c r="I1660" s="1" t="s">
        <v>44</v>
      </c>
      <c r="J1660" s="1" t="n">
        <v>1545836</v>
      </c>
      <c r="L1660" s="1" t="n">
        <v>4501</v>
      </c>
      <c r="M1660" s="1" t="s">
        <v>45</v>
      </c>
      <c r="N1660" s="1" t="s">
        <v>70</v>
      </c>
      <c r="P1660" s="1" t="n">
        <v>167</v>
      </c>
      <c r="Q1660" s="1" t="s">
        <v>102</v>
      </c>
      <c r="R1660" s="1" t="s">
        <v>47</v>
      </c>
      <c r="S1660" s="1" t="n">
        <v>1130101</v>
      </c>
      <c r="T1660" s="1" t="s">
        <v>48</v>
      </c>
      <c r="U1660" s="18" t="n">
        <v>450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46248</v>
      </c>
      <c r="C1661" s="16" t="n">
        <v>46255</v>
      </c>
      <c r="D1661" s="1" t="n">
        <v>1378</v>
      </c>
      <c r="E1661" s="1" t="s">
        <v>121</v>
      </c>
      <c r="F1661" s="1" t="n">
        <v>24</v>
      </c>
      <c r="G1661" s="1" t="s">
        <v>43</v>
      </c>
      <c r="H1661" s="1" t="n">
        <v>2110405</v>
      </c>
      <c r="I1661" s="1" t="s">
        <v>35</v>
      </c>
      <c r="J1661" s="1" t="n">
        <v>1551601</v>
      </c>
      <c r="L1661" s="1" t="n">
        <v>18667</v>
      </c>
      <c r="M1661" s="1" t="s">
        <v>45</v>
      </c>
      <c r="N1661" s="1" t="s">
        <v>37</v>
      </c>
      <c r="P1661" s="1" t="n">
        <v>167</v>
      </c>
      <c r="Q1661" s="1" t="s">
        <v>102</v>
      </c>
      <c r="R1661" s="1" t="s">
        <v>47</v>
      </c>
      <c r="S1661" s="1" t="n">
        <v>1130101</v>
      </c>
      <c r="T1661" s="1" t="s">
        <v>48</v>
      </c>
      <c r="U1661" s="18" t="n">
        <v>192.3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0" t="str">
        <f aca="false">IFERROR(INDEX('Mov Entradas (Rel 10497)'!$L:$L,MATCH(AC1661,'Mov Entradas (Rel 10497)'!$I:$I,0)),"nao encontrado")</f>
        <v>PAN. HAMBURGUER DORA</v>
      </c>
      <c r="AC1661" s="0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46247</v>
      </c>
      <c r="C1662" s="16" t="n">
        <v>46255</v>
      </c>
      <c r="D1662" s="1" t="n">
        <v>1621</v>
      </c>
      <c r="E1662" s="1" t="s">
        <v>308</v>
      </c>
      <c r="F1662" s="1" t="n">
        <v>24</v>
      </c>
      <c r="G1662" s="1" t="s">
        <v>43</v>
      </c>
      <c r="H1662" s="1" t="n">
        <v>2110405</v>
      </c>
      <c r="I1662" s="1" t="s">
        <v>35</v>
      </c>
      <c r="J1662" s="1" t="n">
        <v>1552007</v>
      </c>
      <c r="L1662" s="1" t="n">
        <v>957023</v>
      </c>
      <c r="M1662" s="1" t="s">
        <v>45</v>
      </c>
      <c r="N1662" s="1" t="s">
        <v>37</v>
      </c>
      <c r="P1662" s="1" t="n">
        <v>167</v>
      </c>
      <c r="Q1662" s="1" t="s">
        <v>102</v>
      </c>
      <c r="R1662" s="1" t="s">
        <v>47</v>
      </c>
      <c r="S1662" s="1" t="n">
        <v>1130101</v>
      </c>
      <c r="T1662" s="1" t="s">
        <v>48</v>
      </c>
      <c r="U1662" s="18" t="n">
        <v>6686.96</v>
      </c>
      <c r="W1662" s="1" t="n">
        <v>0</v>
      </c>
      <c r="X1662" s="1" t="s">
        <v>1667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0" t="str">
        <f aca="false">IFERROR(INDEX('Mov Entradas (Rel 10497)'!$L:$L,MATCH(AC1662,'Mov Entradas (Rel 10497)'!$I:$I,0)),"nao encontrado")</f>
        <v>CERV BRAHMA ZERO 350ML</v>
      </c>
      <c r="AC1662" s="0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46248</v>
      </c>
      <c r="C1663" s="16" t="n">
        <v>46255</v>
      </c>
      <c r="D1663" s="1" t="n">
        <v>1613</v>
      </c>
      <c r="E1663" s="1" t="s">
        <v>178</v>
      </c>
      <c r="F1663" s="1" t="n">
        <v>24</v>
      </c>
      <c r="G1663" s="1" t="s">
        <v>43</v>
      </c>
      <c r="H1663" s="1" t="n">
        <v>2110405</v>
      </c>
      <c r="I1663" s="1" t="s">
        <v>35</v>
      </c>
      <c r="J1663" s="1" t="n">
        <v>1552188</v>
      </c>
      <c r="L1663" s="1" t="n">
        <v>16193431</v>
      </c>
      <c r="M1663" s="1" t="s">
        <v>45</v>
      </c>
      <c r="N1663" s="1" t="s">
        <v>37</v>
      </c>
      <c r="P1663" s="1" t="n">
        <v>167</v>
      </c>
      <c r="Q1663" s="1" t="s">
        <v>102</v>
      </c>
      <c r="R1663" s="1" t="s">
        <v>47</v>
      </c>
      <c r="S1663" s="1" t="n">
        <v>1130101</v>
      </c>
      <c r="T1663" s="1" t="s">
        <v>48</v>
      </c>
      <c r="U1663" s="18" t="n">
        <v>1120.17</v>
      </c>
      <c r="W1663" s="1" t="n">
        <v>0</v>
      </c>
      <c r="X1663" s="1" t="s">
        <v>1668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0" t="str">
        <f aca="false">IFERROR(INDEX('Mov Entradas (Rel 10497)'!$L:$L,MATCH(AC1663,'Mov Entradas (Rel 10497)'!$I:$I,0)),"nao encontrado")</f>
        <v>CARRE SUINO KG</v>
      </c>
      <c r="AC1663" s="0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46252</v>
      </c>
      <c r="C1664" s="16" t="n">
        <v>46255</v>
      </c>
      <c r="D1664" s="1" t="n">
        <v>1615</v>
      </c>
      <c r="E1664" s="1" t="s">
        <v>131</v>
      </c>
      <c r="F1664" s="1" t="n">
        <v>34</v>
      </c>
      <c r="G1664" s="1" t="s">
        <v>34</v>
      </c>
      <c r="H1664" s="1" t="n">
        <v>2110405</v>
      </c>
      <c r="I1664" s="1" t="s">
        <v>35</v>
      </c>
      <c r="J1664" s="1" t="n">
        <v>1567590</v>
      </c>
      <c r="L1664" s="1" t="n">
        <v>15134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450</v>
      </c>
      <c r="W1664" s="1" t="n">
        <v>0</v>
      </c>
      <c r="X1664" s="1" t="s">
        <v>1669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0" t="str">
        <f aca="false">IFERROR(INDEX('Mov Entradas (Rel 10497)'!$L:$L,MATCH(AC1664,'Mov Entradas (Rel 10497)'!$I:$I,0)),"nao encontrado")</f>
        <v>MACA FUJI KG</v>
      </c>
      <c r="AC1664" s="0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46252</v>
      </c>
      <c r="C1665" s="16" t="n">
        <v>46255</v>
      </c>
      <c r="D1665" s="1" t="n">
        <v>1615</v>
      </c>
      <c r="E1665" s="1" t="s">
        <v>131</v>
      </c>
      <c r="F1665" s="1" t="n">
        <v>34</v>
      </c>
      <c r="G1665" s="1" t="s">
        <v>34</v>
      </c>
      <c r="H1665" s="1" t="n">
        <v>2110405</v>
      </c>
      <c r="I1665" s="1" t="s">
        <v>35</v>
      </c>
      <c r="J1665" s="1" t="n">
        <v>1567619</v>
      </c>
      <c r="L1665" s="1" t="n">
        <v>242504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215</v>
      </c>
      <c r="W1665" s="1" t="n">
        <v>0</v>
      </c>
      <c r="X1665" s="1" t="s">
        <v>1670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46252</v>
      </c>
      <c r="C1666" s="16" t="n">
        <v>46255</v>
      </c>
      <c r="D1666" s="1" t="n">
        <v>42</v>
      </c>
      <c r="E1666" s="1" t="s">
        <v>81</v>
      </c>
      <c r="F1666" s="1" t="n">
        <v>34</v>
      </c>
      <c r="G1666" s="1" t="s">
        <v>34</v>
      </c>
      <c r="H1666" s="1" t="n">
        <v>2110101</v>
      </c>
      <c r="I1666" s="1" t="s">
        <v>44</v>
      </c>
      <c r="J1666" s="1" t="n">
        <v>1567636</v>
      </c>
      <c r="L1666" s="1" t="n">
        <v>4517</v>
      </c>
      <c r="M1666" s="1" t="s">
        <v>45</v>
      </c>
      <c r="N1666" s="1" t="s">
        <v>70</v>
      </c>
      <c r="P1666" s="1" t="n">
        <v>167</v>
      </c>
      <c r="Q1666" s="1" t="s">
        <v>102</v>
      </c>
      <c r="R1666" s="1" t="s">
        <v>47</v>
      </c>
      <c r="S1666" s="1" t="n">
        <v>1130101</v>
      </c>
      <c r="T1666" s="1" t="s">
        <v>48</v>
      </c>
      <c r="U1666" s="18" t="n">
        <v>2124</v>
      </c>
      <c r="W1666" s="1" t="n">
        <v>0</v>
      </c>
      <c r="X1666" s="1" t="s">
        <v>1671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46251</v>
      </c>
      <c r="C1667" s="16" t="n">
        <v>46255</v>
      </c>
      <c r="D1667" s="1" t="n">
        <v>10096</v>
      </c>
      <c r="E1667" s="1" t="s">
        <v>1235</v>
      </c>
      <c r="F1667" s="1" t="n">
        <v>34</v>
      </c>
      <c r="G1667" s="1" t="s">
        <v>34</v>
      </c>
      <c r="H1667" s="1" t="n">
        <v>2110405</v>
      </c>
      <c r="I1667" s="1" t="s">
        <v>35</v>
      </c>
      <c r="J1667" s="1" t="n">
        <v>1575684</v>
      </c>
      <c r="L1667" s="1" t="n">
        <v>183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240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0" t="str">
        <f aca="false">IFERROR(INDEX('Mov Entradas (Rel 10497)'!$L:$L,MATCH(AC1667,'Mov Entradas (Rel 10497)'!$I:$I,0)),"nao encontrado")</f>
        <v>BOLO MIYAZAKI GRANDE</v>
      </c>
      <c r="AC1667" s="0" t="n">
        <v>183</v>
      </c>
    </row>
    <row r="1668" customFormat="false" ht="12.75" hidden="false" customHeight="true" outlineLevel="0" collapsed="false">
      <c r="A1668" s="1" t="n">
        <v>3</v>
      </c>
      <c r="B1668" s="16" t="n">
        <v>46044</v>
      </c>
      <c r="C1668" s="16" t="n">
        <v>46256</v>
      </c>
      <c r="D1668" s="1" t="n">
        <v>514</v>
      </c>
      <c r="E1668" s="1" t="s">
        <v>33</v>
      </c>
      <c r="F1668" s="1" t="n">
        <v>34</v>
      </c>
      <c r="G1668" s="1" t="s">
        <v>34</v>
      </c>
      <c r="H1668" s="1" t="n">
        <v>2110405</v>
      </c>
      <c r="I1668" s="1" t="s">
        <v>35</v>
      </c>
      <c r="J1668" s="1" t="n">
        <v>1306220</v>
      </c>
      <c r="L1668" s="1" t="n">
        <v>203991</v>
      </c>
      <c r="M1668" s="1" t="s">
        <v>1150</v>
      </c>
      <c r="N1668" s="1" t="s">
        <v>37</v>
      </c>
      <c r="P1668" s="1" t="n">
        <v>101</v>
      </c>
      <c r="Q1668" s="1" t="s">
        <v>38</v>
      </c>
      <c r="R1668" s="1" t="s">
        <v>140</v>
      </c>
      <c r="S1668" s="1" t="n">
        <v>2110901</v>
      </c>
      <c r="T1668" s="1" t="s">
        <v>141</v>
      </c>
      <c r="U1668" s="18" t="n">
        <v>6601.19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Empréstimo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46224</v>
      </c>
      <c r="C1669" s="16" t="n">
        <v>46256</v>
      </c>
      <c r="D1669" s="1" t="n">
        <v>1929</v>
      </c>
      <c r="E1669" s="1" t="s">
        <v>1674</v>
      </c>
      <c r="F1669" s="1" t="n">
        <v>34</v>
      </c>
      <c r="G1669" s="1" t="s">
        <v>34</v>
      </c>
      <c r="H1669" s="1" t="n">
        <v>2110405</v>
      </c>
      <c r="I1669" s="1" t="s">
        <v>35</v>
      </c>
      <c r="J1669" s="1" t="n">
        <v>1428714</v>
      </c>
      <c r="L1669" s="1" t="n">
        <v>222992</v>
      </c>
      <c r="M1669" s="1" t="s">
        <v>45</v>
      </c>
      <c r="N1669" s="1" t="s">
        <v>37</v>
      </c>
      <c r="P1669" s="1" t="n">
        <v>101</v>
      </c>
      <c r="Q1669" s="1" t="s">
        <v>38</v>
      </c>
      <c r="R1669" s="1" t="s">
        <v>39</v>
      </c>
      <c r="S1669" s="1" t="n">
        <v>4210299</v>
      </c>
      <c r="T1669" s="1" t="s">
        <v>1082</v>
      </c>
      <c r="U1669" s="18" t="n">
        <v>95.43</v>
      </c>
      <c r="W1669" s="1" t="n">
        <v>0</v>
      </c>
      <c r="X1669" s="1" t="s">
        <v>1675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46224</v>
      </c>
      <c r="C1670" s="16" t="n">
        <v>46256</v>
      </c>
      <c r="D1670" s="1" t="n">
        <v>1929</v>
      </c>
      <c r="E1670" s="1" t="s">
        <v>1674</v>
      </c>
      <c r="F1670" s="1" t="n">
        <v>34</v>
      </c>
      <c r="G1670" s="1" t="s">
        <v>34</v>
      </c>
      <c r="H1670" s="1" t="n">
        <v>2110405</v>
      </c>
      <c r="I1670" s="1" t="s">
        <v>35</v>
      </c>
      <c r="J1670" s="1" t="n">
        <v>1428721</v>
      </c>
      <c r="L1670" s="1" t="n">
        <v>222993</v>
      </c>
      <c r="M1670" s="1" t="s">
        <v>45</v>
      </c>
      <c r="N1670" s="1" t="s">
        <v>37</v>
      </c>
      <c r="P1670" s="1" t="n">
        <v>101</v>
      </c>
      <c r="Q1670" s="1" t="s">
        <v>38</v>
      </c>
      <c r="R1670" s="1" t="s">
        <v>39</v>
      </c>
      <c r="S1670" s="1" t="n">
        <v>4210299</v>
      </c>
      <c r="T1670" s="1" t="s">
        <v>1082</v>
      </c>
      <c r="U1670" s="18" t="n">
        <v>102.37</v>
      </c>
      <c r="W1670" s="1" t="n">
        <v>0</v>
      </c>
      <c r="X1670" s="1" t="s">
        <v>1676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46224</v>
      </c>
      <c r="C1671" s="16" t="n">
        <v>46256</v>
      </c>
      <c r="D1671" s="1" t="n">
        <v>514</v>
      </c>
      <c r="E1671" s="1" t="s">
        <v>33</v>
      </c>
      <c r="F1671" s="1" t="n">
        <v>34</v>
      </c>
      <c r="G1671" s="1" t="s">
        <v>34</v>
      </c>
      <c r="H1671" s="1" t="n">
        <v>2110405</v>
      </c>
      <c r="I1671" s="1" t="s">
        <v>35</v>
      </c>
      <c r="J1671" s="1" t="n">
        <v>1428727</v>
      </c>
      <c r="L1671" s="1" t="n">
        <v>222994</v>
      </c>
      <c r="M1671" s="1" t="s">
        <v>45</v>
      </c>
      <c r="N1671" s="1" t="s">
        <v>37</v>
      </c>
      <c r="P1671" s="1" t="n">
        <v>101</v>
      </c>
      <c r="Q1671" s="1" t="s">
        <v>38</v>
      </c>
      <c r="R1671" s="1" t="s">
        <v>86</v>
      </c>
      <c r="S1671" s="1" t="n">
        <v>4210504</v>
      </c>
      <c r="T1671" s="1" t="s">
        <v>143</v>
      </c>
      <c r="U1671" s="18" t="n">
        <v>240</v>
      </c>
      <c r="W1671" s="1" t="n">
        <v>0</v>
      </c>
      <c r="X1671" s="1" t="s">
        <v>1677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46224</v>
      </c>
      <c r="C1672" s="16" t="n">
        <v>46256</v>
      </c>
      <c r="D1672" s="1" t="n">
        <v>1000036</v>
      </c>
      <c r="E1672" s="1" t="s">
        <v>1678</v>
      </c>
      <c r="F1672" s="1" t="n">
        <v>34</v>
      </c>
      <c r="G1672" s="1" t="s">
        <v>34</v>
      </c>
      <c r="H1672" s="1" t="n">
        <v>2110405</v>
      </c>
      <c r="I1672" s="1" t="s">
        <v>35</v>
      </c>
      <c r="J1672" s="1" t="n">
        <v>1428747</v>
      </c>
      <c r="L1672" s="1" t="n">
        <v>222995</v>
      </c>
      <c r="M1672" s="1" t="s">
        <v>45</v>
      </c>
      <c r="N1672" s="1" t="s">
        <v>37</v>
      </c>
      <c r="P1672" s="1" t="n">
        <v>101</v>
      </c>
      <c r="Q1672" s="1" t="s">
        <v>38</v>
      </c>
      <c r="R1672" s="1" t="s">
        <v>39</v>
      </c>
      <c r="S1672" s="1" t="n">
        <v>4210299</v>
      </c>
      <c r="T1672" s="1" t="s">
        <v>1082</v>
      </c>
      <c r="U1672" s="18" t="n">
        <v>2929.65</v>
      </c>
      <c r="W1672" s="1" t="n">
        <v>0</v>
      </c>
      <c r="X1672" s="1" t="s">
        <v>1679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46224</v>
      </c>
      <c r="C1673" s="16" t="n">
        <v>46256</v>
      </c>
      <c r="D1673" s="1" t="n">
        <v>1929</v>
      </c>
      <c r="E1673" s="1" t="s">
        <v>1674</v>
      </c>
      <c r="F1673" s="1" t="n">
        <v>34</v>
      </c>
      <c r="G1673" s="1" t="s">
        <v>34</v>
      </c>
      <c r="H1673" s="1" t="n">
        <v>1110204</v>
      </c>
      <c r="I1673" s="1" t="s">
        <v>204</v>
      </c>
      <c r="J1673" s="1" t="n">
        <v>1428753</v>
      </c>
      <c r="L1673" s="1" t="n">
        <v>222996</v>
      </c>
      <c r="M1673" s="1" t="s">
        <v>45</v>
      </c>
      <c r="N1673" s="1" t="s">
        <v>37</v>
      </c>
      <c r="P1673" s="1" t="n">
        <v>101</v>
      </c>
      <c r="Q1673" s="1" t="s">
        <v>38</v>
      </c>
      <c r="R1673" s="1" t="s">
        <v>86</v>
      </c>
      <c r="S1673" s="1" t="n">
        <v>4210504</v>
      </c>
      <c r="T1673" s="1" t="s">
        <v>143</v>
      </c>
      <c r="U1673" s="18" t="n">
        <v>420</v>
      </c>
      <c r="W1673" s="1" t="n">
        <v>0</v>
      </c>
      <c r="X1673" s="1" t="s">
        <v>1680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46227</v>
      </c>
      <c r="C1674" s="16" t="n">
        <v>46256</v>
      </c>
      <c r="D1674" s="1" t="n">
        <v>1608</v>
      </c>
      <c r="E1674" s="1" t="s">
        <v>42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1443910</v>
      </c>
      <c r="L1674" s="1" t="n">
        <v>16991333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832.25</v>
      </c>
      <c r="W1674" s="1" t="n">
        <v>0</v>
      </c>
      <c r="X1674" s="1" t="s">
        <v>1681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0" t="str">
        <f aca="false">IFERROR(INDEX('Mov Entradas (Rel 10497)'!$L:$L,MATCH(AC1674,'Mov Entradas (Rel 10497)'!$I:$I,0)),"nao encontrado")</f>
        <v>SAZON CALDO CARNE 32</v>
      </c>
      <c r="AC1674" s="0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46231</v>
      </c>
      <c r="C1675" s="16" t="n">
        <v>46256</v>
      </c>
      <c r="D1675" s="1" t="n">
        <v>33</v>
      </c>
      <c r="E1675" s="1" t="s">
        <v>72</v>
      </c>
      <c r="F1675" s="1" t="n">
        <v>34</v>
      </c>
      <c r="G1675" s="1" t="s">
        <v>34</v>
      </c>
      <c r="H1675" s="1" t="n">
        <v>2110405</v>
      </c>
      <c r="I1675" s="1" t="s">
        <v>35</v>
      </c>
      <c r="J1675" s="1" t="n">
        <v>1465032</v>
      </c>
      <c r="L1675" s="1" t="n">
        <v>227918</v>
      </c>
      <c r="M1675" s="1" t="s">
        <v>45</v>
      </c>
      <c r="N1675" s="1" t="s">
        <v>37</v>
      </c>
      <c r="P1675" s="1" t="n">
        <v>101</v>
      </c>
      <c r="Q1675" s="1" t="s">
        <v>38</v>
      </c>
      <c r="R1675" s="1" t="s">
        <v>110</v>
      </c>
      <c r="S1675" s="1" t="n">
        <v>1240203</v>
      </c>
      <c r="T1675" s="1" t="s">
        <v>111</v>
      </c>
      <c r="U1675" s="18" t="n">
        <v>2320.33</v>
      </c>
      <c r="W1675" s="1" t="n">
        <v>0</v>
      </c>
      <c r="X1675" s="1" t="s">
        <v>1232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46237</v>
      </c>
      <c r="C1676" s="16" t="n">
        <v>46256</v>
      </c>
      <c r="D1676" s="1" t="n">
        <v>1672</v>
      </c>
      <c r="E1676" s="1" t="s">
        <v>68</v>
      </c>
      <c r="F1676" s="1" t="n">
        <v>24</v>
      </c>
      <c r="G1676" s="1" t="s">
        <v>43</v>
      </c>
      <c r="H1676" s="1" t="n">
        <v>1110204</v>
      </c>
      <c r="I1676" s="1" t="s">
        <v>204</v>
      </c>
      <c r="J1676" s="1" t="n">
        <v>1504156</v>
      </c>
      <c r="L1676" s="1" t="n">
        <v>14134012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725.05</v>
      </c>
      <c r="W1676" s="1" t="n">
        <v>0</v>
      </c>
      <c r="X1676" s="1" t="s">
        <v>1682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0" t="str">
        <f aca="false">IFERROR(INDEX('Mov Entradas (Rel 10497)'!$L:$L,MATCH(AC1676,'Mov Entradas (Rel 10497)'!$I:$I,0)),"nao encontrado")</f>
        <v>SUCO ALEGRIA FRUIT S</v>
      </c>
      <c r="AC1676" s="0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46244</v>
      </c>
      <c r="C1677" s="16" t="n">
        <v>46256</v>
      </c>
      <c r="D1677" s="1" t="n">
        <v>1625</v>
      </c>
      <c r="E1677" s="1" t="s">
        <v>322</v>
      </c>
      <c r="F1677" s="1" t="n">
        <v>24</v>
      </c>
      <c r="G1677" s="1" t="s">
        <v>43</v>
      </c>
      <c r="H1677" s="1" t="n">
        <v>2110405</v>
      </c>
      <c r="I1677" s="1" t="s">
        <v>35</v>
      </c>
      <c r="J1677" s="1" t="n">
        <v>1530143</v>
      </c>
      <c r="L1677" s="1" t="n">
        <v>149942</v>
      </c>
      <c r="M1677" s="1" t="s">
        <v>45</v>
      </c>
      <c r="N1677" s="1" t="s">
        <v>37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3648.3</v>
      </c>
      <c r="W1677" s="1" t="n">
        <v>0</v>
      </c>
      <c r="X1677" s="1" t="s">
        <v>1683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0" t="str">
        <f aca="false">IFERROR(INDEX('Mov Entradas (Rel 10497)'!$L:$L,MATCH(AC1677,'Mov Entradas (Rel 10497)'!$I:$I,0)),"nao encontrado")</f>
        <v>TRASEIRO DE BOI L1</v>
      </c>
      <c r="AC1677" s="0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46249</v>
      </c>
      <c r="C1678" s="16" t="n">
        <v>46256</v>
      </c>
      <c r="D1678" s="1" t="n">
        <v>1723</v>
      </c>
      <c r="E1678" s="1" t="s">
        <v>77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1560912</v>
      </c>
      <c r="L1678" s="1" t="n">
        <v>59769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2998.2</v>
      </c>
      <c r="W1678" s="1" t="n">
        <v>0</v>
      </c>
      <c r="X1678" s="1" t="s">
        <v>1684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0" t="str">
        <f aca="false">IFERROR(INDEX('Mov Entradas (Rel 10497)'!$L:$L,MATCH(AC1678,'Mov Entradas (Rel 10497)'!$I:$I,0)),"nao encontrado")</f>
        <v>TRASEIRO DE BOI L1</v>
      </c>
      <c r="AC1678" s="0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46242</v>
      </c>
      <c r="C1679" s="16" t="n">
        <v>46257</v>
      </c>
      <c r="D1679" s="1" t="n">
        <v>957</v>
      </c>
      <c r="E1679" s="1" t="s">
        <v>722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1531986</v>
      </c>
      <c r="L1679" s="1" t="n">
        <v>216231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1760.2</v>
      </c>
      <c r="W1679" s="1" t="n">
        <v>0</v>
      </c>
      <c r="X1679" s="1" t="s">
        <v>1685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0" t="str">
        <f aca="false">IFERROR(INDEX('Mov Entradas (Rel 10497)'!$L:$L,MATCH(AC1679,'Mov Entradas (Rel 10497)'!$I:$I,0)),"nao encontrado")</f>
        <v>RAC WHISKAS CARNE KG</v>
      </c>
      <c r="AC1679" s="0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46211</v>
      </c>
      <c r="C1680" s="16" t="n">
        <v>46258</v>
      </c>
      <c r="D1680" s="1" t="n">
        <v>1398</v>
      </c>
      <c r="E1680" s="1" t="s">
        <v>1246</v>
      </c>
      <c r="F1680" s="1" t="n">
        <v>24</v>
      </c>
      <c r="G1680" s="1" t="s">
        <v>43</v>
      </c>
      <c r="H1680" s="1" t="n">
        <v>1110204</v>
      </c>
      <c r="I1680" s="1" t="s">
        <v>204</v>
      </c>
      <c r="J1680" s="1" t="n">
        <v>1397033</v>
      </c>
      <c r="L1680" s="1" t="n">
        <v>33333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592.05</v>
      </c>
      <c r="W1680" s="1" t="n">
        <v>0</v>
      </c>
      <c r="X1680" s="1" t="s">
        <v>1686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0" t="str">
        <f aca="false">IFERROR(INDEX('Mov Entradas (Rel 10497)'!$L:$L,MATCH(AC1680,'Mov Entradas (Rel 10497)'!$I:$I,0)),"nao encontrado")</f>
        <v>CADERNO STIFF AMAREL</v>
      </c>
      <c r="AC1680" s="0" t="n">
        <v>1330</v>
      </c>
    </row>
    <row r="1681" customFormat="false" ht="12.75" hidden="false" customHeight="true" outlineLevel="0" collapsed="false">
      <c r="A1681" s="1" t="n">
        <v>3</v>
      </c>
      <c r="B1681" s="16" t="n">
        <v>46211</v>
      </c>
      <c r="C1681" s="16" t="n">
        <v>46258</v>
      </c>
      <c r="D1681" s="1" t="n">
        <v>1122</v>
      </c>
      <c r="E1681" s="1" t="s">
        <v>1248</v>
      </c>
      <c r="F1681" s="1" t="n">
        <v>24</v>
      </c>
      <c r="G1681" s="1" t="s">
        <v>43</v>
      </c>
      <c r="H1681" s="1" t="n">
        <v>2110405</v>
      </c>
      <c r="I1681" s="1" t="s">
        <v>35</v>
      </c>
      <c r="J1681" s="1" t="n">
        <v>1397080</v>
      </c>
      <c r="L1681" s="1" t="n">
        <v>66413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614.98</v>
      </c>
      <c r="W1681" s="1" t="n">
        <v>0</v>
      </c>
      <c r="X1681" s="1" t="s">
        <v>1687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0" t="str">
        <f aca="false">IFERROR(INDEX('Mov Entradas (Rel 10497)'!$L:$L,MATCH(AC1681,'Mov Entradas (Rel 10497)'!$I:$I,0)),"nao encontrado")</f>
        <v>CAD CD 12X1 168FLS P</v>
      </c>
      <c r="AC1681" s="0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46228</v>
      </c>
      <c r="C1682" s="16" t="n">
        <v>46258</v>
      </c>
      <c r="D1682" s="1" t="n">
        <v>1608</v>
      </c>
      <c r="E1682" s="1" t="s">
        <v>42</v>
      </c>
      <c r="F1682" s="1" t="n">
        <v>24</v>
      </c>
      <c r="G1682" s="1" t="s">
        <v>43</v>
      </c>
      <c r="H1682" s="1" t="n">
        <v>2110405</v>
      </c>
      <c r="I1682" s="1" t="s">
        <v>35</v>
      </c>
      <c r="J1682" s="1" t="n">
        <v>1458595</v>
      </c>
      <c r="L1682" s="1" t="n">
        <v>16998853</v>
      </c>
      <c r="M1682" s="1" t="s">
        <v>45</v>
      </c>
      <c r="N1682" s="1" t="s">
        <v>37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418.68</v>
      </c>
      <c r="W1682" s="1" t="n">
        <v>0</v>
      </c>
      <c r="X1682" s="1" t="s">
        <v>1688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0" t="str">
        <f aca="false">IFERROR(INDEX('Mov Entradas (Rel 10497)'!$L:$L,MATCH(AC1682,'Mov Entradas (Rel 10497)'!$I:$I,0)),"nao encontrado")</f>
        <v>CHEETOS LUA PARMESAO 143G</v>
      </c>
      <c r="AC1682" s="0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46228</v>
      </c>
      <c r="C1683" s="16" t="n">
        <v>46258</v>
      </c>
      <c r="D1683" s="1" t="n">
        <v>1608</v>
      </c>
      <c r="E1683" s="1" t="s">
        <v>42</v>
      </c>
      <c r="F1683" s="1" t="n">
        <v>24</v>
      </c>
      <c r="G1683" s="1" t="s">
        <v>43</v>
      </c>
      <c r="H1683" s="1" t="n">
        <v>2110405</v>
      </c>
      <c r="I1683" s="1" t="s">
        <v>35</v>
      </c>
      <c r="J1683" s="1" t="n">
        <v>1468587</v>
      </c>
      <c r="L1683" s="1" t="n">
        <v>16995933</v>
      </c>
      <c r="M1683" s="1" t="s">
        <v>45</v>
      </c>
      <c r="N1683" s="1" t="s">
        <v>37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903.47</v>
      </c>
      <c r="W1683" s="1" t="n">
        <v>0</v>
      </c>
      <c r="X1683" s="1" t="s">
        <v>1689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0" t="str">
        <f aca="false">IFERROR(INDEX('Mov Entradas (Rel 10497)'!$L:$L,MATCH(AC1683,'Mov Entradas (Rel 10497)'!$I:$I,0)),"nao encontrado")</f>
        <v>ACHOC TODDY 200G</v>
      </c>
      <c r="AC1683" s="0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46237</v>
      </c>
      <c r="C1684" s="16" t="n">
        <v>46258</v>
      </c>
      <c r="D1684" s="1" t="n">
        <v>16</v>
      </c>
      <c r="E1684" s="1" t="s">
        <v>244</v>
      </c>
      <c r="F1684" s="1" t="n">
        <v>34</v>
      </c>
      <c r="G1684" s="1" t="s">
        <v>34</v>
      </c>
      <c r="H1684" s="1" t="n">
        <v>2110405</v>
      </c>
      <c r="I1684" s="1" t="s">
        <v>35</v>
      </c>
      <c r="J1684" s="1" t="n">
        <v>1493536</v>
      </c>
      <c r="L1684" s="1" t="n">
        <v>232110</v>
      </c>
      <c r="M1684" s="1" t="s">
        <v>45</v>
      </c>
      <c r="N1684" s="1" t="s">
        <v>37</v>
      </c>
      <c r="P1684" s="1" t="n">
        <v>101</v>
      </c>
      <c r="Q1684" s="1" t="s">
        <v>38</v>
      </c>
      <c r="R1684" s="1" t="s">
        <v>247</v>
      </c>
      <c r="S1684" s="1" t="n">
        <v>2210203</v>
      </c>
      <c r="T1684" s="1" t="s">
        <v>1534</v>
      </c>
      <c r="U1684" s="18" t="n">
        <v>100000</v>
      </c>
      <c r="W1684" s="1" t="n">
        <v>0</v>
      </c>
      <c r="X1684" s="1" t="s">
        <v>1690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1" t="n">
        <v>3</v>
      </c>
      <c r="B1685" s="16" t="n">
        <v>46233</v>
      </c>
      <c r="C1685" s="16" t="n">
        <v>46258</v>
      </c>
      <c r="D1685" s="1" t="n">
        <v>1636</v>
      </c>
      <c r="E1685" s="1" t="s">
        <v>50</v>
      </c>
      <c r="F1685" s="1" t="n">
        <v>24</v>
      </c>
      <c r="G1685" s="1" t="s">
        <v>43</v>
      </c>
      <c r="H1685" s="1" t="n">
        <v>1110204</v>
      </c>
      <c r="I1685" s="1" t="s">
        <v>204</v>
      </c>
      <c r="J1685" s="1" t="n">
        <v>1495391</v>
      </c>
      <c r="L1685" s="1" t="n">
        <v>32292542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949.63</v>
      </c>
      <c r="W1685" s="1" t="n">
        <v>0</v>
      </c>
      <c r="X1685" s="1" t="s">
        <v>1691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0" t="str">
        <f aca="false">IFERROR(INDEX('Mov Entradas (Rel 10497)'!$L:$L,MATCH(AC1685,'Mov Entradas (Rel 10497)'!$I:$I,0)),"nao encontrado")</f>
        <v>ADOC ADOCYL SACARINA 100ML</v>
      </c>
      <c r="AC1685" s="0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46237</v>
      </c>
      <c r="C1686" s="16" t="n">
        <v>46258</v>
      </c>
      <c r="D1686" s="1" t="n">
        <v>846</v>
      </c>
      <c r="E1686" s="1" t="s">
        <v>264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1498618</v>
      </c>
      <c r="L1686" s="1" t="n">
        <v>8462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538.18</v>
      </c>
      <c r="W1686" s="1" t="n">
        <v>0</v>
      </c>
      <c r="X1686" s="1" t="s">
        <v>1692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0" t="str">
        <f aca="false">IFERROR(INDEX('Mov Entradas (Rel 10497)'!$L:$L,MATCH(AC1686,'Mov Entradas (Rel 10497)'!$I:$I,0)),"nao encontrado")</f>
        <v>PRENDEDOR DE ROUPA M</v>
      </c>
      <c r="AC1686" s="0" t="n">
        <v>846</v>
      </c>
    </row>
    <row r="1687" customFormat="false" ht="12.75" hidden="false" customHeight="true" outlineLevel="0" collapsed="false">
      <c r="A1687" s="1" t="n">
        <v>3</v>
      </c>
      <c r="B1687" s="16" t="n">
        <v>46239</v>
      </c>
      <c r="C1687" s="16" t="n">
        <v>46258</v>
      </c>
      <c r="D1687" s="1" t="n">
        <v>1613</v>
      </c>
      <c r="E1687" s="1" t="s">
        <v>178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1504637</v>
      </c>
      <c r="L1687" s="1" t="n">
        <v>16155703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1173.86</v>
      </c>
      <c r="W1687" s="1" t="n">
        <v>0</v>
      </c>
      <c r="X1687" s="1" t="s">
        <v>1693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0" t="str">
        <f aca="false">IFERROR(INDEX('Mov Entradas (Rel 10497)'!$L:$L,MATCH(AC1687,'Mov Entradas (Rel 10497)'!$I:$I,0)),"nao encontrado")</f>
        <v>FILE PEITOA GRANEL</v>
      </c>
      <c r="AC1687" s="0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46244</v>
      </c>
      <c r="C1688" s="16" t="n">
        <v>46258</v>
      </c>
      <c r="D1688" s="1" t="n">
        <v>1723</v>
      </c>
      <c r="E1688" s="1" t="s">
        <v>77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1530190</v>
      </c>
      <c r="L1688" s="1" t="n">
        <v>591832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1642.3</v>
      </c>
      <c r="W1688" s="1" t="n">
        <v>0</v>
      </c>
      <c r="X1688" s="1" t="s">
        <v>1694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0" t="str">
        <f aca="false">IFERROR(INDEX('Mov Entradas (Rel 10497)'!$L:$L,MATCH(AC1688,'Mov Entradas (Rel 10497)'!$I:$I,0)),"nao encontrado")</f>
        <v>TRASEIRO DE BOI L1</v>
      </c>
      <c r="AC1688" s="0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46244</v>
      </c>
      <c r="C1689" s="16" t="n">
        <v>46258</v>
      </c>
      <c r="D1689" s="1" t="n">
        <v>1657</v>
      </c>
      <c r="E1689" s="1" t="s">
        <v>257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1543735</v>
      </c>
      <c r="L1689" s="1" t="n">
        <v>3783781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1028.18</v>
      </c>
      <c r="W1689" s="1" t="n">
        <v>0</v>
      </c>
      <c r="X1689" s="1" t="s">
        <v>1695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0" t="str">
        <f aca="false">IFERROR(INDEX('Mov Entradas (Rel 10497)'!$L:$L,MATCH(AC1689,'Mov Entradas (Rel 10497)'!$I:$I,0)),"nao encontrado")</f>
        <v>TALCO BARLA 140G</v>
      </c>
      <c r="AC1689" s="0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46251</v>
      </c>
      <c r="C1690" s="16" t="n">
        <v>46258</v>
      </c>
      <c r="D1690" s="1" t="n">
        <v>1723</v>
      </c>
      <c r="E1690" s="1" t="s">
        <v>77</v>
      </c>
      <c r="F1690" s="1" t="n">
        <v>24</v>
      </c>
      <c r="G1690" s="1" t="s">
        <v>43</v>
      </c>
      <c r="H1690" s="1" t="n">
        <v>2110405</v>
      </c>
      <c r="I1690" s="1" t="s">
        <v>35</v>
      </c>
      <c r="J1690" s="1" t="n">
        <v>1560925</v>
      </c>
      <c r="L1690" s="1" t="n">
        <v>59879</v>
      </c>
      <c r="M1690" s="1" t="s">
        <v>45</v>
      </c>
      <c r="N1690" s="1" t="s">
        <v>37</v>
      </c>
      <c r="P1690" s="1" t="n">
        <v>167</v>
      </c>
      <c r="Q1690" s="1" t="s">
        <v>102</v>
      </c>
      <c r="R1690" s="1" t="s">
        <v>47</v>
      </c>
      <c r="S1690" s="1" t="n">
        <v>1130101</v>
      </c>
      <c r="T1690" s="1" t="s">
        <v>48</v>
      </c>
      <c r="U1690" s="18" t="n">
        <v>1138.5</v>
      </c>
      <c r="W1690" s="1" t="n">
        <v>0</v>
      </c>
      <c r="X1690" s="1" t="s">
        <v>1696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0" t="str">
        <f aca="false">IFERROR(INDEX('Mov Entradas (Rel 10497)'!$L:$L,MATCH(AC1690,'Mov Entradas (Rel 10497)'!$I:$I,0)),"nao encontrado")</f>
        <v>DIANTEIRO DE BOI L</v>
      </c>
      <c r="AC1690" s="0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46247</v>
      </c>
      <c r="C1691" s="16" t="n">
        <v>46258</v>
      </c>
      <c r="D1691" s="1" t="n">
        <v>560</v>
      </c>
      <c r="E1691" s="1" t="s">
        <v>222</v>
      </c>
      <c r="F1691" s="1" t="n">
        <v>24</v>
      </c>
      <c r="G1691" s="1" t="s">
        <v>43</v>
      </c>
      <c r="H1691" s="1" t="n">
        <v>2110405</v>
      </c>
      <c r="I1691" s="1" t="s">
        <v>35</v>
      </c>
      <c r="J1691" s="1" t="n">
        <v>1566042</v>
      </c>
      <c r="L1691" s="1" t="n">
        <v>2015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250</v>
      </c>
      <c r="W1691" s="1" t="n">
        <v>0</v>
      </c>
      <c r="X1691" s="1" t="s">
        <v>1697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0" t="str">
        <f aca="false">IFERROR(INDEX('Mov Entradas (Rel 10497)'!$L:$L,MATCH(AC1691,'Mov Entradas (Rel 10497)'!$I:$I,0)),"nao encontrado")</f>
        <v>BISCOITOS DA MARIA S</v>
      </c>
      <c r="AC1691" s="0" t="n">
        <v>2015</v>
      </c>
    </row>
    <row r="1692" customFormat="false" ht="12.75" hidden="false" customHeight="true" outlineLevel="0" collapsed="false">
      <c r="A1692" s="1" t="n">
        <v>3</v>
      </c>
      <c r="B1692" s="16" t="n">
        <v>46251</v>
      </c>
      <c r="C1692" s="16" t="n">
        <v>46258</v>
      </c>
      <c r="D1692" s="1" t="n">
        <v>1432</v>
      </c>
      <c r="E1692" s="1" t="s">
        <v>956</v>
      </c>
      <c r="F1692" s="1" t="n">
        <v>24</v>
      </c>
      <c r="G1692" s="1" t="s">
        <v>43</v>
      </c>
      <c r="H1692" s="1" t="n">
        <v>2110405</v>
      </c>
      <c r="I1692" s="1" t="s">
        <v>35</v>
      </c>
      <c r="J1692" s="1" t="n">
        <v>1566539</v>
      </c>
      <c r="L1692" s="1" t="n">
        <v>9714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205.87</v>
      </c>
      <c r="W1692" s="1" t="n">
        <v>0</v>
      </c>
      <c r="X1692" s="1" t="s">
        <v>1698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0" t="str">
        <f aca="false">IFERROR(INDEX('Mov Entradas (Rel 10497)'!$L:$L,MATCH(AC1692,'Mov Entradas (Rel 10497)'!$I:$I,0)),"nao encontrado")</f>
        <v>IOGURTE INTEGRAL COM</v>
      </c>
      <c r="AC1692" s="0" t="n">
        <v>3595</v>
      </c>
    </row>
    <row r="1693" customFormat="false" ht="12.75" hidden="false" customHeight="true" outlineLevel="0" collapsed="false">
      <c r="A1693" s="1" t="n">
        <v>3</v>
      </c>
      <c r="B1693" s="16" t="n">
        <v>46001</v>
      </c>
      <c r="C1693" s="16" t="n">
        <v>46259</v>
      </c>
      <c r="D1693" s="1" t="n">
        <v>1839</v>
      </c>
      <c r="E1693" s="1" t="s">
        <v>615</v>
      </c>
      <c r="F1693" s="1" t="n">
        <v>24</v>
      </c>
      <c r="G1693" s="1" t="s">
        <v>43</v>
      </c>
      <c r="H1693" s="1" t="n">
        <v>2110102</v>
      </c>
      <c r="I1693" s="1" t="s">
        <v>616</v>
      </c>
      <c r="J1693" s="1" t="n">
        <v>315650</v>
      </c>
      <c r="L1693" s="1" t="n">
        <v>86749</v>
      </c>
      <c r="M1693" s="1" t="s">
        <v>1139</v>
      </c>
      <c r="N1693" s="1" t="s">
        <v>70</v>
      </c>
      <c r="P1693" s="1" t="n">
        <v>163</v>
      </c>
      <c r="Q1693" s="1" t="s">
        <v>103</v>
      </c>
      <c r="R1693" s="1" t="s">
        <v>39</v>
      </c>
      <c r="S1693" s="1" t="n">
        <v>4210204</v>
      </c>
      <c r="T1693" s="1" t="s">
        <v>617</v>
      </c>
      <c r="U1693" s="18" t="n">
        <v>47.99</v>
      </c>
      <c r="W1693" s="1" t="n">
        <v>0</v>
      </c>
      <c r="X1693" s="1" t="s">
        <v>1699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0" t="str">
        <f aca="false">IFERROR(INDEX('Mov Entradas (Rel 10497)'!$L:$L,MATCH(AC1693,'Mov Entradas (Rel 10497)'!$I:$I,0)),"nao encontrado")</f>
        <v>nao encontrado</v>
      </c>
      <c r="AC1693" s="0" t="n">
        <v>86749</v>
      </c>
    </row>
    <row r="1694" customFormat="false" ht="12.75" hidden="false" customHeight="true" outlineLevel="0" collapsed="false">
      <c r="A1694" s="1" t="n">
        <v>3</v>
      </c>
      <c r="B1694" s="16" t="n">
        <v>45991</v>
      </c>
      <c r="C1694" s="16" t="n">
        <v>46259</v>
      </c>
      <c r="D1694" s="1" t="n">
        <v>10054</v>
      </c>
      <c r="E1694" s="1" t="s">
        <v>619</v>
      </c>
      <c r="F1694" s="1" t="n">
        <v>2</v>
      </c>
      <c r="G1694" s="1" t="s">
        <v>484</v>
      </c>
      <c r="H1694" s="1" t="n">
        <v>2110405</v>
      </c>
      <c r="I1694" s="1" t="s">
        <v>35</v>
      </c>
      <c r="J1694" s="1" t="n">
        <v>777941</v>
      </c>
      <c r="L1694" s="1" t="n">
        <v>123778</v>
      </c>
      <c r="M1694" s="1" t="s">
        <v>1139</v>
      </c>
      <c r="N1694" s="1" t="s">
        <v>37</v>
      </c>
      <c r="P1694" s="1" t="n">
        <v>129</v>
      </c>
      <c r="Q1694" s="1" t="s">
        <v>103</v>
      </c>
      <c r="R1694" s="1" t="s">
        <v>39</v>
      </c>
      <c r="S1694" s="1" t="n">
        <v>4210227</v>
      </c>
      <c r="T1694" s="1" t="s">
        <v>197</v>
      </c>
      <c r="U1694" s="18" t="n">
        <v>55.2</v>
      </c>
      <c r="W1694" s="1" t="n">
        <v>0</v>
      </c>
      <c r="X1694" s="1" t="s">
        <v>620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0" t="str">
        <f aca="false">IFERROR(INDEX('Mov Entradas (Rel 10497)'!$L:$L,MATCH(AC1694,'Mov Entradas (Rel 10497)'!$I:$I,0)),"nao encontrado")</f>
        <v>nao encontrado</v>
      </c>
      <c r="AC1694" s="0" t="n">
        <v>1318</v>
      </c>
    </row>
    <row r="1695" customFormat="false" ht="12.75" hidden="false" customHeight="true" outlineLevel="0" collapsed="false">
      <c r="A1695" s="1" t="n">
        <v>3</v>
      </c>
      <c r="B1695" s="16" t="n">
        <v>46157</v>
      </c>
      <c r="C1695" s="16" t="n">
        <v>46259</v>
      </c>
      <c r="D1695" s="1" t="n">
        <v>663</v>
      </c>
      <c r="E1695" s="1" t="s">
        <v>613</v>
      </c>
      <c r="F1695" s="1" t="n">
        <v>2</v>
      </c>
      <c r="G1695" s="1" t="s">
        <v>484</v>
      </c>
      <c r="H1695" s="1" t="n">
        <v>2110405</v>
      </c>
      <c r="I1695" s="1" t="s">
        <v>35</v>
      </c>
      <c r="J1695" s="1" t="n">
        <v>1107240</v>
      </c>
      <c r="L1695" s="1" t="n">
        <v>174074</v>
      </c>
      <c r="M1695" s="1" t="s">
        <v>45</v>
      </c>
      <c r="N1695" s="1" t="s">
        <v>37</v>
      </c>
      <c r="P1695" s="1" t="n">
        <v>128</v>
      </c>
      <c r="Q1695" s="1" t="s">
        <v>46</v>
      </c>
      <c r="R1695" s="1" t="s">
        <v>39</v>
      </c>
      <c r="S1695" s="1" t="n">
        <v>4210227</v>
      </c>
      <c r="T1695" s="1" t="s">
        <v>197</v>
      </c>
      <c r="U1695" s="18" t="n">
        <v>711.75</v>
      </c>
      <c r="W1695" s="1" t="n">
        <v>0</v>
      </c>
      <c r="X1695" s="1" t="s">
        <v>614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0" t="str">
        <f aca="false">IFERROR(INDEX('Mov Entradas (Rel 10497)'!$L:$L,MATCH(AC1695,'Mov Entradas (Rel 10497)'!$I:$I,0)),"nao encontrado")</f>
        <v>nao encontrado</v>
      </c>
      <c r="AC1695" s="0" t="n">
        <v>12945</v>
      </c>
    </row>
    <row r="1696" customFormat="false" ht="12.75" hidden="false" customHeight="true" outlineLevel="0" collapsed="false">
      <c r="A1696" s="1" t="n">
        <v>3</v>
      </c>
      <c r="B1696" s="16" t="n">
        <v>46167</v>
      </c>
      <c r="C1696" s="16" t="n">
        <v>46259</v>
      </c>
      <c r="D1696" s="1" t="n">
        <v>974</v>
      </c>
      <c r="E1696" s="1" t="s">
        <v>628</v>
      </c>
      <c r="F1696" s="1" t="n">
        <v>2</v>
      </c>
      <c r="G1696" s="1" t="s">
        <v>484</v>
      </c>
      <c r="H1696" s="1" t="n">
        <v>2110405</v>
      </c>
      <c r="I1696" s="1" t="s">
        <v>35</v>
      </c>
      <c r="J1696" s="1" t="n">
        <v>1155863</v>
      </c>
      <c r="L1696" s="1" t="n">
        <v>181376</v>
      </c>
      <c r="M1696" s="1" t="s">
        <v>45</v>
      </c>
      <c r="N1696" s="1" t="s">
        <v>37</v>
      </c>
      <c r="P1696" s="1" t="n">
        <v>128</v>
      </c>
      <c r="Q1696" s="1" t="s">
        <v>46</v>
      </c>
      <c r="R1696" s="1" t="s">
        <v>47</v>
      </c>
      <c r="S1696" s="1" t="n">
        <v>1130101</v>
      </c>
      <c r="T1696" s="1" t="s">
        <v>48</v>
      </c>
      <c r="U1696" s="18" t="n">
        <v>309.75</v>
      </c>
      <c r="W1696" s="1" t="n">
        <v>0</v>
      </c>
      <c r="X1696" s="1" t="s">
        <v>1700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0" t="str">
        <f aca="false">IFERROR(INDEX('Mov Entradas (Rel 10497)'!$L:$L,MATCH(AC1696,'Mov Entradas (Rel 10497)'!$I:$I,0)),"nao encontrado")</f>
        <v>nao encontrado</v>
      </c>
      <c r="AC1696" s="0" t="n">
        <v>416</v>
      </c>
    </row>
    <row r="1697" customFormat="false" ht="12.75" hidden="false" customHeight="true" outlineLevel="0" collapsed="false">
      <c r="A1697" s="1" t="n">
        <v>3</v>
      </c>
      <c r="B1697" s="16" t="n">
        <v>46168</v>
      </c>
      <c r="C1697" s="16" t="n">
        <v>46259</v>
      </c>
      <c r="D1697" s="1" t="n">
        <v>875</v>
      </c>
      <c r="E1697" s="1" t="s">
        <v>632</v>
      </c>
      <c r="F1697" s="1" t="n">
        <v>2</v>
      </c>
      <c r="G1697" s="1" t="s">
        <v>484</v>
      </c>
      <c r="H1697" s="1" t="n">
        <v>2110405</v>
      </c>
      <c r="I1697" s="1" t="s">
        <v>35</v>
      </c>
      <c r="J1697" s="1" t="n">
        <v>1166142</v>
      </c>
      <c r="L1697" s="1" t="n">
        <v>182793</v>
      </c>
      <c r="M1697" s="1" t="s">
        <v>45</v>
      </c>
      <c r="N1697" s="1" t="s">
        <v>37</v>
      </c>
      <c r="P1697" s="1" t="n">
        <v>128</v>
      </c>
      <c r="Q1697" s="1" t="s">
        <v>46</v>
      </c>
      <c r="R1697" s="1" t="s">
        <v>47</v>
      </c>
      <c r="S1697" s="1" t="n">
        <v>1130101</v>
      </c>
      <c r="T1697" s="1" t="s">
        <v>48</v>
      </c>
      <c r="U1697" s="18" t="n">
        <v>1633.2</v>
      </c>
      <c r="W1697" s="1" t="n">
        <v>0</v>
      </c>
      <c r="X1697" s="1" t="s">
        <v>1701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0" t="str">
        <f aca="false">IFERROR(INDEX('Mov Entradas (Rel 10497)'!$L:$L,MATCH(AC1697,'Mov Entradas (Rel 10497)'!$I:$I,0)),"nao encontrado")</f>
        <v>nao encontrado</v>
      </c>
      <c r="AC1697" s="0" t="n">
        <v>1820</v>
      </c>
    </row>
    <row r="1698" customFormat="false" ht="12.75" hidden="false" customHeight="true" outlineLevel="0" collapsed="false">
      <c r="A1698" s="1" t="n">
        <v>3</v>
      </c>
      <c r="B1698" s="16" t="n">
        <v>46203</v>
      </c>
      <c r="C1698" s="16" t="n">
        <v>46259</v>
      </c>
      <c r="D1698" s="1" t="n">
        <v>489</v>
      </c>
      <c r="E1698" s="1" t="s">
        <v>182</v>
      </c>
      <c r="F1698" s="1" t="n">
        <v>2</v>
      </c>
      <c r="G1698" s="1" t="s">
        <v>484</v>
      </c>
      <c r="H1698" s="1" t="n">
        <v>2110405</v>
      </c>
      <c r="I1698" s="1" t="s">
        <v>35</v>
      </c>
      <c r="J1698" s="1" t="n">
        <v>1334126</v>
      </c>
      <c r="L1698" s="1" t="n">
        <v>208374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101.12</v>
      </c>
      <c r="W1698" s="1" t="n">
        <v>0</v>
      </c>
      <c r="X1698" s="1" t="s">
        <v>1702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46227</v>
      </c>
      <c r="C1699" s="16" t="n">
        <v>46259</v>
      </c>
      <c r="D1699" s="1" t="n">
        <v>1713</v>
      </c>
      <c r="E1699" s="1" t="s">
        <v>1703</v>
      </c>
      <c r="F1699" s="1" t="n">
        <v>59</v>
      </c>
      <c r="G1699" s="1" t="s">
        <v>1255</v>
      </c>
      <c r="H1699" s="1" t="n">
        <v>2110405</v>
      </c>
      <c r="I1699" s="1" t="s">
        <v>35</v>
      </c>
      <c r="J1699" s="1" t="n">
        <v>1448483</v>
      </c>
      <c r="L1699" s="1" t="n">
        <v>13720</v>
      </c>
      <c r="M1699" s="1" t="s">
        <v>45</v>
      </c>
      <c r="N1699" s="1" t="s">
        <v>37</v>
      </c>
      <c r="P1699" s="1" t="n">
        <v>167</v>
      </c>
      <c r="Q1699" s="1" t="s">
        <v>102</v>
      </c>
      <c r="R1699" s="1" t="s">
        <v>39</v>
      </c>
      <c r="S1699" s="1" t="n">
        <v>4210227</v>
      </c>
      <c r="T1699" s="1" t="s">
        <v>197</v>
      </c>
      <c r="U1699" s="18" t="n">
        <v>51</v>
      </c>
      <c r="W1699" s="1" t="n">
        <v>0</v>
      </c>
      <c r="X1699" s="1" t="s">
        <v>1704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0" t="str">
        <f aca="false">IFERROR(INDEX('Mov Entradas (Rel 10497)'!$L:$L,MATCH(AC1699,'Mov Entradas (Rel 10497)'!$I:$I,0)),"nao encontrado")</f>
        <v>CAIXA ROHDBOX 190X150X90MM CINZA T.OPACA</v>
      </c>
      <c r="AC1699" s="0" t="n">
        <v>13720</v>
      </c>
    </row>
    <row r="1700" customFormat="false" ht="12.75" hidden="false" customHeight="true" outlineLevel="0" collapsed="false">
      <c r="A1700" s="1" t="n">
        <v>3</v>
      </c>
      <c r="B1700" s="16" t="n">
        <v>46226</v>
      </c>
      <c r="C1700" s="16" t="n">
        <v>46259</v>
      </c>
      <c r="D1700" s="1" t="n">
        <v>1713</v>
      </c>
      <c r="E1700" s="1" t="s">
        <v>1703</v>
      </c>
      <c r="F1700" s="1" t="n">
        <v>59</v>
      </c>
      <c r="G1700" s="1" t="s">
        <v>1255</v>
      </c>
      <c r="H1700" s="1" t="n">
        <v>2110405</v>
      </c>
      <c r="I1700" s="1" t="s">
        <v>35</v>
      </c>
      <c r="J1700" s="1" t="n">
        <v>1448520</v>
      </c>
      <c r="L1700" s="1" t="n">
        <v>225450</v>
      </c>
      <c r="M1700" s="1" t="s">
        <v>45</v>
      </c>
      <c r="N1700" s="1" t="s">
        <v>37</v>
      </c>
      <c r="P1700" s="1" t="n">
        <v>167</v>
      </c>
      <c r="Q1700" s="1" t="s">
        <v>102</v>
      </c>
      <c r="R1700" s="1" t="s">
        <v>39</v>
      </c>
      <c r="S1700" s="1" t="n">
        <v>4210227</v>
      </c>
      <c r="T1700" s="1" t="s">
        <v>197</v>
      </c>
      <c r="U1700" s="18" t="n">
        <v>66</v>
      </c>
      <c r="W1700" s="1" t="n">
        <v>0</v>
      </c>
      <c r="X1700" s="1" t="s">
        <v>1705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46205</v>
      </c>
      <c r="C1701" s="16" t="n">
        <v>46259</v>
      </c>
      <c r="D1701" s="1" t="n">
        <v>663</v>
      </c>
      <c r="E1701" s="1" t="s">
        <v>613</v>
      </c>
      <c r="F1701" s="1" t="n">
        <v>59</v>
      </c>
      <c r="G1701" s="1" t="s">
        <v>1255</v>
      </c>
      <c r="H1701" s="1" t="n">
        <v>1110204</v>
      </c>
      <c r="I1701" s="1" t="s">
        <v>204</v>
      </c>
      <c r="J1701" s="1" t="n">
        <v>1465232</v>
      </c>
      <c r="L1701" s="1" t="n">
        <v>227948</v>
      </c>
      <c r="M1701" s="1" t="s">
        <v>45</v>
      </c>
      <c r="N1701" s="1" t="s">
        <v>37</v>
      </c>
      <c r="P1701" s="1" t="n">
        <v>167</v>
      </c>
      <c r="Q1701" s="1" t="s">
        <v>102</v>
      </c>
      <c r="R1701" s="1" t="s">
        <v>39</v>
      </c>
      <c r="S1701" s="1" t="n">
        <v>4210227</v>
      </c>
      <c r="T1701" s="1" t="s">
        <v>197</v>
      </c>
      <c r="U1701" s="18" t="n">
        <v>93.33</v>
      </c>
      <c r="W1701" s="1" t="n">
        <v>0</v>
      </c>
      <c r="X1701" s="1" t="s">
        <v>1706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46231</v>
      </c>
      <c r="C1702" s="16" t="n">
        <v>46259</v>
      </c>
      <c r="D1702" s="1" t="n">
        <v>1740</v>
      </c>
      <c r="E1702" s="1" t="s">
        <v>171</v>
      </c>
      <c r="F1702" s="1" t="n">
        <v>24</v>
      </c>
      <c r="G1702" s="1" t="s">
        <v>43</v>
      </c>
      <c r="H1702" s="1" t="n">
        <v>1110204</v>
      </c>
      <c r="I1702" s="1" t="s">
        <v>204</v>
      </c>
      <c r="J1702" s="1" t="n">
        <v>1468609</v>
      </c>
      <c r="L1702" s="1" t="n">
        <v>12522443</v>
      </c>
      <c r="M1702" s="1" t="s">
        <v>45</v>
      </c>
      <c r="N1702" s="1" t="s">
        <v>37</v>
      </c>
      <c r="P1702" s="1" t="n">
        <v>167</v>
      </c>
      <c r="Q1702" s="1" t="s">
        <v>102</v>
      </c>
      <c r="R1702" s="1" t="s">
        <v>47</v>
      </c>
      <c r="S1702" s="1" t="n">
        <v>1130101</v>
      </c>
      <c r="T1702" s="1" t="s">
        <v>48</v>
      </c>
      <c r="U1702" s="18" t="n">
        <v>676.45</v>
      </c>
      <c r="W1702" s="1" t="n">
        <v>0</v>
      </c>
      <c r="X1702" s="1" t="s">
        <v>1707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0" t="str">
        <f aca="false">IFERROR(INDEX('Mov Entradas (Rel 10497)'!$L:$L,MATCH(AC1702,'Mov Entradas (Rel 10497)'!$I:$I,0)),"nao encontrado")</f>
        <v>LINGUI DE FRANGO KG</v>
      </c>
      <c r="AC1702" s="0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46231</v>
      </c>
      <c r="C1703" s="16" t="n">
        <v>46259</v>
      </c>
      <c r="D1703" s="1" t="n">
        <v>875</v>
      </c>
      <c r="E1703" s="1" t="s">
        <v>632</v>
      </c>
      <c r="F1703" s="1" t="n">
        <v>59</v>
      </c>
      <c r="G1703" s="1" t="s">
        <v>1255</v>
      </c>
      <c r="H1703" s="1" t="n">
        <v>1110204</v>
      </c>
      <c r="I1703" s="1" t="s">
        <v>204</v>
      </c>
      <c r="J1703" s="1" t="n">
        <v>1472834</v>
      </c>
      <c r="L1703" s="1" t="n">
        <v>18871</v>
      </c>
      <c r="M1703" s="1" t="s">
        <v>45</v>
      </c>
      <c r="N1703" s="1" t="s">
        <v>37</v>
      </c>
      <c r="P1703" s="1" t="n">
        <v>167</v>
      </c>
      <c r="Q1703" s="1" t="s">
        <v>102</v>
      </c>
      <c r="R1703" s="1" t="s">
        <v>47</v>
      </c>
      <c r="S1703" s="1" t="n">
        <v>1130101</v>
      </c>
      <c r="T1703" s="1" t="s">
        <v>48</v>
      </c>
      <c r="U1703" s="18" t="n">
        <v>1615.17</v>
      </c>
      <c r="W1703" s="1" t="n">
        <v>0</v>
      </c>
      <c r="X1703" s="1" t="s">
        <v>1708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0" t="str">
        <f aca="false">IFERROR(INDEX('Mov Entradas (Rel 10497)'!$L:$L,MATCH(AC1703,'Mov Entradas (Rel 10497)'!$I:$I,0)),"nao encontrado")</f>
        <v>FONE OUVIDO BASIKE F</v>
      </c>
      <c r="AC1703" s="0" t="n">
        <v>1887</v>
      </c>
    </row>
    <row r="1704" customFormat="false" ht="12.75" hidden="false" customHeight="true" outlineLevel="0" collapsed="false">
      <c r="A1704" s="1" t="n">
        <v>3</v>
      </c>
      <c r="B1704" s="16" t="n">
        <v>46233</v>
      </c>
      <c r="C1704" s="16" t="n">
        <v>46259</v>
      </c>
      <c r="D1704" s="1" t="n">
        <v>1895</v>
      </c>
      <c r="E1704" s="1" t="s">
        <v>160</v>
      </c>
      <c r="F1704" s="1" t="n">
        <v>59</v>
      </c>
      <c r="G1704" s="1" t="s">
        <v>1255</v>
      </c>
      <c r="H1704" s="1" t="n">
        <v>1110204</v>
      </c>
      <c r="I1704" s="1" t="s">
        <v>204</v>
      </c>
      <c r="J1704" s="1" t="n">
        <v>1474066</v>
      </c>
      <c r="L1704" s="1" t="n">
        <v>229268</v>
      </c>
      <c r="M1704" s="1" t="s">
        <v>45</v>
      </c>
      <c r="N1704" s="1" t="s">
        <v>37</v>
      </c>
      <c r="P1704" s="1" t="n">
        <v>167</v>
      </c>
      <c r="Q1704" s="1" t="s">
        <v>102</v>
      </c>
      <c r="R1704" s="1" t="s">
        <v>39</v>
      </c>
      <c r="S1704" s="1" t="n">
        <v>4210299</v>
      </c>
      <c r="T1704" s="1" t="s">
        <v>1082</v>
      </c>
      <c r="U1704" s="18" t="n">
        <v>271.84</v>
      </c>
      <c r="W1704" s="1" t="n">
        <v>0</v>
      </c>
      <c r="X1704" s="1" t="s">
        <v>1709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0" t="str">
        <f aca="false">IFERROR(INDEX('Mov Entradas (Rel 10497)'!$L:$L,MATCH(AC1704,'Mov Entradas (Rel 10497)'!$I:$I,0)),"nao encontrado")</f>
        <v>BANDEJA B1 BRANCA C/</v>
      </c>
      <c r="AC1704" s="0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46237</v>
      </c>
      <c r="C1705" s="16" t="n">
        <v>46259</v>
      </c>
      <c r="D1705" s="1" t="n">
        <v>10101</v>
      </c>
      <c r="E1705" s="1" t="s">
        <v>1710</v>
      </c>
      <c r="F1705" s="1" t="n">
        <v>59</v>
      </c>
      <c r="G1705" s="1" t="s">
        <v>1255</v>
      </c>
      <c r="H1705" s="1" t="n">
        <v>1110204</v>
      </c>
      <c r="I1705" s="1" t="s">
        <v>204</v>
      </c>
      <c r="J1705" s="1" t="n">
        <v>1498488</v>
      </c>
      <c r="L1705" s="1" t="n">
        <v>232737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39</v>
      </c>
      <c r="S1705" s="1" t="n">
        <v>4210227</v>
      </c>
      <c r="T1705" s="1" t="s">
        <v>197</v>
      </c>
      <c r="U1705" s="18" t="n">
        <v>256.8</v>
      </c>
      <c r="W1705" s="1" t="n">
        <v>0</v>
      </c>
      <c r="X1705" s="1" t="s">
        <v>1711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0" t="str">
        <f aca="false">IFERROR(INDEX('Mov Entradas (Rel 10497)'!$L:$L,MATCH(AC1705,'Mov Entradas (Rel 10497)'!$I:$I,0)),"nao encontrado")</f>
        <v>AR COND 10000 MIDEA QCL108BB 127V</v>
      </c>
      <c r="AC1705" s="0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46238</v>
      </c>
      <c r="C1706" s="16" t="n">
        <v>46259</v>
      </c>
      <c r="D1706" s="1" t="n">
        <v>1656</v>
      </c>
      <c r="E1706" s="1" t="s">
        <v>262</v>
      </c>
      <c r="F1706" s="1" t="n">
        <v>24</v>
      </c>
      <c r="G1706" s="1" t="s">
        <v>43</v>
      </c>
      <c r="H1706" s="1" t="n">
        <v>1110204</v>
      </c>
      <c r="I1706" s="1" t="s">
        <v>204</v>
      </c>
      <c r="J1706" s="1" t="n">
        <v>1499223</v>
      </c>
      <c r="L1706" s="1" t="n">
        <v>2245512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47</v>
      </c>
      <c r="S1706" s="1" t="n">
        <v>1130101</v>
      </c>
      <c r="T1706" s="1" t="s">
        <v>48</v>
      </c>
      <c r="U1706" s="18" t="n">
        <v>358.74</v>
      </c>
      <c r="W1706" s="1" t="n">
        <v>0</v>
      </c>
      <c r="X1706" s="1" t="s">
        <v>1712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0" t="str">
        <f aca="false">IFERROR(INDEX('Mov Entradas (Rel 10497)'!$L:$L,MATCH(AC1706,'Mov Entradas (Rel 10497)'!$I:$I,0)),"nao encontrado")</f>
        <v>-KETCHUP TRADICIONAL</v>
      </c>
      <c r="AC1706" s="0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46238</v>
      </c>
      <c r="C1707" s="16" t="n">
        <v>46259</v>
      </c>
      <c r="D1707" s="1" t="n">
        <v>1185</v>
      </c>
      <c r="E1707" s="1" t="s">
        <v>168</v>
      </c>
      <c r="F1707" s="1" t="n">
        <v>24</v>
      </c>
      <c r="G1707" s="1" t="s">
        <v>43</v>
      </c>
      <c r="H1707" s="1" t="n">
        <v>1110204</v>
      </c>
      <c r="I1707" s="1" t="s">
        <v>204</v>
      </c>
      <c r="J1707" s="1" t="n">
        <v>1500196</v>
      </c>
      <c r="L1707" s="1" t="n">
        <v>3932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47</v>
      </c>
      <c r="S1707" s="1" t="n">
        <v>1130101</v>
      </c>
      <c r="T1707" s="1" t="s">
        <v>48</v>
      </c>
      <c r="U1707" s="18" t="n">
        <v>768</v>
      </c>
      <c r="W1707" s="1" t="n">
        <v>0</v>
      </c>
      <c r="X1707" s="1" t="s">
        <v>1713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0" t="str">
        <f aca="false">IFERROR(INDEX('Mov Entradas (Rel 10497)'!$L:$L,MATCH(AC1707,'Mov Entradas (Rel 10497)'!$I:$I,0)),"nao encontrado")</f>
        <v>MILHO P/ PIPOCA 200G</v>
      </c>
      <c r="AC1707" s="0" t="n">
        <v>393</v>
      </c>
    </row>
    <row r="1708" customFormat="false" ht="12.75" hidden="false" customHeight="true" outlineLevel="0" collapsed="false">
      <c r="A1708" s="1" t="n">
        <v>3</v>
      </c>
      <c r="B1708" s="16" t="n">
        <v>46238</v>
      </c>
      <c r="C1708" s="16" t="n">
        <v>46259</v>
      </c>
      <c r="D1708" s="1" t="n">
        <v>1701</v>
      </c>
      <c r="E1708" s="1" t="s">
        <v>1266</v>
      </c>
      <c r="F1708" s="1" t="n">
        <v>24</v>
      </c>
      <c r="G1708" s="1" t="s">
        <v>43</v>
      </c>
      <c r="H1708" s="1" t="n">
        <v>1110204</v>
      </c>
      <c r="I1708" s="1" t="s">
        <v>204</v>
      </c>
      <c r="J1708" s="1" t="n">
        <v>1504092</v>
      </c>
      <c r="L1708" s="1" t="n">
        <v>143793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47</v>
      </c>
      <c r="S1708" s="1" t="n">
        <v>1130101</v>
      </c>
      <c r="T1708" s="1" t="s">
        <v>48</v>
      </c>
      <c r="U1708" s="18" t="n">
        <v>432.97</v>
      </c>
      <c r="W1708" s="1" t="n">
        <v>0</v>
      </c>
      <c r="X1708" s="1" t="s">
        <v>1714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0" t="str">
        <f aca="false">IFERROR(INDEX('Mov Entradas (Rel 10497)'!$L:$L,MATCH(AC1708,'Mov Entradas (Rel 10497)'!$I:$I,0)),"nao encontrado")</f>
        <v>TRIGO D MARIA C/FERM 1KG</v>
      </c>
      <c r="AC1708" s="0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46238</v>
      </c>
      <c r="C1709" s="16" t="n">
        <v>46259</v>
      </c>
      <c r="D1709" s="1" t="n">
        <v>1745</v>
      </c>
      <c r="E1709" s="1" t="s">
        <v>594</v>
      </c>
      <c r="F1709" s="1" t="n">
        <v>24</v>
      </c>
      <c r="G1709" s="1" t="s">
        <v>43</v>
      </c>
      <c r="H1709" s="1" t="n">
        <v>2110405</v>
      </c>
      <c r="I1709" s="1" t="s">
        <v>35</v>
      </c>
      <c r="J1709" s="1" t="n">
        <v>1504231</v>
      </c>
      <c r="L1709" s="1" t="n">
        <v>3560052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590.43</v>
      </c>
      <c r="W1709" s="1" t="n">
        <v>0</v>
      </c>
      <c r="X1709" s="1" t="s">
        <v>1715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0" t="str">
        <f aca="false">IFERROR(INDEX('Mov Entradas (Rel 10497)'!$L:$L,MATCH(AC1709,'Mov Entradas (Rel 10497)'!$I:$I,0)),"nao encontrado")</f>
        <v>CAFE KIMINO 250G</v>
      </c>
      <c r="AC1709" s="0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46238</v>
      </c>
      <c r="C1710" s="16" t="n">
        <v>46259</v>
      </c>
      <c r="D1710" s="1" t="n">
        <v>1668</v>
      </c>
      <c r="E1710" s="1" t="s">
        <v>160</v>
      </c>
      <c r="F1710" s="1" t="n">
        <v>24</v>
      </c>
      <c r="G1710" s="1" t="s">
        <v>43</v>
      </c>
      <c r="H1710" s="1" t="n">
        <v>1110204</v>
      </c>
      <c r="I1710" s="1" t="s">
        <v>204</v>
      </c>
      <c r="J1710" s="1" t="n">
        <v>1504245</v>
      </c>
      <c r="L1710" s="1" t="n">
        <v>7455922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1242.27</v>
      </c>
      <c r="W1710" s="1" t="n">
        <v>0</v>
      </c>
      <c r="X1710" s="1" t="s">
        <v>1716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0" t="str">
        <f aca="false">IFERROR(INDEX('Mov Entradas (Rel 10497)'!$L:$L,MATCH(AC1710,'Mov Entradas (Rel 10497)'!$I:$I,0)),"nao encontrado")</f>
        <v>nao encontrado</v>
      </c>
      <c r="AC1710" s="0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46238</v>
      </c>
      <c r="C1711" s="16" t="n">
        <v>46259</v>
      </c>
      <c r="D1711" s="1" t="n">
        <v>1734</v>
      </c>
      <c r="E1711" s="1" t="s">
        <v>126</v>
      </c>
      <c r="F1711" s="1" t="n">
        <v>24</v>
      </c>
      <c r="G1711" s="1" t="s">
        <v>43</v>
      </c>
      <c r="H1711" s="1" t="n">
        <v>2110405</v>
      </c>
      <c r="I1711" s="1" t="s">
        <v>35</v>
      </c>
      <c r="J1711" s="1" t="n">
        <v>1504823</v>
      </c>
      <c r="L1711" s="1" t="n">
        <v>2570042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47</v>
      </c>
      <c r="S1711" s="1" t="n">
        <v>1130101</v>
      </c>
      <c r="T1711" s="1" t="s">
        <v>48</v>
      </c>
      <c r="U1711" s="18" t="n">
        <v>497.23</v>
      </c>
      <c r="W1711" s="1" t="n">
        <v>0</v>
      </c>
      <c r="X1711" s="1" t="s">
        <v>1717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0" t="str">
        <f aca="false">IFERROR(INDEX('Mov Entradas (Rel 10497)'!$L:$L,MATCH(AC1711,'Mov Entradas (Rel 10497)'!$I:$I,0)),"nao encontrado")</f>
        <v>PICOLE BRIGAD TOYA</v>
      </c>
      <c r="AC1711" s="0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46245</v>
      </c>
      <c r="C1712" s="16" t="n">
        <v>46259</v>
      </c>
      <c r="D1712" s="1" t="n">
        <v>1804</v>
      </c>
      <c r="E1712" s="1" t="s">
        <v>701</v>
      </c>
      <c r="F1712" s="1" t="n">
        <v>24</v>
      </c>
      <c r="G1712" s="1" t="s">
        <v>43</v>
      </c>
      <c r="H1712" s="1" t="n">
        <v>2110405</v>
      </c>
      <c r="I1712" s="1" t="s">
        <v>35</v>
      </c>
      <c r="J1712" s="1" t="n">
        <v>1531960</v>
      </c>
      <c r="L1712" s="1" t="n">
        <v>337571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47</v>
      </c>
      <c r="S1712" s="1" t="n">
        <v>1130101</v>
      </c>
      <c r="T1712" s="1" t="s">
        <v>48</v>
      </c>
      <c r="U1712" s="18" t="n">
        <v>879.73</v>
      </c>
      <c r="W1712" s="1" t="n">
        <v>0</v>
      </c>
      <c r="X1712" s="1" t="s">
        <v>1718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0" t="str">
        <f aca="false">IFERROR(INDEX('Mov Entradas (Rel 10497)'!$L:$L,MATCH(AC1712,'Mov Entradas (Rel 10497)'!$I:$I,0)),"nao encontrado")</f>
        <v>FRALDA PANDA G 07UN</v>
      </c>
      <c r="AC1712" s="0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46244</v>
      </c>
      <c r="C1713" s="16" t="n">
        <v>46259</v>
      </c>
      <c r="D1713" s="1" t="n">
        <v>1616</v>
      </c>
      <c r="E1713" s="1" t="s">
        <v>699</v>
      </c>
      <c r="F1713" s="1" t="n">
        <v>24</v>
      </c>
      <c r="G1713" s="1" t="s">
        <v>43</v>
      </c>
      <c r="H1713" s="1" t="n">
        <v>2110405</v>
      </c>
      <c r="I1713" s="1" t="s">
        <v>35</v>
      </c>
      <c r="J1713" s="1" t="n">
        <v>1536928</v>
      </c>
      <c r="L1713" s="1" t="n">
        <v>6540771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311.49</v>
      </c>
      <c r="W1713" s="1" t="n">
        <v>0</v>
      </c>
      <c r="X1713" s="1" t="s">
        <v>1719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0" t="str">
        <f aca="false">IFERROR(INDEX('Mov Entradas (Rel 10497)'!$L:$L,MATCH(AC1713,'Mov Entradas (Rel 10497)'!$I:$I,0)),"nao encontrado")</f>
        <v>CONF ROCKLETS 40G</v>
      </c>
      <c r="AC1713" s="0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46245</v>
      </c>
      <c r="C1714" s="16" t="n">
        <v>46259</v>
      </c>
      <c r="D1714" s="1" t="n">
        <v>1723</v>
      </c>
      <c r="E1714" s="1" t="s">
        <v>77</v>
      </c>
      <c r="F1714" s="1" t="n">
        <v>24</v>
      </c>
      <c r="G1714" s="1" t="s">
        <v>43</v>
      </c>
      <c r="H1714" s="1" t="n">
        <v>2110405</v>
      </c>
      <c r="I1714" s="1" t="s">
        <v>35</v>
      </c>
      <c r="J1714" s="1" t="n">
        <v>1536996</v>
      </c>
      <c r="L1714" s="1" t="n">
        <v>592462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981.6</v>
      </c>
      <c r="W1714" s="1" t="n">
        <v>0</v>
      </c>
      <c r="X1714" s="1" t="s">
        <v>1720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0" t="str">
        <f aca="false">IFERROR(INDEX('Mov Entradas (Rel 10497)'!$L:$L,MATCH(AC1714,'Mov Entradas (Rel 10497)'!$I:$I,0)),"nao encontrado")</f>
        <v>TRASEIRO DE BOI L1</v>
      </c>
      <c r="AC1714" s="0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46245</v>
      </c>
      <c r="C1715" s="16" t="n">
        <v>46259</v>
      </c>
      <c r="D1715" s="1" t="n">
        <v>1734</v>
      </c>
      <c r="E1715" s="1" t="s">
        <v>126</v>
      </c>
      <c r="F1715" s="1" t="n">
        <v>24</v>
      </c>
      <c r="G1715" s="1" t="s">
        <v>43</v>
      </c>
      <c r="H1715" s="1" t="n">
        <v>2110405</v>
      </c>
      <c r="I1715" s="1" t="s">
        <v>35</v>
      </c>
      <c r="J1715" s="1" t="n">
        <v>1537294</v>
      </c>
      <c r="L1715" s="1" t="n">
        <v>2575212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449.9</v>
      </c>
      <c r="W1715" s="1" t="n">
        <v>0</v>
      </c>
      <c r="X1715" s="1" t="s">
        <v>1721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0" t="str">
        <f aca="false">IFERROR(INDEX('Mov Entradas (Rel 10497)'!$L:$L,MATCH(AC1715,'Mov Entradas (Rel 10497)'!$I:$I,0)),"nao encontrado")</f>
        <v>SORVETE 2 LTS ACAI E</v>
      </c>
      <c r="AC1715" s="0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46244</v>
      </c>
      <c r="C1716" s="16" t="n">
        <v>46259</v>
      </c>
      <c r="D1716" s="1" t="n">
        <v>1636</v>
      </c>
      <c r="E1716" s="1" t="s">
        <v>50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1540558</v>
      </c>
      <c r="L1716" s="1" t="n">
        <v>32349331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419.94</v>
      </c>
      <c r="W1716" s="1" t="n">
        <v>0</v>
      </c>
      <c r="X1716" s="1" t="s">
        <v>1722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0" t="str">
        <f aca="false">IFERROR(INDEX('Mov Entradas (Rel 10497)'!$L:$L,MATCH(AC1716,'Mov Entradas (Rel 10497)'!$I:$I,0)),"nao encontrado")</f>
        <v>AZEITE MARIA TRAD. 5</v>
      </c>
      <c r="AC1716" s="0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46244</v>
      </c>
      <c r="C1717" s="16" t="n">
        <v>46259</v>
      </c>
      <c r="D1717" s="1" t="n">
        <v>1636</v>
      </c>
      <c r="E1717" s="1" t="s">
        <v>50</v>
      </c>
      <c r="F1717" s="1" t="n">
        <v>24</v>
      </c>
      <c r="G1717" s="1" t="s">
        <v>43</v>
      </c>
      <c r="H1717" s="1" t="n">
        <v>2110405</v>
      </c>
      <c r="I1717" s="1" t="s">
        <v>35</v>
      </c>
      <c r="J1717" s="1" t="n">
        <v>1540564</v>
      </c>
      <c r="L1717" s="1" t="n">
        <v>32349321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191.26</v>
      </c>
      <c r="W1717" s="1" t="n">
        <v>0</v>
      </c>
      <c r="X1717" s="1" t="s">
        <v>1723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0" t="str">
        <f aca="false">IFERROR(INDEX('Mov Entradas (Rel 10497)'!$L:$L,MATCH(AC1717,'Mov Entradas (Rel 10497)'!$I:$I,0)),"nao encontrado")</f>
        <v>DETE.LOUCA MINUANO M</v>
      </c>
      <c r="AC1717" s="0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46247</v>
      </c>
      <c r="C1718" s="16" t="n">
        <v>46259</v>
      </c>
      <c r="D1718" s="1" t="n">
        <v>42</v>
      </c>
      <c r="E1718" s="1" t="s">
        <v>81</v>
      </c>
      <c r="F1718" s="1" t="n">
        <v>34</v>
      </c>
      <c r="G1718" s="1" t="s">
        <v>34</v>
      </c>
      <c r="H1718" s="1" t="n">
        <v>2110101</v>
      </c>
      <c r="I1718" s="1" t="s">
        <v>44</v>
      </c>
      <c r="J1718" s="1" t="n">
        <v>1540694</v>
      </c>
      <c r="L1718" s="1" t="n">
        <v>4494</v>
      </c>
      <c r="M1718" s="1" t="s">
        <v>151</v>
      </c>
      <c r="N1718" s="1" t="s">
        <v>70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940</v>
      </c>
      <c r="W1718" s="1" t="n">
        <v>0</v>
      </c>
      <c r="X1718" s="1" t="s">
        <v>1325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46251</v>
      </c>
      <c r="C1719" s="16" t="n">
        <v>46259</v>
      </c>
      <c r="D1719" s="1" t="n">
        <v>489</v>
      </c>
      <c r="E1719" s="1" t="s">
        <v>182</v>
      </c>
      <c r="F1719" s="1" t="n">
        <v>34</v>
      </c>
      <c r="G1719" s="1" t="s">
        <v>34</v>
      </c>
      <c r="H1719" s="1" t="n">
        <v>2110405</v>
      </c>
      <c r="I1719" s="1" t="s">
        <v>35</v>
      </c>
      <c r="J1719" s="1" t="n">
        <v>1562189</v>
      </c>
      <c r="L1719" s="1" t="n">
        <v>241900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735</v>
      </c>
      <c r="W1719" s="1" t="n">
        <v>0</v>
      </c>
      <c r="X1719" s="1" t="s">
        <v>1724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46252</v>
      </c>
      <c r="C1720" s="16" t="n">
        <v>46259</v>
      </c>
      <c r="D1720" s="1" t="n">
        <v>1625</v>
      </c>
      <c r="E1720" s="1" t="s">
        <v>322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1572672</v>
      </c>
      <c r="L1720" s="1" t="n">
        <v>15086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4624.25</v>
      </c>
      <c r="W1720" s="1" t="n">
        <v>0</v>
      </c>
      <c r="X1720" s="1" t="s">
        <v>1725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0" t="str">
        <f aca="false">IFERROR(INDEX('Mov Entradas (Rel 10497)'!$L:$L,MATCH(AC1720,'Mov Entradas (Rel 10497)'!$I:$I,0)),"nao encontrado")</f>
        <v>TRASEIRO DE BOI L1</v>
      </c>
      <c r="AC1720" s="0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46252</v>
      </c>
      <c r="C1721" s="16" t="n">
        <v>46259</v>
      </c>
      <c r="D1721" s="1" t="n">
        <v>1734</v>
      </c>
      <c r="E1721" s="1" t="s">
        <v>126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1572841</v>
      </c>
      <c r="L1721" s="1" t="n">
        <v>258044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472.03</v>
      </c>
      <c r="W1721" s="1" t="n">
        <v>0</v>
      </c>
      <c r="X1721" s="1" t="s">
        <v>1726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0" t="str">
        <f aca="false">IFERROR(INDEX('Mov Entradas (Rel 10497)'!$L:$L,MATCH(AC1721,'Mov Entradas (Rel 10497)'!$I:$I,0)),"nao encontrado")</f>
        <v>SORVETE 1 LT CHOCOLA</v>
      </c>
      <c r="AC1721" s="0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46231</v>
      </c>
      <c r="C1722" s="16" t="n">
        <v>46260</v>
      </c>
      <c r="D1722" s="1" t="n">
        <v>928</v>
      </c>
      <c r="E1722" s="1" t="s">
        <v>665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1464994</v>
      </c>
      <c r="L1722" s="1" t="n">
        <v>227912</v>
      </c>
      <c r="M1722" s="1" t="s">
        <v>45</v>
      </c>
      <c r="N1722" s="1" t="s">
        <v>37</v>
      </c>
      <c r="P1722" s="1" t="n">
        <v>101</v>
      </c>
      <c r="Q1722" s="1" t="s">
        <v>38</v>
      </c>
      <c r="R1722" s="1" t="s">
        <v>73</v>
      </c>
      <c r="S1722" s="1" t="n">
        <v>421033</v>
      </c>
      <c r="T1722" s="1" t="s">
        <v>666</v>
      </c>
      <c r="U1722" s="18" t="n">
        <v>299.9</v>
      </c>
      <c r="W1722" s="1" t="n">
        <v>0</v>
      </c>
      <c r="X1722" s="1" t="s">
        <v>667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46232</v>
      </c>
      <c r="C1723" s="16" t="n">
        <v>46260</v>
      </c>
      <c r="D1723" s="1" t="n">
        <v>794</v>
      </c>
      <c r="E1723" s="1" t="s">
        <v>153</v>
      </c>
      <c r="F1723" s="1" t="n">
        <v>24</v>
      </c>
      <c r="G1723" s="1" t="s">
        <v>43</v>
      </c>
      <c r="H1723" s="1" t="n">
        <v>1110204</v>
      </c>
      <c r="I1723" s="1" t="s">
        <v>204</v>
      </c>
      <c r="J1723" s="1" t="n">
        <v>1473092</v>
      </c>
      <c r="L1723" s="1" t="n">
        <v>55993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39</v>
      </c>
      <c r="S1723" s="1" t="n">
        <v>4210299</v>
      </c>
      <c r="T1723" s="1" t="s">
        <v>1082</v>
      </c>
      <c r="U1723" s="18" t="n">
        <v>648.14</v>
      </c>
      <c r="W1723" s="1" t="n">
        <v>0</v>
      </c>
      <c r="X1723" s="1" t="s">
        <v>1727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0" t="str">
        <f aca="false">IFERROR(INDEX('Mov Entradas (Rel 10497)'!$L:$L,MATCH(AC1723,'Mov Entradas (Rel 10497)'!$I:$I,0)),"nao encontrado")</f>
        <v>SACOLA DE 3KG</v>
      </c>
      <c r="AC1723" s="0" t="n">
        <v>8514</v>
      </c>
    </row>
    <row r="1724" customFormat="false" ht="12.75" hidden="false" customHeight="true" outlineLevel="0" collapsed="false">
      <c r="A1724" s="1" t="n">
        <v>3</v>
      </c>
      <c r="B1724" s="16" t="n">
        <v>46237</v>
      </c>
      <c r="C1724" s="16" t="n">
        <v>46260</v>
      </c>
      <c r="D1724" s="1" t="n">
        <v>1708</v>
      </c>
      <c r="E1724" s="1" t="s">
        <v>1615</v>
      </c>
      <c r="F1724" s="1" t="n">
        <v>24</v>
      </c>
      <c r="G1724" s="1" t="s">
        <v>43</v>
      </c>
      <c r="H1724" s="1" t="n">
        <v>1110204</v>
      </c>
      <c r="I1724" s="1" t="s">
        <v>204</v>
      </c>
      <c r="J1724" s="1" t="n">
        <v>1500068</v>
      </c>
      <c r="L1724" s="1" t="n">
        <v>2646962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260.45</v>
      </c>
      <c r="W1724" s="1" t="n">
        <v>0</v>
      </c>
      <c r="X1724" s="1" t="s">
        <v>1728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0" t="str">
        <f aca="false">IFERROR(INDEX('Mov Entradas (Rel 10497)'!$L:$L,MATCH(AC1724,'Mov Entradas (Rel 10497)'!$I:$I,0)),"nao encontrado")</f>
        <v>FINI BEIJOS MORANGO 90G</v>
      </c>
      <c r="AC1724" s="0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46239</v>
      </c>
      <c r="C1725" s="16" t="n">
        <v>46260</v>
      </c>
      <c r="D1725" s="1" t="n">
        <v>1740</v>
      </c>
      <c r="E1725" s="1" t="s">
        <v>171</v>
      </c>
      <c r="F1725" s="1" t="n">
        <v>24</v>
      </c>
      <c r="G1725" s="1" t="s">
        <v>43</v>
      </c>
      <c r="H1725" s="1" t="n">
        <v>2110405</v>
      </c>
      <c r="I1725" s="1" t="s">
        <v>35</v>
      </c>
      <c r="J1725" s="1" t="n">
        <v>1504741</v>
      </c>
      <c r="L1725" s="1" t="n">
        <v>12556062</v>
      </c>
      <c r="M1725" s="1" t="s">
        <v>45</v>
      </c>
      <c r="N1725" s="1" t="s">
        <v>37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771.86</v>
      </c>
      <c r="W1725" s="1" t="n">
        <v>0</v>
      </c>
      <c r="X1725" s="1" t="s">
        <v>1729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0" t="str">
        <f aca="false">IFERROR(INDEX('Mov Entradas (Rel 10497)'!$L:$L,MATCH(AC1725,'Mov Entradas (Rel 10497)'!$I:$I,0)),"nao encontrado")</f>
        <v>nao encontrado</v>
      </c>
      <c r="AC1725" s="0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46245</v>
      </c>
      <c r="C1726" s="16" t="n">
        <v>46260</v>
      </c>
      <c r="D1726" s="1" t="n">
        <v>1024</v>
      </c>
      <c r="E1726" s="1" t="s">
        <v>162</v>
      </c>
      <c r="F1726" s="1" t="n">
        <v>24</v>
      </c>
      <c r="G1726" s="1" t="s">
        <v>43</v>
      </c>
      <c r="H1726" s="1" t="n">
        <v>2110405</v>
      </c>
      <c r="I1726" s="1" t="s">
        <v>35</v>
      </c>
      <c r="J1726" s="1" t="n">
        <v>1537094</v>
      </c>
      <c r="L1726" s="1" t="n">
        <v>6205702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222</v>
      </c>
      <c r="W1726" s="1" t="n">
        <v>0</v>
      </c>
      <c r="X1726" s="1" t="s">
        <v>1730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0" t="str">
        <f aca="false">IFERROR(INDEX('Mov Entradas (Rel 10497)'!$L:$L,MATCH(AC1726,'Mov Entradas (Rel 10497)'!$I:$I,0)),"nao encontrado")</f>
        <v>REAL CLASSICO 2L PET</v>
      </c>
      <c r="AC1726" s="0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46246</v>
      </c>
      <c r="C1727" s="16" t="n">
        <v>46260</v>
      </c>
      <c r="D1727" s="1" t="n">
        <v>1678</v>
      </c>
      <c r="E1727" s="1" t="s">
        <v>191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1542835</v>
      </c>
      <c r="L1727" s="1" t="n">
        <v>2594221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545.13</v>
      </c>
      <c r="W1727" s="1" t="n">
        <v>0</v>
      </c>
      <c r="X1727" s="1" t="s">
        <v>1731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0" t="str">
        <f aca="false">IFERROR(INDEX('Mov Entradas (Rel 10497)'!$L:$L,MATCH(AC1727,'Mov Entradas (Rel 10497)'!$I:$I,0)),"nao encontrado")</f>
        <v>DES CREM EX-SET FLOR</v>
      </c>
      <c r="AC1727" s="0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46240</v>
      </c>
      <c r="C1728" s="16" t="n">
        <v>46260</v>
      </c>
      <c r="D1728" s="1" t="n">
        <v>1672</v>
      </c>
      <c r="E1728" s="1" t="s">
        <v>68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1542915</v>
      </c>
      <c r="L1728" s="1" t="n">
        <v>14173192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362.5</v>
      </c>
      <c r="W1728" s="1" t="n">
        <v>0</v>
      </c>
      <c r="X1728" s="1" t="s">
        <v>1732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0" t="str">
        <f aca="false">IFERROR(INDEX('Mov Entradas (Rel 10497)'!$L:$L,MATCH(AC1728,'Mov Entradas (Rel 10497)'!$I:$I,0)),"nao encontrado")</f>
        <v>AGUAYARA GALAO 20L</v>
      </c>
      <c r="AC1728" s="0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46246</v>
      </c>
      <c r="C1729" s="16" t="n">
        <v>46260</v>
      </c>
      <c r="D1729" s="1" t="n">
        <v>10048</v>
      </c>
      <c r="E1729" s="1" t="s">
        <v>1625</v>
      </c>
      <c r="F1729" s="1" t="n">
        <v>24</v>
      </c>
      <c r="G1729" s="1" t="s">
        <v>43</v>
      </c>
      <c r="H1729" s="1" t="n">
        <v>2110405</v>
      </c>
      <c r="I1729" s="1" t="s">
        <v>35</v>
      </c>
      <c r="J1729" s="1" t="n">
        <v>1543798</v>
      </c>
      <c r="L1729" s="1" t="n">
        <v>30322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401.8</v>
      </c>
      <c r="W1729" s="1" t="n">
        <v>0</v>
      </c>
      <c r="X1729" s="1" t="s">
        <v>1733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0" t="str">
        <f aca="false">IFERROR(INDEX('Mov Entradas (Rel 10497)'!$L:$L,MATCH(AC1729,'Mov Entradas (Rel 10497)'!$I:$I,0)),"nao encontrado")</f>
        <v>LEITE ITALAC DESN 1L</v>
      </c>
      <c r="AC1729" s="0" t="n">
        <v>3032</v>
      </c>
    </row>
    <row r="1730" customFormat="false" ht="12.75" hidden="false" customHeight="true" outlineLevel="0" collapsed="false">
      <c r="A1730" s="1" t="n">
        <v>3</v>
      </c>
      <c r="B1730" s="16" t="n">
        <v>46248</v>
      </c>
      <c r="C1730" s="16" t="n">
        <v>46260</v>
      </c>
      <c r="D1730" s="1" t="n">
        <v>1613</v>
      </c>
      <c r="E1730" s="1" t="s">
        <v>178</v>
      </c>
      <c r="F1730" s="1" t="n">
        <v>24</v>
      </c>
      <c r="G1730" s="1" t="s">
        <v>43</v>
      </c>
      <c r="H1730" s="1" t="n">
        <v>2110405</v>
      </c>
      <c r="I1730" s="1" t="s">
        <v>35</v>
      </c>
      <c r="J1730" s="1" t="n">
        <v>1552196</v>
      </c>
      <c r="L1730" s="1" t="n">
        <v>16193432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1120.17</v>
      </c>
      <c r="W1730" s="1" t="n">
        <v>0</v>
      </c>
      <c r="X1730" s="1" t="s">
        <v>1734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0" t="str">
        <f aca="false">IFERROR(INDEX('Mov Entradas (Rel 10497)'!$L:$L,MATCH(AC1730,'Mov Entradas (Rel 10497)'!$I:$I,0)),"nao encontrado")</f>
        <v>CARRE SUINO KG</v>
      </c>
      <c r="AC1730" s="0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46246</v>
      </c>
      <c r="C1731" s="16" t="n">
        <v>46260</v>
      </c>
      <c r="D1731" s="1" t="n">
        <v>10048</v>
      </c>
      <c r="E1731" s="1" t="s">
        <v>1625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1566330</v>
      </c>
      <c r="L1731" s="1" t="n">
        <v>30172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482.73</v>
      </c>
      <c r="W1731" s="1" t="n">
        <v>0</v>
      </c>
      <c r="X1731" s="1" t="s">
        <v>1735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0" t="str">
        <f aca="false">IFERROR(INDEX('Mov Entradas (Rel 10497)'!$L:$L,MATCH(AC1731,'Mov Entradas (Rel 10497)'!$I:$I,0)),"nao encontrado")</f>
        <v>NESCAU 200G</v>
      </c>
      <c r="AC1731" s="0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46260</v>
      </c>
      <c r="D1732" s="1" t="n">
        <v>1457</v>
      </c>
      <c r="E1732" s="1" t="s">
        <v>180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1572779</v>
      </c>
      <c r="L1732" s="1" t="n">
        <v>197858236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229.68</v>
      </c>
      <c r="W1732" s="1" t="n">
        <v>0</v>
      </c>
      <c r="X1732" s="1" t="s">
        <v>1736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0" t="str">
        <f aca="false">IFERROR(INDEX('Mov Entradas (Rel 10497)'!$L:$L,MATCH(AC1732,'Mov Entradas (Rel 10497)'!$I:$I,0)),"nao encontrado")</f>
        <v>FRUTAP IOG MOR C/CER</v>
      </c>
      <c r="AC1732" s="0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46252</v>
      </c>
      <c r="C1733" s="16" t="n">
        <v>46260</v>
      </c>
      <c r="D1733" s="1" t="n">
        <v>1645</v>
      </c>
      <c r="E1733" s="1" t="s">
        <v>1737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1572872</v>
      </c>
      <c r="L1733" s="1" t="n">
        <v>142650</v>
      </c>
      <c r="M1733" s="1" t="s">
        <v>45</v>
      </c>
      <c r="N1733" s="1" t="s">
        <v>37</v>
      </c>
      <c r="P1733" s="1" t="n">
        <v>167</v>
      </c>
      <c r="Q1733" s="1" t="s">
        <v>102</v>
      </c>
      <c r="R1733" s="1" t="s">
        <v>47</v>
      </c>
      <c r="S1733" s="1" t="n">
        <v>1130101</v>
      </c>
      <c r="T1733" s="1" t="s">
        <v>48</v>
      </c>
      <c r="U1733" s="18" t="n">
        <v>1030.5</v>
      </c>
      <c r="W1733" s="1" t="n">
        <v>0</v>
      </c>
      <c r="X1733" s="1" t="s">
        <v>1738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0" t="str">
        <f aca="false">IFERROR(INDEX('Mov Entradas (Rel 10497)'!$L:$L,MATCH(AC1733,'Mov Entradas (Rel 10497)'!$I:$I,0)),"nao encontrado")</f>
        <v>BISC AGUA E SAL RAINHA  400G</v>
      </c>
      <c r="AC1733" s="0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46253</v>
      </c>
      <c r="C1734" s="16" t="n">
        <v>46260</v>
      </c>
      <c r="D1734" s="1" t="n">
        <v>1681</v>
      </c>
      <c r="E1734" s="1" t="s">
        <v>1348</v>
      </c>
      <c r="F1734" s="1" t="n">
        <v>24</v>
      </c>
      <c r="G1734" s="1" t="s">
        <v>43</v>
      </c>
      <c r="H1734" s="1" t="n">
        <v>2110405</v>
      </c>
      <c r="I1734" s="1" t="s">
        <v>35</v>
      </c>
      <c r="J1734" s="1" t="n">
        <v>1572969</v>
      </c>
      <c r="L1734" s="1" t="n">
        <v>395041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47</v>
      </c>
      <c r="S1734" s="1" t="n">
        <v>1130101</v>
      </c>
      <c r="T1734" s="1" t="s">
        <v>48</v>
      </c>
      <c r="U1734" s="18" t="n">
        <v>2333.04</v>
      </c>
      <c r="W1734" s="1" t="n">
        <v>0</v>
      </c>
      <c r="X1734" s="1" t="s">
        <v>1739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0" t="str">
        <f aca="false">IFERROR(INDEX('Mov Entradas (Rel 10497)'!$L:$L,MATCH(AC1734,'Mov Entradas (Rel 10497)'!$I:$I,0)),"nao encontrado")</f>
        <v>CAFE STA CLARA TRAD</v>
      </c>
      <c r="AC1734" s="0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46253</v>
      </c>
      <c r="C1735" s="16" t="n">
        <v>46260</v>
      </c>
      <c r="D1735" s="1" t="n">
        <v>10095</v>
      </c>
      <c r="E1735" s="1" t="s">
        <v>1117</v>
      </c>
      <c r="F1735" s="1" t="n">
        <v>24</v>
      </c>
      <c r="G1735" s="1" t="s">
        <v>43</v>
      </c>
      <c r="H1735" s="1" t="n">
        <v>2110405</v>
      </c>
      <c r="I1735" s="1" t="s">
        <v>35</v>
      </c>
      <c r="J1735" s="1" t="n">
        <v>1573193</v>
      </c>
      <c r="L1735" s="1" t="n">
        <v>940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320</v>
      </c>
      <c r="W1735" s="1" t="n">
        <v>0</v>
      </c>
      <c r="X1735" s="1" t="s">
        <v>1740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0" t="str">
        <f aca="false">IFERROR(INDEX('Mov Entradas (Rel 10497)'!$L:$L,MATCH(AC1735,'Mov Entradas (Rel 10497)'!$I:$I,0)),"nao encontrado")</f>
        <v>GELEIA DE FRUTAS FRONTEIRA POTAO 30 UND</v>
      </c>
      <c r="AC1735" s="0" t="n">
        <v>940</v>
      </c>
    </row>
    <row r="1736" customFormat="false" ht="12.75" hidden="false" customHeight="true" outlineLevel="0" collapsed="false">
      <c r="A1736" s="1" t="n">
        <v>3</v>
      </c>
      <c r="B1736" s="16" t="n">
        <v>46230</v>
      </c>
      <c r="C1736" s="16" t="n">
        <v>46261</v>
      </c>
      <c r="D1736" s="1" t="n">
        <v>1715</v>
      </c>
      <c r="E1736" s="1" t="s">
        <v>499</v>
      </c>
      <c r="F1736" s="1" t="n">
        <v>24</v>
      </c>
      <c r="G1736" s="1" t="s">
        <v>43</v>
      </c>
      <c r="H1736" s="1" t="n">
        <v>1110204</v>
      </c>
      <c r="I1736" s="1" t="s">
        <v>204</v>
      </c>
      <c r="J1736" s="1" t="n">
        <v>1458654</v>
      </c>
      <c r="L1736" s="1" t="n">
        <v>1934022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172.25</v>
      </c>
      <c r="W1736" s="1" t="n">
        <v>0</v>
      </c>
      <c r="X1736" s="1" t="s">
        <v>1741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0" t="str">
        <f aca="false">IFERROR(INDEX('Mov Entradas (Rel 10497)'!$L:$L,MATCH(AC1736,'Mov Entradas (Rel 10497)'!$I:$I,0)),"nao encontrado")</f>
        <v>RACAO FRANGO CORTE ABATE - SC 25 KG</v>
      </c>
      <c r="AC1736" s="0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46232</v>
      </c>
      <c r="C1737" s="16" t="n">
        <v>46261</v>
      </c>
      <c r="D1737" s="1" t="n">
        <v>1718</v>
      </c>
      <c r="E1737" s="1" t="s">
        <v>410</v>
      </c>
      <c r="F1737" s="1" t="n">
        <v>24</v>
      </c>
      <c r="G1737" s="1" t="s">
        <v>43</v>
      </c>
      <c r="H1737" s="1" t="n">
        <v>1110204</v>
      </c>
      <c r="I1737" s="1" t="s">
        <v>204</v>
      </c>
      <c r="J1737" s="1" t="n">
        <v>1473787</v>
      </c>
      <c r="L1737" s="1" t="n">
        <v>8101043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1000.46</v>
      </c>
      <c r="W1737" s="1" t="n">
        <v>0</v>
      </c>
      <c r="X1737" s="1" t="s">
        <v>1742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0" t="str">
        <f aca="false">IFERROR(INDEX('Mov Entradas (Rel 10497)'!$L:$L,MATCH(AC1737,'Mov Entradas (Rel 10497)'!$I:$I,0)),"nao encontrado")</f>
        <v>TRIDENT MORANGO</v>
      </c>
      <c r="AC1737" s="0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46239</v>
      </c>
      <c r="C1738" s="16" t="n">
        <v>46261</v>
      </c>
      <c r="D1738" s="1" t="n">
        <v>1612</v>
      </c>
      <c r="E1738" s="1" t="s">
        <v>266</v>
      </c>
      <c r="F1738" s="1" t="n">
        <v>24</v>
      </c>
      <c r="G1738" s="1" t="s">
        <v>43</v>
      </c>
      <c r="H1738" s="1" t="n">
        <v>1110204</v>
      </c>
      <c r="I1738" s="1" t="s">
        <v>204</v>
      </c>
      <c r="J1738" s="1" t="n">
        <v>1504111</v>
      </c>
      <c r="L1738" s="1" t="n">
        <v>23076072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496.59</v>
      </c>
      <c r="W1738" s="1" t="n">
        <v>0</v>
      </c>
      <c r="X1738" s="1" t="s">
        <v>1743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0" t="str">
        <f aca="false">IFERROR(INDEX('Mov Entradas (Rel 10497)'!$L:$L,MATCH(AC1738,'Mov Entradas (Rel 10497)'!$I:$I,0)),"nao encontrado")</f>
        <v>AMENDOIM JAPONES DORI 30G</v>
      </c>
      <c r="AC1738" s="0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46239</v>
      </c>
      <c r="C1739" s="16" t="n">
        <v>46261</v>
      </c>
      <c r="D1739" s="1" t="n">
        <v>1612</v>
      </c>
      <c r="E1739" s="1" t="s">
        <v>266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1504132</v>
      </c>
      <c r="L1739" s="1" t="n">
        <v>23076082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368.38</v>
      </c>
      <c r="W1739" s="1" t="n">
        <v>0</v>
      </c>
      <c r="X1739" s="1" t="s">
        <v>1744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0" t="str">
        <f aca="false">IFERROR(INDEX('Mov Entradas (Rel 10497)'!$L:$L,MATCH(AC1739,'Mov Entradas (Rel 10497)'!$I:$I,0)),"nao encontrado")</f>
        <v>OVO KINDER JOY 20G</v>
      </c>
      <c r="AC1739" s="0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46239</v>
      </c>
      <c r="C1740" s="16" t="n">
        <v>46261</v>
      </c>
      <c r="D1740" s="1" t="n">
        <v>1601</v>
      </c>
      <c r="E1740" s="1" t="s">
        <v>156</v>
      </c>
      <c r="F1740" s="1" t="n">
        <v>24</v>
      </c>
      <c r="G1740" s="1" t="s">
        <v>43</v>
      </c>
      <c r="H1740" s="1" t="n">
        <v>1110204</v>
      </c>
      <c r="I1740" s="1" t="s">
        <v>204</v>
      </c>
      <c r="J1740" s="1" t="n">
        <v>1508055</v>
      </c>
      <c r="L1740" s="1" t="n">
        <v>9610982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477.88</v>
      </c>
      <c r="W1740" s="1" t="n">
        <v>0</v>
      </c>
      <c r="X1740" s="1" t="s">
        <v>1745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0" t="str">
        <f aca="false">IFERROR(INDEX('Mov Entradas (Rel 10497)'!$L:$L,MATCH(AC1740,'Mov Entradas (Rel 10497)'!$I:$I,0)),"nao encontrado")</f>
        <v>TRIGO TRIGOLAR C/F1K</v>
      </c>
      <c r="AC1740" s="0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46240</v>
      </c>
      <c r="C1741" s="16" t="n">
        <v>46261</v>
      </c>
      <c r="D1741" s="1" t="n">
        <v>1107</v>
      </c>
      <c r="E1741" s="1" t="s">
        <v>166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1509631</v>
      </c>
      <c r="L1741" s="1" t="n">
        <v>4383352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984.44</v>
      </c>
      <c r="W1741" s="1" t="n">
        <v>0</v>
      </c>
      <c r="X1741" s="1" t="s">
        <v>1746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0" t="str">
        <f aca="false">IFERROR(INDEX('Mov Entradas (Rel 10497)'!$L:$L,MATCH(AC1741,'Mov Entradas (Rel 10497)'!$I:$I,0)),"nao encontrado")</f>
        <v>BOLINHO MORANGO 7308</v>
      </c>
      <c r="AC1741" s="0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46239</v>
      </c>
      <c r="C1742" s="16" t="n">
        <v>46261</v>
      </c>
      <c r="D1742" s="1" t="n">
        <v>1667</v>
      </c>
      <c r="E1742" s="1" t="s">
        <v>810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1509702</v>
      </c>
      <c r="L1742" s="1" t="n">
        <v>3978883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610.15</v>
      </c>
      <c r="W1742" s="1" t="n">
        <v>0</v>
      </c>
      <c r="X1742" s="1" t="s">
        <v>1747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0" t="str">
        <f aca="false">IFERROR(INDEX('Mov Entradas (Rel 10497)'!$L:$L,MATCH(AC1742,'Mov Entradas (Rel 10497)'!$I:$I,0)),"nao encontrado")</f>
        <v>MILHO PRA PIPOCA DON</v>
      </c>
      <c r="AC1742" s="0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46247</v>
      </c>
      <c r="C1743" s="16" t="n">
        <v>46261</v>
      </c>
      <c r="D1743" s="1" t="n">
        <v>1723</v>
      </c>
      <c r="E1743" s="1" t="s">
        <v>77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1545626</v>
      </c>
      <c r="L1743" s="1" t="n">
        <v>595072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2260.32</v>
      </c>
      <c r="W1743" s="1" t="n">
        <v>0</v>
      </c>
      <c r="X1743" s="1" t="s">
        <v>1748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0" t="str">
        <f aca="false">IFERROR(INDEX('Mov Entradas (Rel 10497)'!$L:$L,MATCH(AC1743,'Mov Entradas (Rel 10497)'!$I:$I,0)),"nao encontrado")</f>
        <v>DIANTEIRO DE BOI L</v>
      </c>
      <c r="AC1743" s="0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46245</v>
      </c>
      <c r="C1744" s="16" t="n">
        <v>46261</v>
      </c>
      <c r="D1744" s="1" t="n">
        <v>1699</v>
      </c>
      <c r="E1744" s="1" t="s">
        <v>61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1537032</v>
      </c>
      <c r="L1744" s="1" t="n">
        <v>3107411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1384</v>
      </c>
      <c r="W1744" s="1" t="n">
        <v>0</v>
      </c>
      <c r="X1744" s="1" t="s">
        <v>1749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0" t="str">
        <f aca="false">IFERROR(INDEX('Mov Entradas (Rel 10497)'!$L:$L,MATCH(AC1744,'Mov Entradas (Rel 10497)'!$I:$I,0)),"nao encontrado")</f>
        <v>LING CALABRESA PERD</v>
      </c>
      <c r="AC1744" s="0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46247</v>
      </c>
      <c r="C1745" s="16" t="n">
        <v>46261</v>
      </c>
      <c r="D1745" s="1" t="n">
        <v>1740</v>
      </c>
      <c r="E1745" s="1" t="s">
        <v>171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1542809</v>
      </c>
      <c r="L1745" s="1" t="n">
        <v>12589881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354.2</v>
      </c>
      <c r="W1745" s="1" t="n">
        <v>0</v>
      </c>
      <c r="X1745" s="1" t="s">
        <v>1750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0" t="str">
        <f aca="false">IFERROR(INDEX('Mov Entradas (Rel 10497)'!$L:$L,MATCH(AC1745,'Mov Entradas (Rel 10497)'!$I:$I,0)),"nao encontrado")</f>
        <v>IOG BI-CAMADA MGO CO</v>
      </c>
      <c r="AC1745" s="0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46247</v>
      </c>
      <c r="C1746" s="16" t="n">
        <v>46261</v>
      </c>
      <c r="D1746" s="1" t="n">
        <v>1921</v>
      </c>
      <c r="E1746" s="1" t="s">
        <v>249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1543017</v>
      </c>
      <c r="L1746" s="1" t="n">
        <v>137021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355.96</v>
      </c>
      <c r="W1746" s="1" t="n">
        <v>0</v>
      </c>
      <c r="X1746" s="1" t="s">
        <v>1751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0" t="str">
        <f aca="false">IFERROR(INDEX('Mov Entradas (Rel 10497)'!$L:$L,MATCH(AC1746,'Mov Entradas (Rel 10497)'!$I:$I,0)),"nao encontrado")</f>
        <v>CANJICA MILHO BRANCO 400G</v>
      </c>
      <c r="AC1746" s="0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46246</v>
      </c>
      <c r="C1747" s="16" t="n">
        <v>46261</v>
      </c>
      <c r="D1747" s="1" t="n">
        <v>1605</v>
      </c>
      <c r="E1747" s="1" t="s">
        <v>114</v>
      </c>
      <c r="F1747" s="1" t="n">
        <v>24</v>
      </c>
      <c r="G1747" s="1" t="s">
        <v>43</v>
      </c>
      <c r="H1747" s="1" t="n">
        <v>2110405</v>
      </c>
      <c r="I1747" s="1" t="s">
        <v>35</v>
      </c>
      <c r="J1747" s="1" t="n">
        <v>1543778</v>
      </c>
      <c r="L1747" s="1" t="n">
        <v>222948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515.16</v>
      </c>
      <c r="W1747" s="1" t="n">
        <v>0</v>
      </c>
      <c r="X1747" s="1" t="s">
        <v>1752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0" t="str">
        <f aca="false">IFERROR(INDEX('Mov Entradas (Rel 10497)'!$L:$L,MATCH(AC1747,'Mov Entradas (Rel 10497)'!$I:$I,0)),"nao encontrado")</f>
        <v>CREM LEIT ITALAC200G</v>
      </c>
      <c r="AC1747" s="0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46247</v>
      </c>
      <c r="C1748" s="16" t="n">
        <v>46261</v>
      </c>
      <c r="D1748" s="1" t="n">
        <v>10009</v>
      </c>
      <c r="E1748" s="1" t="s">
        <v>375</v>
      </c>
      <c r="F1748" s="1" t="n">
        <v>24</v>
      </c>
      <c r="G1748" s="1" t="s">
        <v>43</v>
      </c>
      <c r="H1748" s="1" t="n">
        <v>2110405</v>
      </c>
      <c r="I1748" s="1" t="s">
        <v>35</v>
      </c>
      <c r="J1748" s="1" t="n">
        <v>1551895</v>
      </c>
      <c r="L1748" s="1" t="n">
        <v>1438570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1239.76</v>
      </c>
      <c r="W1748" s="1" t="n">
        <v>0</v>
      </c>
      <c r="X1748" s="1" t="s">
        <v>1753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0" t="str">
        <f aca="false">IFERROR(INDEX('Mov Entradas (Rel 10497)'!$L:$L,MATCH(AC1748,'Mov Entradas (Rel 10497)'!$I:$I,0)),"nao encontrado")</f>
        <v>SOPAO MAGGI CARN 200</v>
      </c>
      <c r="AC1748" s="0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46254</v>
      </c>
      <c r="C1749" s="16" t="n">
        <v>46261</v>
      </c>
      <c r="D1749" s="1" t="n">
        <v>42</v>
      </c>
      <c r="E1749" s="1" t="s">
        <v>81</v>
      </c>
      <c r="F1749" s="1" t="n">
        <v>34</v>
      </c>
      <c r="G1749" s="1" t="s">
        <v>34</v>
      </c>
      <c r="H1749" s="1" t="n">
        <v>2110101</v>
      </c>
      <c r="I1749" s="1" t="s">
        <v>44</v>
      </c>
      <c r="J1749" s="1" t="n">
        <v>1575807</v>
      </c>
      <c r="L1749" s="1" t="n">
        <v>4525</v>
      </c>
      <c r="M1749" s="1" t="s">
        <v>45</v>
      </c>
      <c r="N1749" s="1" t="s">
        <v>70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650</v>
      </c>
      <c r="W1749" s="1" t="n">
        <v>0</v>
      </c>
      <c r="X1749" s="1" t="s">
        <v>1754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46253</v>
      </c>
      <c r="C1750" s="16" t="n">
        <v>46261</v>
      </c>
      <c r="D1750" s="1" t="n">
        <v>1642</v>
      </c>
      <c r="E1750" s="1" t="s">
        <v>276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1575826</v>
      </c>
      <c r="L1750" s="1" t="n">
        <v>1037761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502.41</v>
      </c>
      <c r="W1750" s="1" t="n">
        <v>0</v>
      </c>
      <c r="X1750" s="1" t="s">
        <v>1755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0" t="str">
        <f aca="false">IFERROR(INDEX('Mov Entradas (Rel 10497)'!$L:$L,MATCH(AC1750,'Mov Entradas (Rel 10497)'!$I:$I,0)),"nao encontrado")</f>
        <v>PAO TORRADO BROTHERS</v>
      </c>
      <c r="AC1750" s="0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46231</v>
      </c>
      <c r="C1751" s="16" t="n">
        <v>46262</v>
      </c>
      <c r="D1751" s="1" t="n">
        <v>33</v>
      </c>
      <c r="E1751" s="1" t="s">
        <v>72</v>
      </c>
      <c r="F1751" s="1" t="n">
        <v>34</v>
      </c>
      <c r="G1751" s="1" t="s">
        <v>34</v>
      </c>
      <c r="H1751" s="1" t="n">
        <v>2110405</v>
      </c>
      <c r="I1751" s="1" t="s">
        <v>35</v>
      </c>
      <c r="J1751" s="1" t="n">
        <v>1465032</v>
      </c>
      <c r="L1751" s="1" t="n">
        <v>227918</v>
      </c>
      <c r="M1751" s="1" t="s">
        <v>151</v>
      </c>
      <c r="N1751" s="1" t="s">
        <v>37</v>
      </c>
      <c r="P1751" s="1" t="n">
        <v>101</v>
      </c>
      <c r="Q1751" s="1" t="s">
        <v>38</v>
      </c>
      <c r="R1751" s="1" t="s">
        <v>110</v>
      </c>
      <c r="S1751" s="1" t="n">
        <v>1240203</v>
      </c>
      <c r="T1751" s="1" t="s">
        <v>111</v>
      </c>
      <c r="U1751" s="18" t="n">
        <v>2320.33</v>
      </c>
      <c r="W1751" s="1" t="n">
        <v>0</v>
      </c>
      <c r="X1751" s="1" t="s">
        <v>1756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46232</v>
      </c>
      <c r="C1752" s="16" t="n">
        <v>46262</v>
      </c>
      <c r="D1752" s="1" t="n">
        <v>1699</v>
      </c>
      <c r="E1752" s="1" t="s">
        <v>61</v>
      </c>
      <c r="F1752" s="1" t="n">
        <v>24</v>
      </c>
      <c r="G1752" s="1" t="s">
        <v>43</v>
      </c>
      <c r="H1752" s="1" t="n">
        <v>1110204</v>
      </c>
      <c r="I1752" s="1" t="s">
        <v>204</v>
      </c>
      <c r="J1752" s="1" t="n">
        <v>1474071</v>
      </c>
      <c r="L1752" s="1" t="n">
        <v>3095423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983.7</v>
      </c>
      <c r="W1752" s="1" t="n">
        <v>0</v>
      </c>
      <c r="X1752" s="1" t="s">
        <v>1757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0" t="str">
        <f aca="false">IFERROR(INDEX('Mov Entradas (Rel 10497)'!$L:$L,MATCH(AC1752,'Mov Entradas (Rel 10497)'!$I:$I,0)),"nao encontrado")</f>
        <v>CACHAÇA COROTE 500ML</v>
      </c>
      <c r="AC1752" s="0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46232</v>
      </c>
      <c r="C1753" s="16" t="n">
        <v>46262</v>
      </c>
      <c r="D1753" s="1" t="n">
        <v>10017</v>
      </c>
      <c r="E1753" s="1" t="s">
        <v>337</v>
      </c>
      <c r="F1753" s="1" t="n">
        <v>24</v>
      </c>
      <c r="G1753" s="1" t="s">
        <v>43</v>
      </c>
      <c r="H1753" s="1" t="n">
        <v>1110204</v>
      </c>
      <c r="I1753" s="1" t="s">
        <v>204</v>
      </c>
      <c r="J1753" s="1" t="n">
        <v>1474082</v>
      </c>
      <c r="L1753" s="1" t="n">
        <v>1950893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1191.81</v>
      </c>
      <c r="W1753" s="1" t="n">
        <v>0</v>
      </c>
      <c r="X1753" s="1" t="s">
        <v>1758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0" t="str">
        <f aca="false">IFERROR(INDEX('Mov Entradas (Rel 10497)'!$L:$L,MATCH(AC1753,'Mov Entradas (Rel 10497)'!$I:$I,0)),"nao encontrado")</f>
        <v>LEIT COC SOCOCO 200M</v>
      </c>
      <c r="AC1753" s="0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46232</v>
      </c>
      <c r="C1754" s="16" t="n">
        <v>46262</v>
      </c>
      <c r="D1754" s="1" t="n">
        <v>1196</v>
      </c>
      <c r="E1754" s="1" t="s">
        <v>175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1478195</v>
      </c>
      <c r="L1754" s="1" t="n">
        <v>131713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481.16</v>
      </c>
      <c r="W1754" s="1" t="n">
        <v>0</v>
      </c>
      <c r="X1754" s="1" t="s">
        <v>1759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0" t="str">
        <f aca="false">IFERROR(INDEX('Mov Entradas (Rel 10497)'!$L:$L,MATCH(AC1754,'Mov Entradas (Rel 10497)'!$I:$I,0)),"nao encontrado")</f>
        <v>LEITE EM PO PIRACANJUBA 400G</v>
      </c>
      <c r="AC1754" s="0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46233</v>
      </c>
      <c r="C1755" s="16" t="n">
        <v>46262</v>
      </c>
      <c r="D1755" s="1" t="n">
        <v>1608</v>
      </c>
      <c r="E1755" s="1" t="s">
        <v>42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1482411</v>
      </c>
      <c r="L1755" s="1" t="n">
        <v>17031523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362.68</v>
      </c>
      <c r="W1755" s="1" t="n">
        <v>0</v>
      </c>
      <c r="X1755" s="1" t="s">
        <v>1760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0" t="str">
        <f aca="false">IFERROR(INDEX('Mov Entradas (Rel 10497)'!$L:$L,MATCH(AC1755,'Mov Entradas (Rel 10497)'!$I:$I,0)),"nao encontrado")</f>
        <v>NISSIN LAMEN SUAVE TOMATE</v>
      </c>
      <c r="AC1755" s="0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46248</v>
      </c>
      <c r="C1756" s="16" t="n">
        <v>46262</v>
      </c>
      <c r="D1756" s="1" t="n">
        <v>1723</v>
      </c>
      <c r="E1756" s="1" t="s">
        <v>77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1545597</v>
      </c>
      <c r="L1756" s="1" t="n">
        <v>59645</v>
      </c>
      <c r="M1756" s="1" t="s">
        <v>45</v>
      </c>
      <c r="N1756" s="1" t="s">
        <v>37</v>
      </c>
      <c r="P1756" s="1" t="n">
        <v>129</v>
      </c>
      <c r="Q1756" s="1" t="s">
        <v>103</v>
      </c>
      <c r="R1756" s="1" t="s">
        <v>47</v>
      </c>
      <c r="S1756" s="1" t="n">
        <v>1130101</v>
      </c>
      <c r="T1756" s="1" t="s">
        <v>48</v>
      </c>
      <c r="U1756" s="18" t="n">
        <v>1314.45</v>
      </c>
      <c r="W1756" s="1" t="n">
        <v>0</v>
      </c>
      <c r="X1756" s="1" t="s">
        <v>1761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0" t="str">
        <f aca="false">IFERROR(INDEX('Mov Entradas (Rel 10497)'!$L:$L,MATCH(AC1756,'Mov Entradas (Rel 10497)'!$I:$I,0)),"nao encontrado")</f>
        <v>DIANTEIRO DE BOI L</v>
      </c>
      <c r="AC1756" s="0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46239</v>
      </c>
      <c r="C1757" s="16" t="n">
        <v>46262</v>
      </c>
      <c r="D1757" s="1" t="n">
        <v>1699</v>
      </c>
      <c r="E1757" s="1" t="s">
        <v>61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1512617</v>
      </c>
      <c r="L1757" s="1" t="n">
        <v>3101542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986.03</v>
      </c>
      <c r="W1757" s="1" t="n">
        <v>0</v>
      </c>
      <c r="X1757" s="1" t="s">
        <v>1762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0" t="str">
        <f aca="false">IFERROR(INDEX('Mov Entradas (Rel 10497)'!$L:$L,MATCH(AC1757,'Mov Entradas (Rel 10497)'!$I:$I,0)),"nao encontrado")</f>
        <v>CONS CARNE BO320G</v>
      </c>
      <c r="AC1757" s="0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46240</v>
      </c>
      <c r="C1758" s="16" t="n">
        <v>46262</v>
      </c>
      <c r="D1758" s="1" t="n">
        <v>1136</v>
      </c>
      <c r="E1758" s="1" t="s">
        <v>695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1513138</v>
      </c>
      <c r="L1758" s="1" t="n">
        <v>535482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500.78</v>
      </c>
      <c r="W1758" s="1" t="n">
        <v>0</v>
      </c>
      <c r="X1758" s="1" t="s">
        <v>1763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0" t="str">
        <f aca="false">IFERROR(INDEX('Mov Entradas (Rel 10497)'!$L:$L,MATCH(AC1758,'Mov Entradas (Rel 10497)'!$I:$I,0)),"nao encontrado")</f>
        <v>ESCOVA DENTAL WIT BA</v>
      </c>
      <c r="AC1758" s="0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46234</v>
      </c>
      <c r="C1759" s="16" t="n">
        <v>46262</v>
      </c>
      <c r="D1759" s="1" t="n">
        <v>1675</v>
      </c>
      <c r="E1759" s="1" t="s">
        <v>164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1517548</v>
      </c>
      <c r="L1759" s="1" t="n">
        <v>5068381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300.54</v>
      </c>
      <c r="W1759" s="1" t="n">
        <v>0</v>
      </c>
      <c r="X1759" s="1" t="s">
        <v>1764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0" t="str">
        <f aca="false">IFERROR(INDEX('Mov Entradas (Rel 10497)'!$L:$L,MATCH(AC1759,'Mov Entradas (Rel 10497)'!$I:$I,0)),"nao encontrado")</f>
        <v>TALCO BARLA 80G</v>
      </c>
      <c r="AC1759" s="0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46247</v>
      </c>
      <c r="C1760" s="16" t="n">
        <v>46262</v>
      </c>
      <c r="D1760" s="1" t="n">
        <v>1916</v>
      </c>
      <c r="E1760" s="1" t="s">
        <v>353</v>
      </c>
      <c r="F1760" s="1" t="n">
        <v>24</v>
      </c>
      <c r="G1760" s="1" t="s">
        <v>43</v>
      </c>
      <c r="H1760" s="1" t="n">
        <v>2110405</v>
      </c>
      <c r="I1760" s="1" t="s">
        <v>35</v>
      </c>
      <c r="J1760" s="1" t="n">
        <v>1542928</v>
      </c>
      <c r="L1760" s="1" t="n">
        <v>111</v>
      </c>
      <c r="M1760" s="1" t="s">
        <v>45</v>
      </c>
      <c r="N1760" s="1" t="s">
        <v>37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249.5</v>
      </c>
      <c r="W1760" s="1" t="n">
        <v>0</v>
      </c>
      <c r="X1760" s="1" t="s">
        <v>1765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0" t="str">
        <f aca="false">IFERROR(INDEX('Mov Entradas (Rel 10497)'!$L:$L,MATCH(AC1760,'Mov Entradas (Rel 10497)'!$I:$I,0)),"nao encontrado")</f>
        <v>GOMA DE MANDIOCA 500</v>
      </c>
      <c r="AC1760" s="0" t="n">
        <v>111</v>
      </c>
    </row>
    <row r="1761" customFormat="false" ht="12.75" hidden="false" customHeight="true" outlineLevel="0" collapsed="false">
      <c r="A1761" s="1" t="n">
        <v>3</v>
      </c>
      <c r="B1761" s="16" t="n">
        <v>46246</v>
      </c>
      <c r="C1761" s="16" t="n">
        <v>46262</v>
      </c>
      <c r="D1761" s="1" t="n">
        <v>1814</v>
      </c>
      <c r="E1761" s="1" t="s">
        <v>341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1542972</v>
      </c>
      <c r="L1761" s="1" t="n">
        <v>283532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730.71</v>
      </c>
      <c r="W1761" s="1" t="n">
        <v>0</v>
      </c>
      <c r="X1761" s="1" t="s">
        <v>1766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0" t="str">
        <f aca="false">IFERROR(INDEX('Mov Entradas (Rel 10497)'!$L:$L,MATCH(AC1761,'Mov Entradas (Rel 10497)'!$I:$I,0)),"nao encontrado")</f>
        <v>POLPA GRAVIOLA 100G</v>
      </c>
      <c r="AC1761" s="0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46249</v>
      </c>
      <c r="C1762" s="16" t="n">
        <v>46263</v>
      </c>
      <c r="D1762" s="1" t="n">
        <v>1815</v>
      </c>
      <c r="E1762" s="1" t="s">
        <v>54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1551633</v>
      </c>
      <c r="L1762" s="1" t="n">
        <v>4625881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655.61</v>
      </c>
      <c r="W1762" s="1" t="n">
        <v>0</v>
      </c>
      <c r="X1762" s="1" t="s">
        <v>1767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0" t="str">
        <f aca="false">IFERROR(INDEX('Mov Entradas (Rel 10497)'!$L:$L,MATCH(AC1762,'Mov Entradas (Rel 10497)'!$I:$I,0)),"nao encontrado")</f>
        <v>FIGADO BOVINO KG</v>
      </c>
      <c r="AC1762" s="0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46249</v>
      </c>
      <c r="C1763" s="16" t="n">
        <v>46263</v>
      </c>
      <c r="D1763" s="1" t="n">
        <v>1723</v>
      </c>
      <c r="E1763" s="1" t="s">
        <v>77</v>
      </c>
      <c r="F1763" s="1" t="n">
        <v>24</v>
      </c>
      <c r="G1763" s="1" t="s">
        <v>43</v>
      </c>
      <c r="H1763" s="1" t="n">
        <v>2110405</v>
      </c>
      <c r="I1763" s="1" t="s">
        <v>35</v>
      </c>
      <c r="J1763" s="1" t="n">
        <v>1560916</v>
      </c>
      <c r="L1763" s="1" t="n">
        <v>59771</v>
      </c>
      <c r="M1763" s="1" t="s">
        <v>45</v>
      </c>
      <c r="N1763" s="1" t="s">
        <v>37</v>
      </c>
      <c r="P1763" s="1" t="n">
        <v>167</v>
      </c>
      <c r="Q1763" s="1" t="s">
        <v>102</v>
      </c>
      <c r="R1763" s="1" t="s">
        <v>47</v>
      </c>
      <c r="S1763" s="1" t="n">
        <v>1130101</v>
      </c>
      <c r="T1763" s="1" t="s">
        <v>48</v>
      </c>
      <c r="U1763" s="18" t="n">
        <v>3375.6</v>
      </c>
      <c r="W1763" s="1" t="n">
        <v>0</v>
      </c>
      <c r="X1763" s="1" t="s">
        <v>1768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0" t="str">
        <f aca="false">IFERROR(INDEX('Mov Entradas (Rel 10497)'!$L:$L,MATCH(AC1763,'Mov Entradas (Rel 10497)'!$I:$I,0)),"nao encontrado")</f>
        <v>TRASEIRO DE BOI L1</v>
      </c>
      <c r="AC1763" s="0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46233</v>
      </c>
      <c r="C1764" s="16" t="n">
        <v>46265</v>
      </c>
      <c r="D1764" s="1" t="n">
        <v>1636</v>
      </c>
      <c r="E1764" s="1" t="s">
        <v>50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1495402</v>
      </c>
      <c r="L1764" s="1" t="n">
        <v>32292543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949.63</v>
      </c>
      <c r="W1764" s="1" t="n">
        <v>0</v>
      </c>
      <c r="X1764" s="1" t="s">
        <v>1769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0" t="str">
        <f aca="false">IFERROR(INDEX('Mov Entradas (Rel 10497)'!$L:$L,MATCH(AC1764,'Mov Entradas (Rel 10497)'!$I:$I,0)),"nao encontrado")</f>
        <v>ADOC ADOCYL SACARINA 100ML</v>
      </c>
      <c r="AC1764" s="0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46237</v>
      </c>
      <c r="C1765" s="16" t="n">
        <v>46265</v>
      </c>
      <c r="D1765" s="1" t="n">
        <v>846</v>
      </c>
      <c r="E1765" s="1" t="s">
        <v>264</v>
      </c>
      <c r="F1765" s="1" t="n">
        <v>24</v>
      </c>
      <c r="G1765" s="1" t="s">
        <v>43</v>
      </c>
      <c r="H1765" s="1" t="n">
        <v>4210227</v>
      </c>
      <c r="I1765" s="1" t="s">
        <v>197</v>
      </c>
      <c r="J1765" s="1" t="n">
        <v>1498623</v>
      </c>
      <c r="L1765" s="1" t="n">
        <v>8463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538.18</v>
      </c>
      <c r="W1765" s="1" t="n">
        <v>0</v>
      </c>
      <c r="X1765" s="1" t="s">
        <v>1770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0" t="str">
        <f aca="false">IFERROR(INDEX('Mov Entradas (Rel 10497)'!$L:$L,MATCH(AC1765,'Mov Entradas (Rel 10497)'!$I:$I,0)),"nao encontrado")</f>
        <v>PRENDEDOR DE ROUPA M</v>
      </c>
      <c r="AC1765" s="0" t="n">
        <v>846</v>
      </c>
    </row>
    <row r="1766" customFormat="false" ht="12.75" hidden="false" customHeight="true" outlineLevel="0" collapsed="false">
      <c r="A1766" s="1" t="n">
        <v>3</v>
      </c>
      <c r="B1766" s="16" t="n">
        <v>46244</v>
      </c>
      <c r="C1766" s="16" t="n">
        <v>46265</v>
      </c>
      <c r="D1766" s="1" t="n">
        <v>1657</v>
      </c>
      <c r="E1766" s="1" t="s">
        <v>257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1543742</v>
      </c>
      <c r="L1766" s="1" t="n">
        <v>3783782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1028.18</v>
      </c>
      <c r="W1766" s="1" t="n">
        <v>0</v>
      </c>
      <c r="X1766" s="1" t="s">
        <v>1771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0" t="str">
        <f aca="false">IFERROR(INDEX('Mov Entradas (Rel 10497)'!$L:$L,MATCH(AC1766,'Mov Entradas (Rel 10497)'!$I:$I,0)),"nao encontrado")</f>
        <v>TALCO BARLA 140G</v>
      </c>
      <c r="AC1766" s="0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46247</v>
      </c>
      <c r="C1767" s="16" t="n">
        <v>46265</v>
      </c>
      <c r="D1767" s="1" t="n">
        <v>1659</v>
      </c>
      <c r="E1767" s="1" t="s">
        <v>253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1551742</v>
      </c>
      <c r="L1767" s="1" t="n">
        <v>8908271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1265.75</v>
      </c>
      <c r="W1767" s="1" t="n">
        <v>0</v>
      </c>
      <c r="X1767" s="1" t="s">
        <v>1772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0" t="str">
        <f aca="false">IFERROR(INDEX('Mov Entradas (Rel 10497)'!$L:$L,MATCH(AC1767,'Mov Entradas (Rel 10497)'!$I:$I,0)),"nao encontrado")</f>
        <v>MOCOQUINHA 200ML</v>
      </c>
      <c r="AC1767" s="0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46251</v>
      </c>
      <c r="C1768" s="16" t="n">
        <v>46265</v>
      </c>
      <c r="D1768" s="1" t="n">
        <v>1676</v>
      </c>
      <c r="E1768" s="1" t="s">
        <v>255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1566060</v>
      </c>
      <c r="L1768" s="1" t="n">
        <v>1097421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427.28</v>
      </c>
      <c r="W1768" s="1" t="n">
        <v>0</v>
      </c>
      <c r="X1768" s="1" t="s">
        <v>1773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0" t="str">
        <f aca="false">IFERROR(INDEX('Mov Entradas (Rel 10497)'!$L:$L,MATCH(AC1768,'Mov Entradas (Rel 10497)'!$I:$I,0)),"nao encontrado")</f>
        <v>ERVILHA EMILHO OLE V</v>
      </c>
      <c r="AC1768" s="0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46265</v>
      </c>
      <c r="D1769" s="1" t="n">
        <v>1608</v>
      </c>
      <c r="E1769" s="1" t="s">
        <v>42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1566478</v>
      </c>
      <c r="L1769" s="1" t="n">
        <v>1712626</v>
      </c>
      <c r="M1769" s="1" t="s">
        <v>45</v>
      </c>
      <c r="N1769" s="1" t="s">
        <v>37</v>
      </c>
      <c r="P1769" s="1" t="n">
        <v>167</v>
      </c>
      <c r="Q1769" s="1" t="s">
        <v>102</v>
      </c>
      <c r="R1769" s="1" t="s">
        <v>47</v>
      </c>
      <c r="S1769" s="1" t="n">
        <v>1130101</v>
      </c>
      <c r="T1769" s="1" t="s">
        <v>48</v>
      </c>
      <c r="U1769" s="18" t="n">
        <v>629.96</v>
      </c>
      <c r="W1769" s="1" t="n">
        <v>0</v>
      </c>
      <c r="X1769" s="1" t="s">
        <v>1774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0" t="str">
        <f aca="false">IFERROR(INDEX('Mov Entradas (Rel 10497)'!$L:$L,MATCH(AC1769,'Mov Entradas (Rel 10497)'!$I:$I,0)),"nao encontrado")</f>
        <v>nao encontrado</v>
      </c>
      <c r="AC1769" s="0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46248</v>
      </c>
      <c r="C1770" s="16" t="n">
        <v>46265</v>
      </c>
      <c r="D1770" s="1" t="n">
        <v>1107</v>
      </c>
      <c r="E1770" s="1" t="s">
        <v>166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1566503</v>
      </c>
      <c r="L1770" s="1" t="n">
        <v>4437841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273.53</v>
      </c>
      <c r="W1770" s="1" t="n">
        <v>0</v>
      </c>
      <c r="X1770" s="1" t="s">
        <v>1775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0" t="str">
        <f aca="false">IFERROR(INDEX('Mov Entradas (Rel 10497)'!$L:$L,MATCH(AC1770,'Mov Entradas (Rel 10497)'!$I:$I,0)),"nao encontrado")</f>
        <v>SCH DOG PEDIGR FIL</v>
      </c>
      <c r="AC1770" s="0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46235</v>
      </c>
      <c r="C1771" s="16" t="n">
        <v>46266</v>
      </c>
      <c r="D1771" s="1" t="n">
        <v>42</v>
      </c>
      <c r="E1771" s="1" t="s">
        <v>81</v>
      </c>
      <c r="F1771" s="1" t="n">
        <v>13</v>
      </c>
      <c r="G1771" s="1" t="s">
        <v>82</v>
      </c>
      <c r="H1771" s="1" t="n">
        <v>2110101</v>
      </c>
      <c r="I1771" s="1" t="s">
        <v>44</v>
      </c>
      <c r="J1771" s="1" t="n">
        <v>1482195</v>
      </c>
      <c r="L1771" s="1" t="n">
        <v>4449</v>
      </c>
      <c r="M1771" s="1" t="s">
        <v>45</v>
      </c>
      <c r="N1771" s="1" t="s">
        <v>70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250</v>
      </c>
      <c r="W1771" s="1" t="n">
        <v>250</v>
      </c>
      <c r="X1771" s="1" t="s">
        <v>1296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46238</v>
      </c>
      <c r="C1772" s="16" t="n">
        <v>46266</v>
      </c>
      <c r="D1772" s="1" t="n">
        <v>1656</v>
      </c>
      <c r="E1772" s="1" t="s">
        <v>262</v>
      </c>
      <c r="F1772" s="1" t="n">
        <v>24</v>
      </c>
      <c r="G1772" s="1" t="s">
        <v>43</v>
      </c>
      <c r="H1772" s="1" t="n">
        <v>1110204</v>
      </c>
      <c r="I1772" s="1" t="s">
        <v>204</v>
      </c>
      <c r="J1772" s="1" t="n">
        <v>1499232</v>
      </c>
      <c r="L1772" s="1" t="n">
        <v>2245513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358.74</v>
      </c>
      <c r="W1772" s="1" t="n">
        <v>0</v>
      </c>
      <c r="X1772" s="1" t="s">
        <v>1776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0" t="str">
        <f aca="false">IFERROR(INDEX('Mov Entradas (Rel 10497)'!$L:$L,MATCH(AC1772,'Mov Entradas (Rel 10497)'!$I:$I,0)),"nao encontrado")</f>
        <v>-KETCHUP TRADICIONAL</v>
      </c>
      <c r="AC1772" s="0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46238</v>
      </c>
      <c r="C1773" s="16" t="n">
        <v>46266</v>
      </c>
      <c r="D1773" s="1" t="n">
        <v>1745</v>
      </c>
      <c r="E1773" s="1" t="s">
        <v>594</v>
      </c>
      <c r="F1773" s="1" t="n">
        <v>24</v>
      </c>
      <c r="G1773" s="1" t="s">
        <v>43</v>
      </c>
      <c r="H1773" s="1" t="n">
        <v>1110204</v>
      </c>
      <c r="I1773" s="1" t="s">
        <v>204</v>
      </c>
      <c r="J1773" s="1" t="n">
        <v>1504235</v>
      </c>
      <c r="L1773" s="1" t="n">
        <v>3560053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590.45</v>
      </c>
      <c r="W1773" s="1" t="n">
        <v>0</v>
      </c>
      <c r="X1773" s="1" t="s">
        <v>1777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0" t="str">
        <f aca="false">IFERROR(INDEX('Mov Entradas (Rel 10497)'!$L:$L,MATCH(AC1773,'Mov Entradas (Rel 10497)'!$I:$I,0)),"nao encontrado")</f>
        <v>CAFE KIMINO 250G</v>
      </c>
      <c r="AC1773" s="0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46245</v>
      </c>
      <c r="C1774" s="16" t="n">
        <v>46266</v>
      </c>
      <c r="D1774" s="1" t="n">
        <v>1804</v>
      </c>
      <c r="E1774" s="1" t="s">
        <v>701</v>
      </c>
      <c r="F1774" s="1" t="n">
        <v>24</v>
      </c>
      <c r="G1774" s="1" t="s">
        <v>43</v>
      </c>
      <c r="H1774" s="1" t="n">
        <v>2110405</v>
      </c>
      <c r="I1774" s="1" t="s">
        <v>35</v>
      </c>
      <c r="J1774" s="1" t="n">
        <v>1531968</v>
      </c>
      <c r="L1774" s="1" t="n">
        <v>337572</v>
      </c>
      <c r="M1774" s="1" t="s">
        <v>45</v>
      </c>
      <c r="N1774" s="1" t="s">
        <v>37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879.73</v>
      </c>
      <c r="W1774" s="1" t="n">
        <v>0</v>
      </c>
      <c r="X1774" s="1" t="s">
        <v>1778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0" t="str">
        <f aca="false">IFERROR(INDEX('Mov Entradas (Rel 10497)'!$L:$L,MATCH(AC1774,'Mov Entradas (Rel 10497)'!$I:$I,0)),"nao encontrado")</f>
        <v>FRALDA PANDA G 07UN</v>
      </c>
      <c r="AC1774" s="0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46244</v>
      </c>
      <c r="C1775" s="16" t="n">
        <v>46266</v>
      </c>
      <c r="D1775" s="1" t="n">
        <v>1616</v>
      </c>
      <c r="E1775" s="1" t="s">
        <v>699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1536939</v>
      </c>
      <c r="L1775" s="1" t="n">
        <v>238615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311.49</v>
      </c>
      <c r="W1775" s="1" t="n">
        <v>0</v>
      </c>
      <c r="X1775" s="1" t="s">
        <v>1779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0" t="str">
        <f aca="false">IFERROR(INDEX('Mov Entradas (Rel 10497)'!$L:$L,MATCH(AC1775,'Mov Entradas (Rel 10497)'!$I:$I,0)),"nao encontrado")</f>
        <v>CONF ROCKLETS 40G</v>
      </c>
      <c r="AC1775" s="0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46244</v>
      </c>
      <c r="C1776" s="16" t="n">
        <v>46266</v>
      </c>
      <c r="D1776" s="1" t="n">
        <v>1636</v>
      </c>
      <c r="E1776" s="1" t="s">
        <v>50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1540560</v>
      </c>
      <c r="L1776" s="1" t="n">
        <v>32349332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421.85</v>
      </c>
      <c r="W1776" s="1" t="n">
        <v>0</v>
      </c>
      <c r="X1776" s="1" t="s">
        <v>1780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0" t="str">
        <f aca="false">IFERROR(INDEX('Mov Entradas (Rel 10497)'!$L:$L,MATCH(AC1776,'Mov Entradas (Rel 10497)'!$I:$I,0)),"nao encontrado")</f>
        <v>AZEITE MARIA TRAD. 5</v>
      </c>
      <c r="AC1776" s="0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46244</v>
      </c>
      <c r="C1777" s="16" t="n">
        <v>46266</v>
      </c>
      <c r="D1777" s="1" t="n">
        <v>1636</v>
      </c>
      <c r="E1777" s="1" t="s">
        <v>50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1540568</v>
      </c>
      <c r="L1777" s="1" t="n">
        <v>32349322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193.16</v>
      </c>
      <c r="W1777" s="1" t="n">
        <v>0</v>
      </c>
      <c r="X1777" s="1" t="s">
        <v>1781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0" t="str">
        <f aca="false">IFERROR(INDEX('Mov Entradas (Rel 10497)'!$L:$L,MATCH(AC1777,'Mov Entradas (Rel 10497)'!$I:$I,0)),"nao encontrado")</f>
        <v>DETE.LOUCA MINUANO M</v>
      </c>
      <c r="AC1777" s="0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46248</v>
      </c>
      <c r="C1778" s="16" t="n">
        <v>46266</v>
      </c>
      <c r="D1778" s="1" t="n">
        <v>1789</v>
      </c>
      <c r="E1778" s="1" t="s">
        <v>63</v>
      </c>
      <c r="F1778" s="1" t="n">
        <v>24</v>
      </c>
      <c r="G1778" s="1" t="s">
        <v>43</v>
      </c>
      <c r="H1778" s="1" t="n">
        <v>2110405</v>
      </c>
      <c r="I1778" s="1" t="s">
        <v>35</v>
      </c>
      <c r="J1778" s="1" t="n">
        <v>1566598</v>
      </c>
      <c r="L1778" s="1" t="n">
        <v>119942501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64</v>
      </c>
      <c r="S1778" s="1" t="n">
        <v>4210112</v>
      </c>
      <c r="T1778" s="1" t="s">
        <v>65</v>
      </c>
      <c r="U1778" s="18" t="n">
        <v>268.07</v>
      </c>
      <c r="W1778" s="1" t="n">
        <v>0</v>
      </c>
      <c r="X1778" s="1" t="s">
        <v>66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46252</v>
      </c>
      <c r="C1779" s="16" t="n">
        <v>46266</v>
      </c>
      <c r="D1779" s="1" t="n">
        <v>1740</v>
      </c>
      <c r="E1779" s="1" t="s">
        <v>171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1567958</v>
      </c>
      <c r="L1779" s="1" t="n">
        <v>12600911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888.75</v>
      </c>
      <c r="W1779" s="1" t="n">
        <v>0</v>
      </c>
      <c r="X1779" s="1" t="s">
        <v>1782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0" t="str">
        <f aca="false">IFERROR(INDEX('Mov Entradas (Rel 10497)'!$L:$L,MATCH(AC1779,'Mov Entradas (Rel 10497)'!$I:$I,0)),"nao encontrado")</f>
        <v>LINGUI DE FRANGO KG</v>
      </c>
      <c r="AC1779" s="0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46252</v>
      </c>
      <c r="C1780" s="16" t="n">
        <v>46266</v>
      </c>
      <c r="D1780" s="1" t="n">
        <v>1734</v>
      </c>
      <c r="E1780" s="1" t="s">
        <v>126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1572833</v>
      </c>
      <c r="L1780" s="1" t="n">
        <v>258045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866.49</v>
      </c>
      <c r="W1780" s="1" t="n">
        <v>0</v>
      </c>
      <c r="X1780" s="1" t="s">
        <v>1783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0" t="str">
        <f aca="false">IFERROR(INDEX('Mov Entradas (Rel 10497)'!$L:$L,MATCH(AC1780,'Mov Entradas (Rel 10497)'!$I:$I,0)),"nao encontrado")</f>
        <v>PICOLE PREMIUM LEITI</v>
      </c>
      <c r="AC1780" s="0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46251</v>
      </c>
      <c r="C1781" s="16" t="n">
        <v>46266</v>
      </c>
      <c r="D1781" s="1" t="n">
        <v>1636</v>
      </c>
      <c r="E1781" s="1" t="s">
        <v>50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1573118</v>
      </c>
      <c r="L1781" s="1" t="n">
        <v>32386861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922.22</v>
      </c>
      <c r="W1781" s="1" t="n">
        <v>0</v>
      </c>
      <c r="X1781" s="1" t="s">
        <v>1784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0" t="str">
        <f aca="false">IFERROR(INDEX('Mov Entradas (Rel 10497)'!$L:$L,MATCH(AC1781,'Mov Entradas (Rel 10497)'!$I:$I,0)),"nao encontrado")</f>
        <v>ABS SEMPERLIVRE SUAVE C/ABA -16UN</v>
      </c>
      <c r="AC1781" s="0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46238</v>
      </c>
      <c r="C1782" s="16" t="n">
        <v>46266</v>
      </c>
      <c r="D1782" s="1" t="n">
        <v>1668</v>
      </c>
      <c r="E1782" s="1" t="s">
        <v>160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1576025</v>
      </c>
      <c r="L1782" s="1" t="n">
        <v>74559233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1242.26</v>
      </c>
      <c r="W1782" s="1" t="n">
        <v>0</v>
      </c>
      <c r="X1782" s="1" t="s">
        <v>1785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0" t="str">
        <f aca="false">IFERROR(INDEX('Mov Entradas (Rel 10497)'!$L:$L,MATCH(AC1782,'Mov Entradas (Rel 10497)'!$I:$I,0)),"nao encontrado")</f>
        <v>nao encontrado</v>
      </c>
      <c r="AC1782" s="0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46231</v>
      </c>
      <c r="C1783" s="23" t="n">
        <v>46267</v>
      </c>
      <c r="D1783" s="1" t="n">
        <v>1778</v>
      </c>
      <c r="E1783" s="1" t="s">
        <v>117</v>
      </c>
      <c r="F1783" s="1" t="n">
        <v>24</v>
      </c>
      <c r="G1783" s="1" t="s">
        <v>43</v>
      </c>
      <c r="H1783" s="1" t="n">
        <v>1110204</v>
      </c>
      <c r="I1783" s="1" t="s">
        <v>204</v>
      </c>
      <c r="J1783" s="1" t="n">
        <v>1464589</v>
      </c>
      <c r="L1783" s="1" t="n">
        <v>227862</v>
      </c>
      <c r="M1783" s="1" t="s">
        <v>45</v>
      </c>
      <c r="N1783" s="1" t="s">
        <v>37</v>
      </c>
      <c r="P1783" s="1" t="n">
        <v>101</v>
      </c>
      <c r="Q1783" s="1" t="s">
        <v>38</v>
      </c>
      <c r="R1783" s="1" t="s">
        <v>39</v>
      </c>
      <c r="S1783" s="1" t="n">
        <v>4210207</v>
      </c>
      <c r="T1783" s="1" t="s">
        <v>118</v>
      </c>
      <c r="U1783" s="1" t="n">
        <v>337.29</v>
      </c>
      <c r="W1783" s="1" t="n">
        <v>0</v>
      </c>
      <c r="X1783" s="1" t="s">
        <v>1786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46205</v>
      </c>
      <c r="C1784" s="23" t="n">
        <v>46267</v>
      </c>
      <c r="D1784" s="1" t="n">
        <v>1789</v>
      </c>
      <c r="E1784" s="1" t="s">
        <v>63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1464602</v>
      </c>
      <c r="L1784" s="1" t="n">
        <v>227866</v>
      </c>
      <c r="M1784" s="1" t="s">
        <v>45</v>
      </c>
      <c r="N1784" s="1" t="s">
        <v>37</v>
      </c>
      <c r="P1784" s="1" t="n">
        <v>101</v>
      </c>
      <c r="Q1784" s="1" t="s">
        <v>38</v>
      </c>
      <c r="R1784" s="1" t="s">
        <v>64</v>
      </c>
      <c r="S1784" s="1" t="n">
        <v>4210112</v>
      </c>
      <c r="T1784" s="1" t="s">
        <v>65</v>
      </c>
      <c r="U1784" s="1" t="n">
        <v>5500</v>
      </c>
      <c r="W1784" s="1" t="n">
        <v>0</v>
      </c>
      <c r="X1784" s="1" t="s">
        <v>1787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46231</v>
      </c>
      <c r="C1785" s="23" t="n">
        <v>46267</v>
      </c>
      <c r="D1785" s="1" t="n">
        <v>49</v>
      </c>
      <c r="E1785" s="1" t="s">
        <v>139</v>
      </c>
      <c r="F1785" s="1" t="n">
        <v>34</v>
      </c>
      <c r="G1785" s="1" t="s">
        <v>34</v>
      </c>
      <c r="H1785" s="1" t="n">
        <v>2110405</v>
      </c>
      <c r="I1785" s="1" t="s">
        <v>35</v>
      </c>
      <c r="J1785" s="1" t="n">
        <v>1464754</v>
      </c>
      <c r="L1785" s="1" t="n">
        <v>227889</v>
      </c>
      <c r="M1785" s="1" t="s">
        <v>151</v>
      </c>
      <c r="N1785" s="1" t="s">
        <v>37</v>
      </c>
      <c r="P1785" s="1" t="n">
        <v>101</v>
      </c>
      <c r="Q1785" s="1" t="s">
        <v>38</v>
      </c>
      <c r="R1785" s="1" t="s">
        <v>140</v>
      </c>
      <c r="S1785" s="1" t="n">
        <v>2110901</v>
      </c>
      <c r="T1785" s="1" t="s">
        <v>141</v>
      </c>
      <c r="U1785" s="1" t="n">
        <v>4000</v>
      </c>
      <c r="W1785" s="1" t="n">
        <v>0</v>
      </c>
      <c r="X1785" s="1" t="s">
        <v>1788</v>
      </c>
      <c r="Z1785" s="1" t="str">
        <f aca="false">IF($T1785="","",IFERROR(INDEX('Resumo Grupos'!$AC$3:$AC$200,MATCH($T1785,'Resumo Grupos'!$AB$3:$AB$200,0)),"n/d"))</f>
        <v>Empréstimo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46267</v>
      </c>
      <c r="D1786" s="1" t="n">
        <v>1708</v>
      </c>
      <c r="E1786" s="1" t="s">
        <v>1615</v>
      </c>
      <c r="F1786" s="1" t="n">
        <v>24</v>
      </c>
      <c r="G1786" s="1" t="s">
        <v>43</v>
      </c>
      <c r="H1786" s="1" t="n">
        <v>2110405</v>
      </c>
      <c r="I1786" s="1" t="s">
        <v>35</v>
      </c>
      <c r="J1786" s="1" t="n">
        <v>1500073</v>
      </c>
      <c r="L1786" s="1" t="n">
        <v>2646963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260.45</v>
      </c>
      <c r="W1786" s="1" t="n">
        <v>0</v>
      </c>
      <c r="X1786" s="1" t="s">
        <v>1789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0" t="str">
        <f aca="false">IFERROR(INDEX('Mov Entradas (Rel 10497)'!$L:$L,MATCH(AC1786,'Mov Entradas (Rel 10497)'!$I:$I,0)),"nao encontrado")</f>
        <v>FINI BEIJOS MORANGO 90G</v>
      </c>
      <c r="AC1786" s="0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46239</v>
      </c>
      <c r="C1787" s="23" t="n">
        <v>46267</v>
      </c>
      <c r="D1787" s="1" t="n">
        <v>1740</v>
      </c>
      <c r="E1787" s="1" t="s">
        <v>171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1504743</v>
      </c>
      <c r="L1787" s="1" t="n">
        <v>12556063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771.86</v>
      </c>
      <c r="W1787" s="1" t="n">
        <v>0</v>
      </c>
      <c r="X1787" s="1" t="s">
        <v>1790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0" t="str">
        <f aca="false">IFERROR(INDEX('Mov Entradas (Rel 10497)'!$L:$L,MATCH(AC1787,'Mov Entradas (Rel 10497)'!$I:$I,0)),"nao encontrado")</f>
        <v>nao encontrado</v>
      </c>
      <c r="AC1787" s="0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46239</v>
      </c>
      <c r="C1788" s="23" t="n">
        <v>46267</v>
      </c>
      <c r="D1788" s="1" t="n">
        <v>1668</v>
      </c>
      <c r="E1788" s="1" t="s">
        <v>160</v>
      </c>
      <c r="F1788" s="1" t="n">
        <v>24</v>
      </c>
      <c r="G1788" s="1" t="s">
        <v>43</v>
      </c>
      <c r="H1788" s="1" t="n">
        <v>1110204</v>
      </c>
      <c r="I1788" s="1" t="s">
        <v>204</v>
      </c>
      <c r="J1788" s="1" t="n">
        <v>1508023</v>
      </c>
      <c r="L1788" s="1" t="n">
        <v>746264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274.14</v>
      </c>
      <c r="W1788" s="1" t="n">
        <v>0</v>
      </c>
      <c r="X1788" s="1" t="s">
        <v>1791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0" t="str">
        <f aca="false">IFERROR(INDEX('Mov Entradas (Rel 10497)'!$L:$L,MATCH(AC1788,'Mov Entradas (Rel 10497)'!$I:$I,0)),"nao encontrado")</f>
        <v>FORMA GALVANOTEK G40</v>
      </c>
      <c r="AC1788" s="0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46242</v>
      </c>
      <c r="C1789" s="23" t="n">
        <v>46267</v>
      </c>
      <c r="D1789" s="1" t="n">
        <v>957</v>
      </c>
      <c r="E1789" s="1" t="s">
        <v>722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1531987</v>
      </c>
      <c r="L1789" s="1" t="n">
        <v>216232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1760.2</v>
      </c>
      <c r="W1789" s="1" t="n">
        <v>0</v>
      </c>
      <c r="X1789" s="1" t="s">
        <v>1792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0" t="str">
        <f aca="false">IFERROR(INDEX('Mov Entradas (Rel 10497)'!$L:$L,MATCH(AC1789,'Mov Entradas (Rel 10497)'!$I:$I,0)),"nao encontrado")</f>
        <v>RAC WHISKAS CARNE KG</v>
      </c>
      <c r="AC1789" s="0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46245</v>
      </c>
      <c r="C1790" s="23" t="n">
        <v>46267</v>
      </c>
      <c r="D1790" s="1" t="n">
        <v>1734</v>
      </c>
      <c r="E1790" s="1" t="s">
        <v>126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1537295</v>
      </c>
      <c r="L1790" s="1" t="n">
        <v>257522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656.69</v>
      </c>
      <c r="W1790" s="1" t="n">
        <v>0</v>
      </c>
      <c r="X1790" s="1" t="s">
        <v>1793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0" t="str">
        <f aca="false">IFERROR(INDEX('Mov Entradas (Rel 10497)'!$L:$L,MATCH(AC1790,'Mov Entradas (Rel 10497)'!$I:$I,0)),"nao encontrado")</f>
        <v>SORVETE TOYA TOYETTO</v>
      </c>
      <c r="AC1790" s="0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46246</v>
      </c>
      <c r="C1791" s="23" t="n">
        <v>46267</v>
      </c>
      <c r="D1791" s="1" t="n">
        <v>1678</v>
      </c>
      <c r="E1791" s="1" t="s">
        <v>191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1542842</v>
      </c>
      <c r="L1791" s="1" t="n">
        <v>2594222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545.13</v>
      </c>
      <c r="W1791" s="1" t="n">
        <v>0</v>
      </c>
      <c r="X1791" s="1" t="s">
        <v>1794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0" t="str">
        <f aca="false">IFERROR(INDEX('Mov Entradas (Rel 10497)'!$L:$L,MATCH(AC1791,'Mov Entradas (Rel 10497)'!$I:$I,0)),"nao encontrado")</f>
        <v>DES CREM EX-SET FLOR</v>
      </c>
      <c r="AC1791" s="0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46248</v>
      </c>
      <c r="C1792" s="23" t="n">
        <v>46267</v>
      </c>
      <c r="D1792" s="1" t="n">
        <v>1613</v>
      </c>
      <c r="E1792" s="1" t="s">
        <v>178</v>
      </c>
      <c r="F1792" s="1" t="n">
        <v>24</v>
      </c>
      <c r="G1792" s="1" t="s">
        <v>43</v>
      </c>
      <c r="H1792" s="1" t="n">
        <v>2110405</v>
      </c>
      <c r="I1792" s="1" t="s">
        <v>35</v>
      </c>
      <c r="J1792" s="1" t="n">
        <v>1552204</v>
      </c>
      <c r="L1792" s="1" t="n">
        <v>16193433</v>
      </c>
      <c r="M1792" s="1" t="s">
        <v>45</v>
      </c>
      <c r="N1792" s="1" t="s">
        <v>37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1120.52</v>
      </c>
      <c r="W1792" s="1" t="n">
        <v>0</v>
      </c>
      <c r="X1792" s="1" t="s">
        <v>1795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0" t="str">
        <f aca="false">IFERROR(INDEX('Mov Entradas (Rel 10497)'!$L:$L,MATCH(AC1792,'Mov Entradas (Rel 10497)'!$I:$I,0)),"nao encontrado")</f>
        <v>CARRE SUINO KG</v>
      </c>
      <c r="AC1792" s="0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46252</v>
      </c>
      <c r="C1793" s="23" t="n">
        <v>46267</v>
      </c>
      <c r="D1793" s="1" t="n">
        <v>1778</v>
      </c>
      <c r="E1793" s="1" t="s">
        <v>117</v>
      </c>
      <c r="F1793" s="1" t="n">
        <v>24</v>
      </c>
      <c r="G1793" s="1" t="s">
        <v>43</v>
      </c>
      <c r="H1793" s="1" t="n">
        <v>2110405</v>
      </c>
      <c r="I1793" s="1" t="s">
        <v>35</v>
      </c>
      <c r="J1793" s="1" t="n">
        <v>1566597</v>
      </c>
      <c r="L1793" s="1" t="n">
        <v>281831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39</v>
      </c>
      <c r="S1793" s="1" t="n">
        <v>4210207</v>
      </c>
      <c r="T1793" s="1" t="s">
        <v>118</v>
      </c>
      <c r="U1793" s="1" t="n">
        <v>337.29</v>
      </c>
      <c r="W1793" s="1" t="n">
        <v>0</v>
      </c>
      <c r="X1793" s="1" t="s">
        <v>1796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46253</v>
      </c>
      <c r="C1794" s="23" t="n">
        <v>46267</v>
      </c>
      <c r="D1794" s="1" t="n">
        <v>1681</v>
      </c>
      <c r="E1794" s="1" t="s">
        <v>1348</v>
      </c>
      <c r="F1794" s="1" t="n">
        <v>24</v>
      </c>
      <c r="G1794" s="1" t="s">
        <v>43</v>
      </c>
      <c r="H1794" s="1" t="n">
        <v>2110405</v>
      </c>
      <c r="I1794" s="1" t="s">
        <v>35</v>
      </c>
      <c r="J1794" s="1" t="n">
        <v>1572973</v>
      </c>
      <c r="L1794" s="1" t="n">
        <v>395042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2333.04</v>
      </c>
      <c r="W1794" s="1" t="n">
        <v>0</v>
      </c>
      <c r="X1794" s="1" t="s">
        <v>1797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0" t="str">
        <f aca="false">IFERROR(INDEX('Mov Entradas (Rel 10497)'!$L:$L,MATCH(AC1794,'Mov Entradas (Rel 10497)'!$I:$I,0)),"nao encontrado")</f>
        <v>CAFE STA CLARA TRAD</v>
      </c>
      <c r="AC1794" s="0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46253</v>
      </c>
      <c r="C1795" s="23" t="n">
        <v>46267</v>
      </c>
      <c r="D1795" s="1" t="n">
        <v>1740</v>
      </c>
      <c r="E1795" s="1" t="s">
        <v>171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1573172</v>
      </c>
      <c r="L1795" s="1" t="n">
        <v>12609001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871.13</v>
      </c>
      <c r="W1795" s="1" t="n">
        <v>0</v>
      </c>
      <c r="X1795" s="1" t="s">
        <v>1798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0" t="str">
        <f aca="false">IFERROR(INDEX('Mov Entradas (Rel 10497)'!$L:$L,MATCH(AC1795,'Mov Entradas (Rel 10497)'!$I:$I,0)),"nao encontrado")</f>
        <v>ASACOMP.FRAG1K</v>
      </c>
      <c r="AC1795" s="0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46239</v>
      </c>
      <c r="C1796" s="23" t="n">
        <v>46268</v>
      </c>
      <c r="D1796" s="1" t="n">
        <v>1612</v>
      </c>
      <c r="E1796" s="1" t="s">
        <v>266</v>
      </c>
      <c r="F1796" s="1" t="n">
        <v>24</v>
      </c>
      <c r="G1796" s="1" t="s">
        <v>43</v>
      </c>
      <c r="H1796" s="1" t="n">
        <v>1110204</v>
      </c>
      <c r="I1796" s="1" t="s">
        <v>204</v>
      </c>
      <c r="J1796" s="1" t="n">
        <v>1504117</v>
      </c>
      <c r="L1796" s="1" t="n">
        <v>23076073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496.59</v>
      </c>
      <c r="W1796" s="1" t="n">
        <v>0</v>
      </c>
      <c r="X1796" s="1" t="s">
        <v>1799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0" t="str">
        <f aca="false">IFERROR(INDEX('Mov Entradas (Rel 10497)'!$L:$L,MATCH(AC1796,'Mov Entradas (Rel 10497)'!$I:$I,0)),"nao encontrado")</f>
        <v>AMENDOIM JAPONES DORI 30G</v>
      </c>
      <c r="AC1796" s="0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46239</v>
      </c>
      <c r="C1797" s="23" t="n">
        <v>46268</v>
      </c>
      <c r="D1797" s="1" t="n">
        <v>1612</v>
      </c>
      <c r="E1797" s="1" t="s">
        <v>266</v>
      </c>
      <c r="F1797" s="1" t="n">
        <v>24</v>
      </c>
      <c r="G1797" s="1" t="s">
        <v>43</v>
      </c>
      <c r="H1797" s="1" t="n">
        <v>1110204</v>
      </c>
      <c r="I1797" s="1" t="s">
        <v>204</v>
      </c>
      <c r="J1797" s="1" t="n">
        <v>1504139</v>
      </c>
      <c r="L1797" s="1" t="n">
        <v>23076083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368.38</v>
      </c>
      <c r="W1797" s="1" t="n">
        <v>0</v>
      </c>
      <c r="X1797" s="1" t="s">
        <v>1800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0" t="str">
        <f aca="false">IFERROR(INDEX('Mov Entradas (Rel 10497)'!$L:$L,MATCH(AC1797,'Mov Entradas (Rel 10497)'!$I:$I,0)),"nao encontrado")</f>
        <v>OVO KINDER JOY 20G</v>
      </c>
      <c r="AC1797" s="0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46239</v>
      </c>
      <c r="C1798" s="23" t="n">
        <v>46268</v>
      </c>
      <c r="D1798" s="1" t="n">
        <v>1601</v>
      </c>
      <c r="E1798" s="1" t="s">
        <v>156</v>
      </c>
      <c r="F1798" s="1" t="n">
        <v>24</v>
      </c>
      <c r="G1798" s="1" t="s">
        <v>43</v>
      </c>
      <c r="H1798" s="1" t="n">
        <v>1110204</v>
      </c>
      <c r="I1798" s="1" t="s">
        <v>204</v>
      </c>
      <c r="J1798" s="1" t="n">
        <v>1508061</v>
      </c>
      <c r="L1798" s="1" t="n">
        <v>9610983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477.87</v>
      </c>
      <c r="W1798" s="1" t="n">
        <v>0</v>
      </c>
      <c r="X1798" s="1" t="s">
        <v>1801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0" t="str">
        <f aca="false">IFERROR(INDEX('Mov Entradas (Rel 10497)'!$L:$L,MATCH(AC1798,'Mov Entradas (Rel 10497)'!$I:$I,0)),"nao encontrado")</f>
        <v>TRIGO TRIGOLAR C/F1K</v>
      </c>
      <c r="AC1798" s="0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46247</v>
      </c>
      <c r="C1799" s="23" t="n">
        <v>46268</v>
      </c>
      <c r="D1799" s="1" t="n">
        <v>1740</v>
      </c>
      <c r="E1799" s="1" t="s">
        <v>171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1542816</v>
      </c>
      <c r="L1799" s="1" t="n">
        <v>12589882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47</v>
      </c>
      <c r="S1799" s="1" t="n">
        <v>1130101</v>
      </c>
      <c r="T1799" s="1" t="s">
        <v>48</v>
      </c>
      <c r="U1799" s="1" t="n">
        <v>354.21</v>
      </c>
      <c r="W1799" s="1" t="n">
        <v>0</v>
      </c>
      <c r="X1799" s="1" t="s">
        <v>1802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0" t="str">
        <f aca="false">IFERROR(INDEX('Mov Entradas (Rel 10497)'!$L:$L,MATCH(AC1799,'Mov Entradas (Rel 10497)'!$I:$I,0)),"nao encontrado")</f>
        <v>IOG BI-CAMADA MGO CO</v>
      </c>
      <c r="AC1799" s="0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46239</v>
      </c>
      <c r="C1800" s="23" t="n">
        <v>46268</v>
      </c>
      <c r="D1800" s="1" t="n">
        <v>1107</v>
      </c>
      <c r="E1800" s="1" t="s">
        <v>166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1509650</v>
      </c>
      <c r="L1800" s="1" t="n">
        <v>4383353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984.44</v>
      </c>
      <c r="W1800" s="1" t="n">
        <v>0</v>
      </c>
      <c r="X1800" s="1" t="s">
        <v>1803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0" t="str">
        <f aca="false">IFERROR(INDEX('Mov Entradas (Rel 10497)'!$L:$L,MATCH(AC1800,'Mov Entradas (Rel 10497)'!$I:$I,0)),"nao encontrado")</f>
        <v>BOLINHO MORANGO 7308</v>
      </c>
      <c r="AC1800" s="0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46245</v>
      </c>
      <c r="C1801" s="23" t="n">
        <v>46268</v>
      </c>
      <c r="D1801" s="1" t="n">
        <v>1699</v>
      </c>
      <c r="E1801" s="1" t="s">
        <v>61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1537045</v>
      </c>
      <c r="L1801" s="1" t="n">
        <v>3107412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1384</v>
      </c>
      <c r="W1801" s="1" t="n">
        <v>0</v>
      </c>
      <c r="X1801" s="1" t="s">
        <v>1804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0" t="str">
        <f aca="false">IFERROR(INDEX('Mov Entradas (Rel 10497)'!$L:$L,MATCH(AC1801,'Mov Entradas (Rel 10497)'!$I:$I,0)),"nao encontrado")</f>
        <v>LING CALABRESA PERD</v>
      </c>
      <c r="AC1801" s="0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46247</v>
      </c>
      <c r="C1802" s="23" t="n">
        <v>46268</v>
      </c>
      <c r="D1802" s="1" t="n">
        <v>1921</v>
      </c>
      <c r="E1802" s="1" t="s">
        <v>249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1543026</v>
      </c>
      <c r="L1802" s="1" t="n">
        <v>137022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355.96</v>
      </c>
      <c r="W1802" s="1" t="n">
        <v>0</v>
      </c>
      <c r="X1802" s="1" t="s">
        <v>1805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0" t="str">
        <f aca="false">IFERROR(INDEX('Mov Entradas (Rel 10497)'!$L:$L,MATCH(AC1802,'Mov Entradas (Rel 10497)'!$I:$I,0)),"nao encontrado")</f>
        <v>CANJICA MILHO BRANCO 400G</v>
      </c>
      <c r="AC1802" s="0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46253</v>
      </c>
      <c r="C1803" s="23" t="n">
        <v>46268</v>
      </c>
      <c r="D1803" s="1" t="n">
        <v>1601</v>
      </c>
      <c r="E1803" s="1" t="s">
        <v>156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1576463</v>
      </c>
      <c r="L1803" s="1" t="n">
        <v>9663141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603.25</v>
      </c>
      <c r="W1803" s="1" t="n">
        <v>0</v>
      </c>
      <c r="X1803" s="1" t="s">
        <v>1806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0" t="str">
        <f aca="false">IFERROR(INDEX('Mov Entradas (Rel 10497)'!$L:$L,MATCH(AC1803,'Mov Entradas (Rel 10497)'!$I:$I,0)),"nao encontrado")</f>
        <v>nao encontrado</v>
      </c>
      <c r="AC1803" s="0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46269</v>
      </c>
      <c r="D1804" s="1" t="n">
        <v>33</v>
      </c>
      <c r="E1804" s="1" t="s">
        <v>72</v>
      </c>
      <c r="F1804" s="1" t="n">
        <v>34</v>
      </c>
      <c r="G1804" s="1" t="s">
        <v>34</v>
      </c>
      <c r="H1804" s="1" t="n">
        <v>2110405</v>
      </c>
      <c r="I1804" s="1" t="s">
        <v>35</v>
      </c>
      <c r="J1804" s="1" t="n">
        <v>1464721</v>
      </c>
      <c r="L1804" s="1" t="n">
        <v>227878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247</v>
      </c>
      <c r="S1804" s="1" t="n">
        <v>2210202</v>
      </c>
      <c r="T1804" s="1" t="s">
        <v>247</v>
      </c>
      <c r="U1804" s="1" t="n">
        <v>1000</v>
      </c>
      <c r="W1804" s="1" t="n">
        <v>0</v>
      </c>
      <c r="X1804" s="1" t="s">
        <v>248</v>
      </c>
      <c r="Z1804" s="1" t="str">
        <f aca="false">IF($T1804="","",IFERROR(INDEX('Resumo Grupos'!$AC$3:$AC$200,MATCH($T1804,'Resumo Grupos'!$AB$3:$AB$200,0)),"n/d"))</f>
        <v>Empréstimo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46234</v>
      </c>
      <c r="C1805" s="23" t="n">
        <v>46269</v>
      </c>
      <c r="D1805" s="1" t="n">
        <v>519</v>
      </c>
      <c r="E1805" s="1" t="s">
        <v>244</v>
      </c>
      <c r="F1805" s="1" t="n">
        <v>34</v>
      </c>
      <c r="G1805" s="1" t="s">
        <v>34</v>
      </c>
      <c r="H1805" s="1" t="n">
        <v>2110405</v>
      </c>
      <c r="I1805" s="1" t="s">
        <v>35</v>
      </c>
      <c r="J1805" s="1" t="n">
        <v>1477410</v>
      </c>
      <c r="L1805" s="1" t="n">
        <v>229713</v>
      </c>
      <c r="M1805" s="1" t="s">
        <v>151</v>
      </c>
      <c r="N1805" s="1" t="s">
        <v>37</v>
      </c>
      <c r="P1805" s="1" t="n">
        <v>101</v>
      </c>
      <c r="Q1805" s="1" t="s">
        <v>38</v>
      </c>
      <c r="R1805" s="1" t="s">
        <v>247</v>
      </c>
      <c r="S1805" s="1" t="n">
        <v>2210203</v>
      </c>
      <c r="T1805" s="1" t="s">
        <v>1534</v>
      </c>
      <c r="U1805" s="1" t="n">
        <v>50000</v>
      </c>
      <c r="W1805" s="1" t="n">
        <v>0</v>
      </c>
      <c r="X1805" s="1" t="s">
        <v>1535</v>
      </c>
      <c r="Z1805" s="1" t="str">
        <f aca="false">IF($T1805="","",IFERROR(INDEX('Resumo Grupos'!$AC$3:$AC$200,MATCH($T1805,'Resumo Grupos'!$AB$3:$AB$200,0)),"n/d"))</f>
        <v>Empréstimo</v>
      </c>
      <c r="AA1805" s="1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1" t="n">
        <v>3</v>
      </c>
      <c r="B1806" s="23" t="n">
        <v>46239</v>
      </c>
      <c r="C1806" s="23" t="n">
        <v>46269</v>
      </c>
      <c r="D1806" s="1" t="n">
        <v>1699</v>
      </c>
      <c r="E1806" s="1" t="s">
        <v>61</v>
      </c>
      <c r="F1806" s="1" t="n">
        <v>24</v>
      </c>
      <c r="G1806" s="1" t="s">
        <v>43</v>
      </c>
      <c r="H1806" s="1" t="n">
        <v>2110405</v>
      </c>
      <c r="I1806" s="1" t="s">
        <v>35</v>
      </c>
      <c r="J1806" s="1" t="n">
        <v>1512621</v>
      </c>
      <c r="L1806" s="1" t="n">
        <v>3101543</v>
      </c>
      <c r="M1806" s="1" t="s">
        <v>45</v>
      </c>
      <c r="N1806" s="1" t="s">
        <v>37</v>
      </c>
      <c r="P1806" s="1" t="n">
        <v>167</v>
      </c>
      <c r="Q1806" s="1" t="s">
        <v>102</v>
      </c>
      <c r="R1806" s="1" t="s">
        <v>47</v>
      </c>
      <c r="S1806" s="1" t="n">
        <v>1130101</v>
      </c>
      <c r="T1806" s="1" t="s">
        <v>48</v>
      </c>
      <c r="U1806" s="1" t="n">
        <v>986.04</v>
      </c>
      <c r="W1806" s="1" t="n">
        <v>0</v>
      </c>
      <c r="X1806" s="1" t="s">
        <v>1807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0" t="str">
        <f aca="false">IFERROR(INDEX('Mov Entradas (Rel 10497)'!$L:$L,MATCH(AC1806,'Mov Entradas (Rel 10497)'!$I:$I,0)),"nao encontrado")</f>
        <v>CONS CARNE BO320G</v>
      </c>
      <c r="AC1806" s="0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46240</v>
      </c>
      <c r="C1807" s="23" t="n">
        <v>46269</v>
      </c>
      <c r="D1807" s="1" t="n">
        <v>1136</v>
      </c>
      <c r="E1807" s="1" t="s">
        <v>695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1513145</v>
      </c>
      <c r="L1807" s="1" t="n">
        <v>535483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500.78</v>
      </c>
      <c r="W1807" s="1" t="n">
        <v>0</v>
      </c>
      <c r="X1807" s="1" t="s">
        <v>1808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0" t="str">
        <f aca="false">IFERROR(INDEX('Mov Entradas (Rel 10497)'!$L:$L,MATCH(AC1807,'Mov Entradas (Rel 10497)'!$I:$I,0)),"nao encontrado")</f>
        <v>ESCOVA DENTAL WIT BA</v>
      </c>
      <c r="AC1807" s="0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46234</v>
      </c>
      <c r="C1808" s="23" t="n">
        <v>46269</v>
      </c>
      <c r="D1808" s="1" t="n">
        <v>1675</v>
      </c>
      <c r="E1808" s="1" t="s">
        <v>164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1517556</v>
      </c>
      <c r="L1808" s="1" t="n">
        <v>5068382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300.54</v>
      </c>
      <c r="W1808" s="1" t="n">
        <v>0</v>
      </c>
      <c r="X1808" s="1" t="s">
        <v>1809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0" t="str">
        <f aca="false">IFERROR(INDEX('Mov Entradas (Rel 10497)'!$L:$L,MATCH(AC1808,'Mov Entradas (Rel 10497)'!$I:$I,0)),"nao encontrado")</f>
        <v>nao encontrado</v>
      </c>
      <c r="AC1808" s="0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46249</v>
      </c>
      <c r="C1809" s="23" t="n">
        <v>46269</v>
      </c>
      <c r="D1809" s="1" t="n">
        <v>1815</v>
      </c>
      <c r="E1809" s="1" t="s">
        <v>54</v>
      </c>
      <c r="F1809" s="1" t="n">
        <v>24</v>
      </c>
      <c r="G1809" s="1" t="s">
        <v>43</v>
      </c>
      <c r="H1809" s="1" t="n">
        <v>2110405</v>
      </c>
      <c r="I1809" s="1" t="s">
        <v>35</v>
      </c>
      <c r="J1809" s="1" t="n">
        <v>1551639</v>
      </c>
      <c r="L1809" s="1" t="n">
        <v>4625882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655.61</v>
      </c>
      <c r="W1809" s="1" t="n">
        <v>0</v>
      </c>
      <c r="X1809" s="1" t="s">
        <v>1810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0" t="str">
        <f aca="false">IFERROR(INDEX('Mov Entradas (Rel 10497)'!$L:$L,MATCH(AC1809,'Mov Entradas (Rel 10497)'!$I:$I,0)),"nao encontrado")</f>
        <v>FIGADO BOVINO KG</v>
      </c>
      <c r="AC1809" s="0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46247</v>
      </c>
      <c r="C1810" s="23" t="n">
        <v>46269</v>
      </c>
      <c r="D1810" s="1" t="n">
        <v>1720</v>
      </c>
      <c r="E1810" s="1" t="s">
        <v>988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1551686</v>
      </c>
      <c r="L1810" s="1" t="n">
        <v>613791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625.75</v>
      </c>
      <c r="W1810" s="1" t="n">
        <v>0</v>
      </c>
      <c r="X1810" s="1" t="s">
        <v>1811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0" t="str">
        <f aca="false">IFERROR(INDEX('Mov Entradas (Rel 10497)'!$L:$L,MATCH(AC1810,'Mov Entradas (Rel 10497)'!$I:$I,0)),"nao encontrado")</f>
        <v>VELAS D'LUZ 8UN</v>
      </c>
      <c r="AC1810" s="0" t="n">
        <v>48211</v>
      </c>
    </row>
    <row r="1811" customFormat="false" ht="12.75" hidden="false" customHeight="true" outlineLevel="0" collapsed="false">
      <c r="A1811" s="1" t="n">
        <v>3</v>
      </c>
      <c r="B1811" s="23" t="n">
        <v>46147</v>
      </c>
      <c r="C1811" s="23" t="n">
        <v>46270</v>
      </c>
      <c r="D1811" s="1" t="n">
        <v>515</v>
      </c>
      <c r="E1811" s="1" t="s">
        <v>106</v>
      </c>
      <c r="F1811" s="1" t="n">
        <v>34</v>
      </c>
      <c r="G1811" s="1" t="s">
        <v>34</v>
      </c>
      <c r="H1811" s="1" t="n">
        <v>2110405</v>
      </c>
      <c r="I1811" s="1" t="s">
        <v>35</v>
      </c>
      <c r="J1811" s="1" t="n">
        <v>1157461</v>
      </c>
      <c r="L1811" s="1" t="n">
        <v>181615</v>
      </c>
      <c r="M1811" s="1" t="s">
        <v>382</v>
      </c>
      <c r="N1811" s="1" t="s">
        <v>37</v>
      </c>
      <c r="P1811" s="1" t="n">
        <v>101</v>
      </c>
      <c r="Q1811" s="1" t="s">
        <v>38</v>
      </c>
      <c r="R1811" s="1" t="s">
        <v>86</v>
      </c>
      <c r="S1811" s="1" t="n">
        <v>4210508</v>
      </c>
      <c r="T1811" s="1" t="s">
        <v>107</v>
      </c>
      <c r="U1811" s="1" t="n">
        <v>151.61</v>
      </c>
      <c r="W1811" s="1" t="n">
        <v>0</v>
      </c>
      <c r="X1811" s="1" t="s">
        <v>1812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46231</v>
      </c>
      <c r="C1812" s="23" t="n">
        <v>46270</v>
      </c>
      <c r="D1812" s="1" t="n">
        <v>1040</v>
      </c>
      <c r="E1812" s="1" t="s">
        <v>217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1464735</v>
      </c>
      <c r="L1812" s="1" t="n">
        <v>227881</v>
      </c>
      <c r="M1812" s="1" t="s">
        <v>45</v>
      </c>
      <c r="N1812" s="1" t="s">
        <v>37</v>
      </c>
      <c r="P1812" s="1" t="n">
        <v>101</v>
      </c>
      <c r="Q1812" s="1" t="s">
        <v>38</v>
      </c>
      <c r="R1812" s="1" t="s">
        <v>39</v>
      </c>
      <c r="S1812" s="1" t="n">
        <v>4210201</v>
      </c>
      <c r="T1812" s="1" t="s">
        <v>218</v>
      </c>
      <c r="U1812" s="1" t="n">
        <v>286</v>
      </c>
      <c r="W1812" s="1" t="n">
        <v>0</v>
      </c>
      <c r="X1812" s="1" t="s">
        <v>1403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46233</v>
      </c>
      <c r="C1813" s="23" t="n">
        <v>46272</v>
      </c>
      <c r="D1813" s="1" t="n">
        <v>1636</v>
      </c>
      <c r="E1813" s="1" t="s">
        <v>50</v>
      </c>
      <c r="F1813" s="1" t="n">
        <v>24</v>
      </c>
      <c r="G1813" s="1" t="s">
        <v>43</v>
      </c>
      <c r="H1813" s="1" t="n">
        <v>1110204</v>
      </c>
      <c r="I1813" s="1" t="s">
        <v>204</v>
      </c>
      <c r="J1813" s="1" t="n">
        <v>1495417</v>
      </c>
      <c r="L1813" s="1" t="n">
        <v>232254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949.63</v>
      </c>
      <c r="W1813" s="1" t="n">
        <v>0</v>
      </c>
      <c r="X1813" s="1" t="s">
        <v>1813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0" t="str">
        <f aca="false">IFERROR(INDEX('Mov Entradas (Rel 10497)'!$L:$L,MATCH(AC1813,'Mov Entradas (Rel 10497)'!$I:$I,0)),"nao encontrado")</f>
        <v>ADOC ADOCYL SACARINA 100ML</v>
      </c>
      <c r="AC1813" s="0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46237</v>
      </c>
      <c r="C1814" s="23" t="n">
        <v>46272</v>
      </c>
      <c r="D1814" s="1" t="n">
        <v>846</v>
      </c>
      <c r="E1814" s="1" t="s">
        <v>264</v>
      </c>
      <c r="F1814" s="1" t="n">
        <v>24</v>
      </c>
      <c r="G1814" s="1" t="s">
        <v>43</v>
      </c>
      <c r="H1814" s="1" t="n">
        <v>1110204</v>
      </c>
      <c r="I1814" s="1" t="s">
        <v>204</v>
      </c>
      <c r="J1814" s="1" t="n">
        <v>1498628</v>
      </c>
      <c r="L1814" s="1" t="n">
        <v>8464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47</v>
      </c>
      <c r="S1814" s="1" t="n">
        <v>1130101</v>
      </c>
      <c r="T1814" s="1" t="s">
        <v>48</v>
      </c>
      <c r="U1814" s="1" t="n">
        <v>538.18</v>
      </c>
      <c r="W1814" s="1" t="n">
        <v>0</v>
      </c>
      <c r="X1814" s="1" t="s">
        <v>1814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0" t="str">
        <f aca="false">IFERROR(INDEX('Mov Entradas (Rel 10497)'!$L:$L,MATCH(AC1814,'Mov Entradas (Rel 10497)'!$I:$I,0)),"nao encontrado")</f>
        <v>PRENDEDOR DE ROUPA M</v>
      </c>
      <c r="AC1814" s="0" t="n">
        <v>846</v>
      </c>
    </row>
    <row r="1815" customFormat="false" ht="12.75" hidden="false" customHeight="true" outlineLevel="0" collapsed="false">
      <c r="A1815" s="1" t="n">
        <v>3</v>
      </c>
      <c r="B1815" s="23" t="n">
        <v>46239</v>
      </c>
      <c r="C1815" s="23" t="n">
        <v>46272</v>
      </c>
      <c r="D1815" s="1" t="n">
        <v>1659</v>
      </c>
      <c r="E1815" s="1" t="s">
        <v>253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1509248</v>
      </c>
      <c r="L1815" s="1" t="n">
        <v>8893821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710.92</v>
      </c>
      <c r="W1815" s="1" t="n">
        <v>0</v>
      </c>
      <c r="X1815" s="1" t="s">
        <v>1815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0" t="str">
        <f aca="false">IFERROR(INDEX('Mov Entradas (Rel 10497)'!$L:$L,MATCH(AC1815,'Mov Entradas (Rel 10497)'!$I:$I,0)),"nao encontrado")</f>
        <v>SAND IPAN CL AZUL MASC 21307</v>
      </c>
      <c r="AC1815" s="0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46244</v>
      </c>
      <c r="C1816" s="23" t="n">
        <v>46272</v>
      </c>
      <c r="D1816" s="1" t="n">
        <v>1657</v>
      </c>
      <c r="E1816" s="1" t="s">
        <v>257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1543751</v>
      </c>
      <c r="L1816" s="1" t="n">
        <v>3783783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1028.18</v>
      </c>
      <c r="W1816" s="1" t="n">
        <v>0</v>
      </c>
      <c r="X1816" s="1" t="s">
        <v>1816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0" t="str">
        <f aca="false">IFERROR(INDEX('Mov Entradas (Rel 10497)'!$L:$L,MATCH(AC1816,'Mov Entradas (Rel 10497)'!$I:$I,0)),"nao encontrado")</f>
        <v>TALCO BARLA 140G</v>
      </c>
      <c r="AC1816" s="0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46247</v>
      </c>
      <c r="C1817" s="23" t="n">
        <v>46272</v>
      </c>
      <c r="D1817" s="1" t="n">
        <v>1659</v>
      </c>
      <c r="E1817" s="1" t="s">
        <v>253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1551747</v>
      </c>
      <c r="L1817" s="1" t="n">
        <v>8908272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1265.74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0" t="str">
        <f aca="false">IFERROR(INDEX('Mov Entradas (Rel 10497)'!$L:$L,MATCH(AC1817,'Mov Entradas (Rel 10497)'!$I:$I,0)),"nao encontrado")</f>
        <v>MOCOQUINHA 200ML</v>
      </c>
      <c r="AC1817" s="0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46251</v>
      </c>
      <c r="C1818" s="23" t="n">
        <v>46272</v>
      </c>
      <c r="D1818" s="1" t="n">
        <v>1676</v>
      </c>
      <c r="E1818" s="1" t="s">
        <v>255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1566065</v>
      </c>
      <c r="L1818" s="1" t="n">
        <v>1097422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427.28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0" t="str">
        <f aca="false">IFERROR(INDEX('Mov Entradas (Rel 10497)'!$L:$L,MATCH(AC1818,'Mov Entradas (Rel 10497)'!$I:$I,0)),"nao encontrado")</f>
        <v>ERVILHA EMILHO OLE V</v>
      </c>
      <c r="AC1818" s="0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46248</v>
      </c>
      <c r="C1819" s="23" t="n">
        <v>46272</v>
      </c>
      <c r="D1819" s="1" t="n">
        <v>1107</v>
      </c>
      <c r="E1819" s="1" t="s">
        <v>166</v>
      </c>
      <c r="F1819" s="1" t="n">
        <v>24</v>
      </c>
      <c r="G1819" s="1" t="s">
        <v>43</v>
      </c>
      <c r="H1819" s="1" t="n">
        <v>2110405</v>
      </c>
      <c r="I1819" s="1" t="s">
        <v>35</v>
      </c>
      <c r="J1819" s="1" t="n">
        <v>1566509</v>
      </c>
      <c r="L1819" s="1" t="n">
        <v>4437342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273.52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0" t="str">
        <f aca="false">IFERROR(INDEX('Mov Entradas (Rel 10497)'!$L:$L,MATCH(AC1819,'Mov Entradas (Rel 10497)'!$I:$I,0)),"nao encontrado")</f>
        <v>SCH DOG PEDIGR FIL</v>
      </c>
      <c r="AC1819" s="0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46211</v>
      </c>
      <c r="C1820" s="23" t="n">
        <v>46273</v>
      </c>
      <c r="D1820" s="1" t="n">
        <v>1398</v>
      </c>
      <c r="E1820" s="1" t="s">
        <v>1246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1397037</v>
      </c>
      <c r="L1820" s="1" t="n">
        <v>33334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592.05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0" t="str">
        <f aca="false">IFERROR(INDEX('Mov Entradas (Rel 10497)'!$L:$L,MATCH(AC1820,'Mov Entradas (Rel 10497)'!$I:$I,0)),"nao encontrado")</f>
        <v>CADERNO STIFF AMAREL</v>
      </c>
      <c r="AC1820" s="0" t="n">
        <v>1330</v>
      </c>
    </row>
    <row r="1821" customFormat="false" ht="12.75" hidden="false" customHeight="true" outlineLevel="0" collapsed="false">
      <c r="A1821" s="1" t="n">
        <v>3</v>
      </c>
      <c r="B1821" s="23" t="n">
        <v>46245</v>
      </c>
      <c r="C1821" s="23" t="n">
        <v>46273</v>
      </c>
      <c r="D1821" s="1" t="n">
        <v>1804</v>
      </c>
      <c r="E1821" s="1" t="s">
        <v>701</v>
      </c>
      <c r="F1821" s="1" t="n">
        <v>24</v>
      </c>
      <c r="G1821" s="1" t="s">
        <v>43</v>
      </c>
      <c r="H1821" s="1" t="n">
        <v>2110405</v>
      </c>
      <c r="I1821" s="1" t="s">
        <v>35</v>
      </c>
      <c r="J1821" s="1" t="n">
        <v>1531970</v>
      </c>
      <c r="L1821" s="1" t="n">
        <v>337573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879.72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0" t="str">
        <f aca="false">IFERROR(INDEX('Mov Entradas (Rel 10497)'!$L:$L,MATCH(AC1821,'Mov Entradas (Rel 10497)'!$I:$I,0)),"nao encontrado")</f>
        <v>FRALDA PANDA G 07UN</v>
      </c>
      <c r="AC1821" s="0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46244</v>
      </c>
      <c r="C1822" s="23" t="n">
        <v>46273</v>
      </c>
      <c r="D1822" s="1" t="n">
        <v>1636</v>
      </c>
      <c r="E1822" s="1" t="s">
        <v>50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1540562</v>
      </c>
      <c r="L1822" s="1" t="n">
        <v>32349333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421.85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0" t="str">
        <f aca="false">IFERROR(INDEX('Mov Entradas (Rel 10497)'!$L:$L,MATCH(AC1822,'Mov Entradas (Rel 10497)'!$I:$I,0)),"nao encontrado")</f>
        <v>AZEITE MARIA TRAD. 5</v>
      </c>
      <c r="AC1822" s="0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46251</v>
      </c>
      <c r="C1823" s="23" t="n">
        <v>46273</v>
      </c>
      <c r="D1823" s="1" t="n">
        <v>10009</v>
      </c>
      <c r="E1823" s="1" t="s">
        <v>375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1566458</v>
      </c>
      <c r="L1823" s="1" t="n">
        <v>1439013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1060.48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0" t="str">
        <f aca="false">IFERROR(INDEX('Mov Entradas (Rel 10497)'!$L:$L,MATCH(AC1823,'Mov Entradas (Rel 10497)'!$I:$I,0)),"nao encontrado")</f>
        <v>NESQUIK 380G</v>
      </c>
      <c r="AC1823" s="0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46248</v>
      </c>
      <c r="C1824" s="23" t="n">
        <v>46273</v>
      </c>
      <c r="D1824" s="1" t="n">
        <v>1739</v>
      </c>
      <c r="E1824" s="1" t="s">
        <v>1824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1566609</v>
      </c>
      <c r="L1824" s="1" t="n">
        <v>2551471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842.3</v>
      </c>
      <c r="W1824" s="1" t="n">
        <v>0</v>
      </c>
      <c r="X1824" s="1" t="s">
        <v>1825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0" t="str">
        <f aca="false">IFERROR(INDEX('Mov Entradas (Rel 10497)'!$L:$L,MATCH(AC1824,'Mov Entradas (Rel 10497)'!$I:$I,0)),"nao encontrado")</f>
        <v>PRESERVATIVO LV8 PG6</v>
      </c>
      <c r="AC1824" s="0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46251</v>
      </c>
      <c r="C1825" s="23" t="n">
        <v>46273</v>
      </c>
      <c r="D1825" s="1" t="n">
        <v>10009</v>
      </c>
      <c r="E1825" s="1" t="s">
        <v>375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1566801</v>
      </c>
      <c r="L1825" s="1" t="n">
        <v>1439755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1052.36</v>
      </c>
      <c r="W1825" s="1" t="n">
        <v>0</v>
      </c>
      <c r="X1825" s="1" t="s">
        <v>1826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0" t="str">
        <f aca="false">IFERROR(INDEX('Mov Entradas (Rel 10497)'!$L:$L,MATCH(AC1825,'Mov Entradas (Rel 10497)'!$I:$I,0)),"nao encontrado")</f>
        <v>AVEIA NESTL FLOC170G</v>
      </c>
      <c r="AC1825" s="0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46252</v>
      </c>
      <c r="C1826" s="23" t="n">
        <v>46273</v>
      </c>
      <c r="D1826" s="1" t="n">
        <v>1740</v>
      </c>
      <c r="E1826" s="1" t="s">
        <v>171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1567962</v>
      </c>
      <c r="L1826" s="1" t="n">
        <v>12600912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888.75</v>
      </c>
      <c r="W1826" s="1" t="n">
        <v>0</v>
      </c>
      <c r="X1826" s="1" t="s">
        <v>1827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0" t="str">
        <f aca="false">IFERROR(INDEX('Mov Entradas (Rel 10497)'!$L:$L,MATCH(AC1826,'Mov Entradas (Rel 10497)'!$I:$I,0)),"nao encontrado")</f>
        <v>LINGUI DE FRANGO KG</v>
      </c>
      <c r="AC1826" s="0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46252</v>
      </c>
      <c r="C1827" s="23" t="n">
        <v>46273</v>
      </c>
      <c r="D1827" s="1" t="n">
        <v>10009</v>
      </c>
      <c r="E1827" s="1" t="s">
        <v>375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1572814</v>
      </c>
      <c r="L1827" s="1" t="n">
        <v>1440073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437.25</v>
      </c>
      <c r="W1827" s="1" t="n">
        <v>0</v>
      </c>
      <c r="X1827" s="1" t="s">
        <v>1828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0" t="str">
        <f aca="false">IFERROR(INDEX('Mov Entradas (Rel 10497)'!$L:$L,MATCH(AC1827,'Mov Entradas (Rel 10497)'!$I:$I,0)),"nao encontrado")</f>
        <v>TALENTO CSTN 85G</v>
      </c>
      <c r="AC1827" s="0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46251</v>
      </c>
      <c r="C1828" s="23" t="n">
        <v>46273</v>
      </c>
      <c r="D1828" s="1" t="n">
        <v>1636</v>
      </c>
      <c r="E1828" s="1" t="s">
        <v>50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1573124</v>
      </c>
      <c r="L1828" s="1" t="n">
        <v>32386862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924.11</v>
      </c>
      <c r="W1828" s="1" t="n">
        <v>0</v>
      </c>
      <c r="X1828" s="1" t="s">
        <v>1829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0" t="str">
        <f aca="false">IFERROR(INDEX('Mov Entradas (Rel 10497)'!$L:$L,MATCH(AC1828,'Mov Entradas (Rel 10497)'!$I:$I,0)),"nao encontrado")</f>
        <v>ABS SEMPERLIVRE SUAVE C/ABA -16UN</v>
      </c>
      <c r="AC1828" s="0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46184</v>
      </c>
      <c r="C1829" s="23" t="n">
        <v>46274</v>
      </c>
      <c r="D1829" s="1" t="n">
        <v>1611</v>
      </c>
      <c r="E1829" s="1" t="s">
        <v>447</v>
      </c>
      <c r="F1829" s="1" t="n">
        <v>24</v>
      </c>
      <c r="G1829" s="1" t="s">
        <v>43</v>
      </c>
      <c r="H1829" s="1" t="n">
        <v>2110101</v>
      </c>
      <c r="I1829" s="1" t="s">
        <v>44</v>
      </c>
      <c r="J1829" s="1" t="n">
        <v>1239689</v>
      </c>
      <c r="L1829" s="1" t="n">
        <v>180736293</v>
      </c>
      <c r="M1829" s="1" t="s">
        <v>45</v>
      </c>
      <c r="N1829" s="1" t="s">
        <v>37</v>
      </c>
      <c r="P1829" s="1" t="n">
        <v>128</v>
      </c>
      <c r="Q1829" s="1" t="s">
        <v>46</v>
      </c>
      <c r="R1829" s="1" t="s">
        <v>47</v>
      </c>
      <c r="S1829" s="1" t="n">
        <v>1130101</v>
      </c>
      <c r="T1829" s="1" t="s">
        <v>48</v>
      </c>
      <c r="U1829" s="1" t="n">
        <v>1718.76</v>
      </c>
      <c r="W1829" s="1" t="n">
        <v>0</v>
      </c>
      <c r="X1829" s="1" t="s">
        <v>1830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0" t="str">
        <f aca="false">IFERROR(INDEX('Mov Entradas (Rel 10497)'!$L:$L,MATCH(AC1829,'Mov Entradas (Rel 10497)'!$I:$I,0)),"nao encontrado")</f>
        <v>nao encontrado</v>
      </c>
      <c r="AC1829" s="0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46246</v>
      </c>
      <c r="C1830" s="23" t="n">
        <v>46274</v>
      </c>
      <c r="D1830" s="1" t="n">
        <v>1678</v>
      </c>
      <c r="E1830" s="1" t="s">
        <v>191</v>
      </c>
      <c r="F1830" s="1" t="n">
        <v>24</v>
      </c>
      <c r="G1830" s="1" t="s">
        <v>43</v>
      </c>
      <c r="H1830" s="1" t="n">
        <v>2110405</v>
      </c>
      <c r="I1830" s="1" t="s">
        <v>35</v>
      </c>
      <c r="J1830" s="1" t="n">
        <v>1542864</v>
      </c>
      <c r="L1830" s="1" t="n">
        <v>2594223</v>
      </c>
      <c r="M1830" s="1" t="s">
        <v>45</v>
      </c>
      <c r="N1830" s="1" t="s">
        <v>37</v>
      </c>
      <c r="P1830" s="1" t="n">
        <v>167</v>
      </c>
      <c r="Q1830" s="1" t="s">
        <v>102</v>
      </c>
      <c r="R1830" s="1" t="s">
        <v>47</v>
      </c>
      <c r="S1830" s="1" t="n">
        <v>1130101</v>
      </c>
      <c r="T1830" s="1" t="s">
        <v>48</v>
      </c>
      <c r="U1830" s="1" t="n">
        <v>545.13</v>
      </c>
      <c r="W1830" s="1" t="n">
        <v>0</v>
      </c>
      <c r="X1830" s="1" t="s">
        <v>1831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0" t="str">
        <f aca="false">IFERROR(INDEX('Mov Entradas (Rel 10497)'!$L:$L,MATCH(AC1830,'Mov Entradas (Rel 10497)'!$I:$I,0)),"nao encontrado")</f>
        <v>DES CREM EX-SET FLOR</v>
      </c>
      <c r="AC1830" s="0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46253</v>
      </c>
      <c r="C1831" s="23" t="n">
        <v>46274</v>
      </c>
      <c r="D1831" s="1" t="n">
        <v>1740</v>
      </c>
      <c r="E1831" s="1" t="s">
        <v>171</v>
      </c>
      <c r="F1831" s="1" t="n">
        <v>24</v>
      </c>
      <c r="G1831" s="1" t="s">
        <v>43</v>
      </c>
      <c r="H1831" s="1" t="n">
        <v>2110405</v>
      </c>
      <c r="I1831" s="1" t="s">
        <v>35</v>
      </c>
      <c r="J1831" s="1" t="n">
        <v>1573186</v>
      </c>
      <c r="L1831" s="1" t="n">
        <v>12609002</v>
      </c>
      <c r="M1831" s="1" t="s">
        <v>45</v>
      </c>
      <c r="N1831" s="1" t="s">
        <v>37</v>
      </c>
      <c r="P1831" s="1" t="n">
        <v>167</v>
      </c>
      <c r="Q1831" s="1" t="s">
        <v>102</v>
      </c>
      <c r="R1831" s="1" t="s">
        <v>47</v>
      </c>
      <c r="S1831" s="1" t="n">
        <v>1130101</v>
      </c>
      <c r="T1831" s="1" t="s">
        <v>48</v>
      </c>
      <c r="U1831" s="1" t="n">
        <v>871.13</v>
      </c>
      <c r="W1831" s="1" t="n">
        <v>0</v>
      </c>
      <c r="X1831" s="1" t="s">
        <v>1832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0" t="str">
        <f aca="false">IFERROR(INDEX('Mov Entradas (Rel 10497)'!$L:$L,MATCH(AC1831,'Mov Entradas (Rel 10497)'!$I:$I,0)),"nao encontrado")</f>
        <v>ASACOMP.FRAG1K</v>
      </c>
      <c r="AC1831" s="0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46122</v>
      </c>
      <c r="C1832" s="23" t="n">
        <v>46275</v>
      </c>
      <c r="D1832" s="1" t="n">
        <v>815</v>
      </c>
      <c r="E1832" s="1" t="s">
        <v>329</v>
      </c>
      <c r="F1832" s="1" t="n">
        <v>34</v>
      </c>
      <c r="G1832" s="1" t="s">
        <v>34</v>
      </c>
      <c r="H1832" s="1" t="n">
        <v>2110405</v>
      </c>
      <c r="I1832" s="1" t="s">
        <v>35</v>
      </c>
      <c r="J1832" s="1" t="n">
        <v>793794</v>
      </c>
      <c r="L1832" s="1" t="n">
        <v>100326</v>
      </c>
      <c r="M1832" s="1" t="s">
        <v>36</v>
      </c>
      <c r="N1832" s="1" t="s">
        <v>37</v>
      </c>
      <c r="P1832" s="1" t="n">
        <v>101</v>
      </c>
      <c r="Q1832" s="1" t="s">
        <v>38</v>
      </c>
      <c r="R1832" s="1" t="s">
        <v>140</v>
      </c>
      <c r="S1832" s="1" t="n">
        <v>2110901</v>
      </c>
      <c r="T1832" s="1" t="s">
        <v>141</v>
      </c>
      <c r="U1832" s="1" t="n">
        <v>1500</v>
      </c>
      <c r="W1832" s="1" t="n">
        <v>0</v>
      </c>
      <c r="X1832" s="1" t="s">
        <v>330</v>
      </c>
      <c r="Z1832" s="1" t="str">
        <f aca="false">IF($T1832="","",IFERROR(INDEX('Resumo Grupos'!$AC$3:$AC$200,MATCH($T1832,'Resumo Grupos'!$AB$3:$AB$200,0)),"n/d"))</f>
        <v>Empréstimo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46211</v>
      </c>
      <c r="C1833" s="23" t="n">
        <v>46275</v>
      </c>
      <c r="D1833" s="1" t="n">
        <v>33</v>
      </c>
      <c r="E1833" s="1" t="s">
        <v>72</v>
      </c>
      <c r="F1833" s="1" t="n">
        <v>34</v>
      </c>
      <c r="G1833" s="1" t="s">
        <v>34</v>
      </c>
      <c r="H1833" s="1" t="n">
        <v>2110405</v>
      </c>
      <c r="I1833" s="1" t="s">
        <v>35</v>
      </c>
      <c r="J1833" s="1" t="n">
        <v>1370731</v>
      </c>
      <c r="L1833" s="1" t="n">
        <v>213889</v>
      </c>
      <c r="M1833" s="1" t="s">
        <v>246</v>
      </c>
      <c r="N1833" s="1" t="s">
        <v>37</v>
      </c>
      <c r="P1833" s="1" t="n">
        <v>101</v>
      </c>
      <c r="Q1833" s="1" t="s">
        <v>38</v>
      </c>
      <c r="R1833" s="1" t="s">
        <v>39</v>
      </c>
      <c r="S1833" s="1" t="n">
        <v>4210222</v>
      </c>
      <c r="T1833" s="1" t="s">
        <v>1097</v>
      </c>
      <c r="U1833" s="1" t="n">
        <v>666.67</v>
      </c>
      <c r="W1833" s="1" t="n">
        <v>0</v>
      </c>
      <c r="X1833" s="1" t="s">
        <v>1098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46214</v>
      </c>
      <c r="C1834" s="23" t="n">
        <v>46275</v>
      </c>
      <c r="D1834" s="1" t="n">
        <v>1028</v>
      </c>
      <c r="E1834" s="1" t="s">
        <v>331</v>
      </c>
      <c r="F1834" s="1" t="n">
        <v>34</v>
      </c>
      <c r="G1834" s="1" t="s">
        <v>34</v>
      </c>
      <c r="H1834" s="1" t="n">
        <v>2110405</v>
      </c>
      <c r="I1834" s="1" t="s">
        <v>35</v>
      </c>
      <c r="J1834" s="1" t="n">
        <v>1382524</v>
      </c>
      <c r="L1834" s="1" t="n">
        <v>215701</v>
      </c>
      <c r="M1834" s="1" t="s">
        <v>246</v>
      </c>
      <c r="N1834" s="1" t="s">
        <v>37</v>
      </c>
      <c r="P1834" s="1" t="n">
        <v>101</v>
      </c>
      <c r="Q1834" s="1" t="s">
        <v>38</v>
      </c>
      <c r="R1834" s="1" t="s">
        <v>64</v>
      </c>
      <c r="S1834" s="1" t="n">
        <v>4210111</v>
      </c>
      <c r="T1834" s="1" t="s">
        <v>332</v>
      </c>
      <c r="U1834" s="1" t="n">
        <v>5500</v>
      </c>
      <c r="W1834" s="1" t="n">
        <v>0</v>
      </c>
      <c r="X1834" s="1" t="s">
        <v>967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46234</v>
      </c>
      <c r="C1835" s="23" t="n">
        <v>46275</v>
      </c>
      <c r="D1835" s="1" t="n">
        <v>815</v>
      </c>
      <c r="E1835" s="1" t="s">
        <v>329</v>
      </c>
      <c r="F1835" s="1" t="n">
        <v>34</v>
      </c>
      <c r="G1835" s="1" t="s">
        <v>34</v>
      </c>
      <c r="H1835" s="1" t="n">
        <v>2110405</v>
      </c>
      <c r="I1835" s="1" t="s">
        <v>35</v>
      </c>
      <c r="J1835" s="1" t="n">
        <v>1477448</v>
      </c>
      <c r="L1835" s="1" t="n">
        <v>229731</v>
      </c>
      <c r="M1835" s="1" t="s">
        <v>151</v>
      </c>
      <c r="N1835" s="1" t="s">
        <v>37</v>
      </c>
      <c r="P1835" s="1" t="n">
        <v>101</v>
      </c>
      <c r="Q1835" s="1" t="s">
        <v>38</v>
      </c>
      <c r="R1835" s="1" t="s">
        <v>247</v>
      </c>
      <c r="S1835" s="1" t="n">
        <v>2210203</v>
      </c>
      <c r="T1835" s="1" t="s">
        <v>1534</v>
      </c>
      <c r="U1835" s="1" t="n">
        <v>75000</v>
      </c>
      <c r="W1835" s="1" t="n">
        <v>0</v>
      </c>
      <c r="X1835" s="1" t="s">
        <v>1536</v>
      </c>
      <c r="Z1835" s="1" t="str">
        <f aca="false">IF($T1835="","",IFERROR(INDEX('Resumo Grupos'!$AC$3:$AC$200,MATCH($T1835,'Resumo Grupos'!$AB$3:$AB$200,0)),"n/d"))</f>
        <v>Empréstimo</v>
      </c>
      <c r="AA1835" s="1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1" t="n">
        <v>3</v>
      </c>
      <c r="B1836" s="23" t="n">
        <v>46244</v>
      </c>
      <c r="C1836" s="23" t="n">
        <v>46275</v>
      </c>
      <c r="D1836" s="1" t="n">
        <v>33</v>
      </c>
      <c r="E1836" s="1" t="s">
        <v>72</v>
      </c>
      <c r="F1836" s="1" t="n">
        <v>34</v>
      </c>
      <c r="G1836" s="1" t="s">
        <v>34</v>
      </c>
      <c r="H1836" s="1" t="n">
        <v>2110405</v>
      </c>
      <c r="I1836" s="1" t="s">
        <v>35</v>
      </c>
      <c r="J1836" s="1" t="n">
        <v>1530150</v>
      </c>
      <c r="L1836" s="1" t="n">
        <v>237338</v>
      </c>
      <c r="M1836" s="1" t="s">
        <v>45</v>
      </c>
      <c r="N1836" s="1" t="s">
        <v>37</v>
      </c>
      <c r="P1836" s="1" t="n">
        <v>101</v>
      </c>
      <c r="Q1836" s="1" t="s">
        <v>38</v>
      </c>
      <c r="R1836" s="1" t="s">
        <v>73</v>
      </c>
      <c r="S1836" s="1" t="n">
        <v>4210301</v>
      </c>
      <c r="T1836" s="1" t="s">
        <v>232</v>
      </c>
      <c r="U1836" s="1" t="n">
        <v>329.09</v>
      </c>
      <c r="W1836" s="1" t="n">
        <v>0</v>
      </c>
      <c r="X1836" s="1" t="s">
        <v>319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46245</v>
      </c>
      <c r="C1837" s="23" t="n">
        <v>46275</v>
      </c>
      <c r="D1837" s="1" t="n">
        <v>1699</v>
      </c>
      <c r="E1837" s="1" t="s">
        <v>61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1537079</v>
      </c>
      <c r="L1837" s="1" t="n">
        <v>3107413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1384</v>
      </c>
      <c r="W1837" s="1" t="n">
        <v>0</v>
      </c>
      <c r="X1837" s="1" t="s">
        <v>1833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0" t="str">
        <f aca="false">IFERROR(INDEX('Mov Entradas (Rel 10497)'!$L:$L,MATCH(AC1837,'Mov Entradas (Rel 10497)'!$I:$I,0)),"nao encontrado")</f>
        <v>LING CALABRESA PERD</v>
      </c>
      <c r="AC1837" s="0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46247</v>
      </c>
      <c r="C1838" s="23" t="n">
        <v>46275</v>
      </c>
      <c r="D1838" s="1" t="n">
        <v>1921</v>
      </c>
      <c r="E1838" s="1" t="s">
        <v>249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1543028</v>
      </c>
      <c r="L1838" s="1" t="n">
        <v>137023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355.95</v>
      </c>
      <c r="W1838" s="1" t="n">
        <v>0</v>
      </c>
      <c r="X1838" s="1" t="s">
        <v>1834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0" t="str">
        <f aca="false">IFERROR(INDEX('Mov Entradas (Rel 10497)'!$L:$L,MATCH(AC1838,'Mov Entradas (Rel 10497)'!$I:$I,0)),"nao encontrado")</f>
        <v>CANJICA MILHO BRANCO 400G</v>
      </c>
      <c r="AC1838" s="0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46249</v>
      </c>
      <c r="C1839" s="23" t="n">
        <v>46275</v>
      </c>
      <c r="D1839" s="1" t="n">
        <v>1815</v>
      </c>
      <c r="E1839" s="1" t="s">
        <v>54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1551647</v>
      </c>
      <c r="L1839" s="1" t="n">
        <v>4625883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655.61</v>
      </c>
      <c r="W1839" s="1" t="n">
        <v>0</v>
      </c>
      <c r="X1839" s="1" t="s">
        <v>1835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0" t="str">
        <f aca="false">IFERROR(INDEX('Mov Entradas (Rel 10497)'!$L:$L,MATCH(AC1839,'Mov Entradas (Rel 10497)'!$I:$I,0)),"nao encontrado")</f>
        <v>FIGADO BOVINO KG</v>
      </c>
      <c r="AC1839" s="0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46252</v>
      </c>
      <c r="C1840" s="23" t="n">
        <v>46275</v>
      </c>
      <c r="D1840" s="1" t="n">
        <v>1778</v>
      </c>
      <c r="E1840" s="1" t="s">
        <v>117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1566592</v>
      </c>
      <c r="L1840" s="1" t="n">
        <v>281096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39</v>
      </c>
      <c r="S1840" s="1" t="n">
        <v>4210207</v>
      </c>
      <c r="T1840" s="1" t="s">
        <v>118</v>
      </c>
      <c r="U1840" s="1" t="n">
        <v>64.16</v>
      </c>
      <c r="W1840" s="1" t="n">
        <v>0</v>
      </c>
      <c r="X1840" s="1" t="s">
        <v>1796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46186</v>
      </c>
      <c r="C1841" s="23" t="n">
        <v>46276</v>
      </c>
      <c r="D1841" s="1" t="n">
        <v>957</v>
      </c>
      <c r="E1841" s="1" t="s">
        <v>722</v>
      </c>
      <c r="F1841" s="1" t="n">
        <v>24</v>
      </c>
      <c r="G1841" s="1" t="s">
        <v>43</v>
      </c>
      <c r="H1841" s="1" t="n">
        <v>2110101</v>
      </c>
      <c r="I1841" s="1" t="s">
        <v>44</v>
      </c>
      <c r="J1841" s="1" t="n">
        <v>1270024</v>
      </c>
      <c r="L1841" s="1" t="n">
        <v>204691</v>
      </c>
      <c r="M1841" s="1" t="s">
        <v>45</v>
      </c>
      <c r="N1841" s="1" t="s">
        <v>37</v>
      </c>
      <c r="P1841" s="1" t="n">
        <v>128</v>
      </c>
      <c r="Q1841" s="1" t="s">
        <v>46</v>
      </c>
      <c r="R1841" s="1" t="s">
        <v>47</v>
      </c>
      <c r="S1841" s="1" t="n">
        <v>1130101</v>
      </c>
      <c r="T1841" s="1" t="s">
        <v>48</v>
      </c>
      <c r="U1841" s="1" t="n">
        <v>245.49</v>
      </c>
      <c r="W1841" s="1" t="n">
        <v>0</v>
      </c>
      <c r="X1841" s="1" t="s">
        <v>1836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0" t="str">
        <f aca="false">IFERROR(INDEX('Mov Entradas (Rel 10497)'!$L:$L,MATCH(AC1841,'Mov Entradas (Rel 10497)'!$I:$I,0)),"nao encontrado")</f>
        <v>nao encontrado</v>
      </c>
      <c r="AC1841" s="0" t="n">
        <v>20469</v>
      </c>
    </row>
    <row r="1842" customFormat="false" ht="12.75" hidden="false" customHeight="true" outlineLevel="0" collapsed="false">
      <c r="A1842" s="1" t="n">
        <v>3</v>
      </c>
      <c r="B1842" s="23" t="n">
        <v>46234</v>
      </c>
      <c r="C1842" s="23" t="n">
        <v>46276</v>
      </c>
      <c r="D1842" s="1" t="n">
        <v>1675</v>
      </c>
      <c r="E1842" s="1" t="s">
        <v>164</v>
      </c>
      <c r="F1842" s="1" t="n">
        <v>24</v>
      </c>
      <c r="G1842" s="1" t="s">
        <v>43</v>
      </c>
      <c r="H1842" s="1" t="n">
        <v>2110405</v>
      </c>
      <c r="I1842" s="1" t="s">
        <v>35</v>
      </c>
      <c r="J1842" s="1" t="n">
        <v>1517561</v>
      </c>
      <c r="L1842" s="1" t="n">
        <v>5068383</v>
      </c>
      <c r="M1842" s="1" t="s">
        <v>45</v>
      </c>
      <c r="N1842" s="1" t="s">
        <v>37</v>
      </c>
      <c r="P1842" s="1" t="n">
        <v>167</v>
      </c>
      <c r="Q1842" s="1" t="s">
        <v>102</v>
      </c>
      <c r="R1842" s="1" t="s">
        <v>47</v>
      </c>
      <c r="S1842" s="1" t="n">
        <v>1130101</v>
      </c>
      <c r="T1842" s="1" t="s">
        <v>48</v>
      </c>
      <c r="U1842" s="1" t="n">
        <v>300.54</v>
      </c>
      <c r="W1842" s="1" t="n">
        <v>0</v>
      </c>
      <c r="X1842" s="1" t="s">
        <v>1837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0" t="str">
        <f aca="false">IFERROR(INDEX('Mov Entradas (Rel 10497)'!$L:$L,MATCH(AC1842,'Mov Entradas (Rel 10497)'!$I:$I,0)),"nao encontrado")</f>
        <v>TALCO BARLA 80G</v>
      </c>
      <c r="AC1842" s="0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46248</v>
      </c>
      <c r="C1843" s="23" t="n">
        <v>46276</v>
      </c>
      <c r="D1843" s="1" t="n">
        <v>1720</v>
      </c>
      <c r="E1843" s="1" t="s">
        <v>988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1551691</v>
      </c>
      <c r="L1843" s="1" t="n">
        <v>613792</v>
      </c>
      <c r="M1843" s="1" t="s">
        <v>45</v>
      </c>
      <c r="N1843" s="1" t="s">
        <v>37</v>
      </c>
      <c r="P1843" s="1" t="n">
        <v>167</v>
      </c>
      <c r="Q1843" s="1" t="s">
        <v>102</v>
      </c>
      <c r="R1843" s="1" t="s">
        <v>47</v>
      </c>
      <c r="S1843" s="1" t="n">
        <v>1130101</v>
      </c>
      <c r="T1843" s="1" t="s">
        <v>48</v>
      </c>
      <c r="U1843" s="1" t="n">
        <v>625.75</v>
      </c>
      <c r="W1843" s="1" t="n">
        <v>0</v>
      </c>
      <c r="X1843" s="1" t="s">
        <v>1838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0" t="str">
        <f aca="false">IFERROR(INDEX('Mov Entradas (Rel 10497)'!$L:$L,MATCH(AC1843,'Mov Entradas (Rel 10497)'!$I:$I,0)),"nao encontrado")</f>
        <v>VELAS D'LUZ 8UN</v>
      </c>
      <c r="AC1843" s="0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46242</v>
      </c>
      <c r="C1844" s="23" t="n">
        <v>46277</v>
      </c>
      <c r="D1844" s="1" t="n">
        <v>957</v>
      </c>
      <c r="E1844" s="1" t="s">
        <v>722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1531990</v>
      </c>
      <c r="L1844" s="1" t="n">
        <v>216233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1760.2</v>
      </c>
      <c r="W1844" s="1" t="n">
        <v>0</v>
      </c>
      <c r="X1844" s="1" t="s">
        <v>1839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0" t="str">
        <f aca="false">IFERROR(INDEX('Mov Entradas (Rel 10497)'!$L:$L,MATCH(AC1844,'Mov Entradas (Rel 10497)'!$I:$I,0)),"nao encontrado")</f>
        <v>RAC WHISKAS CARNE KG</v>
      </c>
      <c r="AC1844" s="0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46247</v>
      </c>
      <c r="C1845" s="23" t="n">
        <v>46279</v>
      </c>
      <c r="D1845" s="1" t="n">
        <v>1659</v>
      </c>
      <c r="E1845" s="1" t="s">
        <v>253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1551778</v>
      </c>
      <c r="L1845" s="1" t="n">
        <v>8908273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47</v>
      </c>
      <c r="S1845" s="1" t="n">
        <v>1130101</v>
      </c>
      <c r="T1845" s="1" t="s">
        <v>48</v>
      </c>
      <c r="U1845" s="1" t="n">
        <v>1265.74</v>
      </c>
      <c r="W1845" s="1" t="n">
        <v>0</v>
      </c>
      <c r="X1845" s="1" t="s">
        <v>1840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0" t="str">
        <f aca="false">IFERROR(INDEX('Mov Entradas (Rel 10497)'!$L:$L,MATCH(AC1845,'Mov Entradas (Rel 10497)'!$I:$I,0)),"nao encontrado")</f>
        <v>MOCOQUINHA 200ML</v>
      </c>
      <c r="AC1845" s="0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46248</v>
      </c>
      <c r="C1846" s="23" t="n">
        <v>46279</v>
      </c>
      <c r="D1846" s="1" t="n">
        <v>1107</v>
      </c>
      <c r="E1846" s="1" t="s">
        <v>166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1566520</v>
      </c>
      <c r="L1846" s="1" t="n">
        <v>4437343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273.52</v>
      </c>
      <c r="W1846" s="1" t="n">
        <v>0</v>
      </c>
      <c r="X1846" s="1" t="s">
        <v>1841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0" t="str">
        <f aca="false">IFERROR(INDEX('Mov Entradas (Rel 10497)'!$L:$L,MATCH(AC1846,'Mov Entradas (Rel 10497)'!$I:$I,0)),"nao encontrado")</f>
        <v>SCH DOG PEDIGR FIL</v>
      </c>
      <c r="AC1846" s="0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46097</v>
      </c>
      <c r="C1847" s="23" t="n">
        <v>46280</v>
      </c>
      <c r="D1847" s="1" t="n">
        <v>1867</v>
      </c>
      <c r="E1847" s="1" t="s">
        <v>427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809440</v>
      </c>
      <c r="L1847" s="1" t="n">
        <v>777006512</v>
      </c>
      <c r="M1847" s="1" t="s">
        <v>527</v>
      </c>
      <c r="N1847" s="1" t="s">
        <v>37</v>
      </c>
      <c r="P1847" s="1" t="n">
        <v>101</v>
      </c>
      <c r="Q1847" s="1" t="s">
        <v>38</v>
      </c>
      <c r="R1847" s="1" t="s">
        <v>428</v>
      </c>
      <c r="S1847" s="1" t="n">
        <v>4210401</v>
      </c>
      <c r="T1847" s="1" t="s">
        <v>429</v>
      </c>
      <c r="U1847" s="1" t="n">
        <v>225.2</v>
      </c>
      <c r="W1847" s="1" t="n">
        <v>0</v>
      </c>
      <c r="X1847" s="1" t="s">
        <v>1842</v>
      </c>
      <c r="Z1847" s="1" t="str">
        <f aca="false">IF($T1847="","",IFERROR(INDEX('Resumo Grupos'!$AC$3:$AC$200,MATCH($T1847,'Resumo Grupos'!$AB$3:$AB$200,0)),"n/d"))</f>
        <v>Impostos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46231</v>
      </c>
      <c r="C1848" s="23" t="n">
        <v>46280</v>
      </c>
      <c r="D1848" s="1" t="n">
        <v>1893</v>
      </c>
      <c r="E1848" s="1" t="s">
        <v>444</v>
      </c>
      <c r="F1848" s="1" t="n">
        <v>34</v>
      </c>
      <c r="G1848" s="1" t="s">
        <v>34</v>
      </c>
      <c r="H1848" s="1" t="n">
        <v>2110405</v>
      </c>
      <c r="I1848" s="1" t="s">
        <v>35</v>
      </c>
      <c r="J1848" s="1" t="n">
        <v>1464910</v>
      </c>
      <c r="L1848" s="1" t="n">
        <v>227905</v>
      </c>
      <c r="M1848" s="1" t="s">
        <v>151</v>
      </c>
      <c r="N1848" s="1" t="s">
        <v>37</v>
      </c>
      <c r="P1848" s="1" t="n">
        <v>101</v>
      </c>
      <c r="Q1848" s="1" t="s">
        <v>38</v>
      </c>
      <c r="R1848" s="1" t="s">
        <v>73</v>
      </c>
      <c r="S1848" s="1" t="n">
        <v>4210315</v>
      </c>
      <c r="T1848" s="1" t="s">
        <v>440</v>
      </c>
      <c r="U1848" s="1" t="n">
        <v>177.65</v>
      </c>
      <c r="W1848" s="1" t="n">
        <v>0</v>
      </c>
      <c r="X1848" s="1" t="s">
        <v>1553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46248</v>
      </c>
      <c r="C1849" s="23" t="n">
        <v>46280</v>
      </c>
      <c r="D1849" s="1" t="n">
        <v>1739</v>
      </c>
      <c r="E1849" s="1" t="s">
        <v>1824</v>
      </c>
      <c r="F1849" s="1" t="n">
        <v>24</v>
      </c>
      <c r="G1849" s="1" t="s">
        <v>43</v>
      </c>
      <c r="H1849" s="1" t="n">
        <v>2110405</v>
      </c>
      <c r="I1849" s="1" t="s">
        <v>35</v>
      </c>
      <c r="J1849" s="1" t="n">
        <v>1566612</v>
      </c>
      <c r="L1849" s="1" t="n">
        <v>2551472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842.29</v>
      </c>
      <c r="W1849" s="1" t="n">
        <v>0</v>
      </c>
      <c r="X1849" s="1" t="s">
        <v>1843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0" t="str">
        <f aca="false">IFERROR(INDEX('Mov Entradas (Rel 10497)'!$L:$L,MATCH(AC1849,'Mov Entradas (Rel 10497)'!$I:$I,0)),"nao encontrado")</f>
        <v>PRESERVATIVO LV8 PG6</v>
      </c>
      <c r="AC1849" s="0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46251</v>
      </c>
      <c r="C1850" s="23" t="n">
        <v>46280</v>
      </c>
      <c r="D1850" s="1" t="n">
        <v>1636</v>
      </c>
      <c r="E1850" s="1" t="s">
        <v>50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1573136</v>
      </c>
      <c r="L1850" s="1" t="n">
        <v>32386863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924.11</v>
      </c>
      <c r="W1850" s="1" t="n">
        <v>0</v>
      </c>
      <c r="X1850" s="1" t="s">
        <v>1844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0" t="str">
        <f aca="false">IFERROR(INDEX('Mov Entradas (Rel 10497)'!$L:$L,MATCH(AC1850,'Mov Entradas (Rel 10497)'!$I:$I,0)),"nao encontrado")</f>
        <v>ABS SEMPERLIVRE SUAVE C/ABA -16UN</v>
      </c>
      <c r="AC1850" s="0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46246</v>
      </c>
      <c r="C1851" s="23" t="n">
        <v>46281</v>
      </c>
      <c r="D1851" s="1" t="n">
        <v>1678</v>
      </c>
      <c r="E1851" s="1" t="s">
        <v>191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1542871</v>
      </c>
      <c r="L1851" s="1" t="n">
        <v>2594224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545.11</v>
      </c>
      <c r="W1851" s="1" t="n">
        <v>0</v>
      </c>
      <c r="X1851" s="1" t="s">
        <v>1845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0" t="str">
        <f aca="false">IFERROR(INDEX('Mov Entradas (Rel 10497)'!$L:$L,MATCH(AC1851,'Mov Entradas (Rel 10497)'!$I:$I,0)),"nao encontrado")</f>
        <v>DES CREM EX-SET FLOR</v>
      </c>
      <c r="AC1851" s="0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46253</v>
      </c>
      <c r="C1852" s="23" t="n">
        <v>46281</v>
      </c>
      <c r="D1852" s="1" t="n">
        <v>1830</v>
      </c>
      <c r="E1852" s="1" t="s">
        <v>1527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1573272</v>
      </c>
      <c r="L1852" s="1" t="n">
        <v>1306</v>
      </c>
      <c r="M1852" s="1" t="s">
        <v>45</v>
      </c>
      <c r="N1852" s="1" t="s">
        <v>37</v>
      </c>
      <c r="P1852" s="1" t="n">
        <v>101</v>
      </c>
      <c r="Q1852" s="1" t="s">
        <v>38</v>
      </c>
      <c r="R1852" s="1" t="s">
        <v>73</v>
      </c>
      <c r="S1852" s="1" t="n">
        <v>4210319</v>
      </c>
      <c r="T1852" s="1" t="s">
        <v>74</v>
      </c>
      <c r="U1852" s="1" t="n">
        <v>78</v>
      </c>
      <c r="W1852" s="1" t="n">
        <v>0</v>
      </c>
      <c r="X1852" s="1" t="s">
        <v>1846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46220</v>
      </c>
      <c r="C1853" s="23" t="n">
        <v>46282</v>
      </c>
      <c r="D1853" s="1" t="n">
        <v>16</v>
      </c>
      <c r="E1853" s="1" t="s">
        <v>244</v>
      </c>
      <c r="F1853" s="1" t="n">
        <v>34</v>
      </c>
      <c r="G1853" s="1" t="s">
        <v>34</v>
      </c>
      <c r="H1853" s="1" t="n">
        <v>2110405</v>
      </c>
      <c r="I1853" s="1" t="s">
        <v>35</v>
      </c>
      <c r="J1853" s="1" t="n">
        <v>1415325</v>
      </c>
      <c r="L1853" s="1" t="n">
        <v>220522</v>
      </c>
      <c r="M1853" s="1" t="s">
        <v>151</v>
      </c>
      <c r="N1853" s="1" t="s">
        <v>37</v>
      </c>
      <c r="P1853" s="1" t="n">
        <v>101</v>
      </c>
      <c r="Q1853" s="1" t="s">
        <v>38</v>
      </c>
      <c r="R1853" s="1" t="s">
        <v>247</v>
      </c>
      <c r="S1853" s="1" t="n">
        <v>2210202</v>
      </c>
      <c r="T1853" s="1" t="s">
        <v>247</v>
      </c>
      <c r="U1853" s="1" t="n">
        <v>1000</v>
      </c>
      <c r="W1853" s="1" t="n">
        <v>0</v>
      </c>
      <c r="X1853" s="1" t="s">
        <v>1560</v>
      </c>
      <c r="Z1853" s="1" t="str">
        <f aca="false">IF($T1853="","",IFERROR(INDEX('Resumo Grupos'!$AC$3:$AC$200,MATCH($T1853,'Resumo Grupos'!$AB$3:$AB$200,0)),"n/d"))</f>
        <v>Empréstimo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46224</v>
      </c>
      <c r="C1854" s="23" t="n">
        <v>46282</v>
      </c>
      <c r="D1854" s="1" t="n">
        <v>16</v>
      </c>
      <c r="E1854" s="1" t="s">
        <v>244</v>
      </c>
      <c r="F1854" s="1" t="n">
        <v>34</v>
      </c>
      <c r="G1854" s="1" t="s">
        <v>34</v>
      </c>
      <c r="H1854" s="1" t="n">
        <v>2110405</v>
      </c>
      <c r="I1854" s="1" t="s">
        <v>35</v>
      </c>
      <c r="J1854" s="1" t="n">
        <v>1428695</v>
      </c>
      <c r="L1854" s="1" t="n">
        <v>222991</v>
      </c>
      <c r="M1854" s="1" t="s">
        <v>151</v>
      </c>
      <c r="N1854" s="1" t="s">
        <v>37</v>
      </c>
      <c r="P1854" s="1" t="n">
        <v>101</v>
      </c>
      <c r="Q1854" s="1" t="s">
        <v>38</v>
      </c>
      <c r="R1854" s="1" t="s">
        <v>247</v>
      </c>
      <c r="S1854" s="1" t="n">
        <v>2210202</v>
      </c>
      <c r="T1854" s="1" t="s">
        <v>247</v>
      </c>
      <c r="U1854" s="1" t="n">
        <v>3000</v>
      </c>
      <c r="W1854" s="1" t="n">
        <v>0</v>
      </c>
      <c r="X1854" s="1" t="s">
        <v>1847</v>
      </c>
      <c r="Z1854" s="1" t="str">
        <f aca="false">IF($T1854="","",IFERROR(INDEX('Resumo Grupos'!$AC$3:$AC$200,MATCH($T1854,'Resumo Grupos'!$AB$3:$AB$200,0)),"n/d"))</f>
        <v>Empréstimo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46231</v>
      </c>
      <c r="C1855" s="23" t="n">
        <v>46282</v>
      </c>
      <c r="D1855" s="1" t="n">
        <v>1354</v>
      </c>
      <c r="E1855" s="1" t="s">
        <v>1565</v>
      </c>
      <c r="F1855" s="1" t="n">
        <v>60</v>
      </c>
      <c r="G1855" s="1" t="s">
        <v>1566</v>
      </c>
      <c r="H1855" s="1" t="n">
        <v>2110405</v>
      </c>
      <c r="I1855" s="1" t="s">
        <v>35</v>
      </c>
      <c r="J1855" s="1" t="n">
        <v>1468184</v>
      </c>
      <c r="L1855" s="1" t="n">
        <v>13392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39</v>
      </c>
      <c r="S1855" s="1" t="n">
        <v>4210227</v>
      </c>
      <c r="T1855" s="1" t="s">
        <v>197</v>
      </c>
      <c r="U1855" s="1" t="n">
        <v>121.66</v>
      </c>
      <c r="W1855" s="1" t="n">
        <v>0</v>
      </c>
      <c r="X1855" s="1" t="s">
        <v>1848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0" t="str">
        <f aca="false">IFERROR(INDEX('Mov Entradas (Rel 10497)'!$L:$L,MATCH(AC1855,'Mov Entradas (Rel 10497)'!$I:$I,0)),"nao encontrado")</f>
        <v>ADUELA ANGELIM 13CM</v>
      </c>
      <c r="AC1855" s="0" t="n">
        <v>1339</v>
      </c>
    </row>
    <row r="1856" customFormat="false" ht="12.75" hidden="false" customHeight="true" outlineLevel="0" collapsed="false">
      <c r="A1856" s="1" t="n">
        <v>3</v>
      </c>
      <c r="B1856" s="23" t="n">
        <v>45950</v>
      </c>
      <c r="C1856" s="23" t="n">
        <v>46283</v>
      </c>
      <c r="D1856" s="1" t="n">
        <v>515</v>
      </c>
      <c r="E1856" s="1" t="s">
        <v>106</v>
      </c>
      <c r="F1856" s="1" t="n">
        <v>34</v>
      </c>
      <c r="G1856" s="1" t="s">
        <v>34</v>
      </c>
      <c r="H1856" s="1" t="n">
        <v>2110405</v>
      </c>
      <c r="I1856" s="1" t="s">
        <v>35</v>
      </c>
      <c r="J1856" s="1" t="n">
        <v>546000</v>
      </c>
      <c r="L1856" s="1" t="n">
        <v>85577</v>
      </c>
      <c r="M1856" s="1" t="s">
        <v>1849</v>
      </c>
      <c r="N1856" s="1" t="s">
        <v>37</v>
      </c>
      <c r="P1856" s="1" t="n">
        <v>101</v>
      </c>
      <c r="Q1856" s="1" t="s">
        <v>38</v>
      </c>
      <c r="R1856" s="1" t="s">
        <v>39</v>
      </c>
      <c r="S1856" s="1" t="n">
        <v>4210210</v>
      </c>
      <c r="T1856" s="1" t="s">
        <v>40</v>
      </c>
      <c r="U1856" s="1" t="n">
        <v>45.73</v>
      </c>
      <c r="W1856" s="1" t="n">
        <v>0</v>
      </c>
      <c r="X1856" s="1" t="s">
        <v>1850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46009</v>
      </c>
      <c r="C1857" s="23" t="n">
        <v>46283</v>
      </c>
      <c r="D1857" s="1" t="n">
        <v>515</v>
      </c>
      <c r="E1857" s="1" t="s">
        <v>106</v>
      </c>
      <c r="F1857" s="1" t="n">
        <v>34</v>
      </c>
      <c r="G1857" s="1" t="s">
        <v>34</v>
      </c>
      <c r="H1857" s="1" t="n">
        <v>2110405</v>
      </c>
      <c r="I1857" s="1" t="s">
        <v>35</v>
      </c>
      <c r="J1857" s="1" t="n">
        <v>818253</v>
      </c>
      <c r="L1857" s="1" t="n">
        <v>129421</v>
      </c>
      <c r="M1857" s="1" t="s">
        <v>1139</v>
      </c>
      <c r="N1857" s="1" t="s">
        <v>37</v>
      </c>
      <c r="P1857" s="1" t="n">
        <v>102</v>
      </c>
      <c r="Q1857" s="1" t="s">
        <v>187</v>
      </c>
      <c r="R1857" s="1" t="s">
        <v>140</v>
      </c>
      <c r="S1857" s="1" t="n">
        <v>2110901</v>
      </c>
      <c r="T1857" s="1" t="s">
        <v>141</v>
      </c>
      <c r="U1857" s="1" t="n">
        <v>2090.82</v>
      </c>
      <c r="W1857" s="1" t="n">
        <v>0</v>
      </c>
      <c r="X1857" s="1" t="s">
        <v>1851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46206</v>
      </c>
      <c r="C1858" s="23" t="n">
        <v>46283</v>
      </c>
      <c r="D1858" s="1" t="n">
        <v>33</v>
      </c>
      <c r="E1858" s="1" t="s">
        <v>72</v>
      </c>
      <c r="F1858" s="1" t="n">
        <v>34</v>
      </c>
      <c r="G1858" s="1" t="s">
        <v>34</v>
      </c>
      <c r="H1858" s="1" t="n">
        <v>2110405</v>
      </c>
      <c r="I1858" s="1" t="s">
        <v>35</v>
      </c>
      <c r="J1858" s="1" t="n">
        <v>1345342</v>
      </c>
      <c r="L1858" s="1" t="n">
        <v>210000</v>
      </c>
      <c r="M1858" s="1" t="s">
        <v>246</v>
      </c>
      <c r="N1858" s="1" t="s">
        <v>37</v>
      </c>
      <c r="P1858" s="1" t="n">
        <v>101</v>
      </c>
      <c r="Q1858" s="1" t="s">
        <v>38</v>
      </c>
      <c r="R1858" s="1" t="s">
        <v>39</v>
      </c>
      <c r="S1858" s="1" t="n">
        <v>4210203</v>
      </c>
      <c r="T1858" s="1" t="s">
        <v>820</v>
      </c>
      <c r="U1858" s="1" t="n">
        <v>373.79</v>
      </c>
      <c r="W1858" s="1" t="n">
        <v>0</v>
      </c>
      <c r="X1858" s="1" t="s">
        <v>1143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46283</v>
      </c>
      <c r="D1859" s="1" t="n">
        <v>1720</v>
      </c>
      <c r="E1859" s="1" t="s">
        <v>988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1551695</v>
      </c>
      <c r="L1859" s="1" t="n">
        <v>613793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625.75</v>
      </c>
      <c r="W1859" s="1" t="n">
        <v>0</v>
      </c>
      <c r="X1859" s="1" t="s">
        <v>1852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0" t="str">
        <f aca="false">IFERROR(INDEX('Mov Entradas (Rel 10497)'!$L:$L,MATCH(AC1859,'Mov Entradas (Rel 10497)'!$I:$I,0)),"nao encontrado")</f>
        <v>VELAS D'LUZ 8UN</v>
      </c>
      <c r="AC1859" s="0" t="n">
        <v>48211</v>
      </c>
    </row>
    <row r="1860" customFormat="false" ht="12.75" hidden="false" customHeight="true" outlineLevel="0" collapsed="false">
      <c r="A1860" s="1" t="n">
        <v>3</v>
      </c>
      <c r="B1860" s="23" t="n">
        <v>46011</v>
      </c>
      <c r="C1860" s="23" t="n">
        <v>46285</v>
      </c>
      <c r="D1860" s="1" t="n">
        <v>514</v>
      </c>
      <c r="E1860" s="1" t="s">
        <v>33</v>
      </c>
      <c r="F1860" s="1" t="n">
        <v>34</v>
      </c>
      <c r="G1860" s="1" t="s">
        <v>34</v>
      </c>
      <c r="H1860" s="1" t="n">
        <v>2110405</v>
      </c>
      <c r="I1860" s="1" t="s">
        <v>35</v>
      </c>
      <c r="J1860" s="1" t="n">
        <v>695960</v>
      </c>
      <c r="L1860" s="1" t="n">
        <v>3</v>
      </c>
      <c r="M1860" s="1" t="s">
        <v>1584</v>
      </c>
      <c r="N1860" s="1" t="s">
        <v>37</v>
      </c>
      <c r="P1860" s="1" t="n">
        <v>101</v>
      </c>
      <c r="Q1860" s="1" t="s">
        <v>38</v>
      </c>
      <c r="R1860" s="1" t="s">
        <v>39</v>
      </c>
      <c r="S1860" s="1" t="n">
        <v>4210210</v>
      </c>
      <c r="T1860" s="1" t="s">
        <v>40</v>
      </c>
      <c r="U1860" s="1" t="n">
        <v>807.37</v>
      </c>
      <c r="W1860" s="1" t="n">
        <v>0</v>
      </c>
      <c r="X1860" s="1" t="s">
        <v>1853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46223</v>
      </c>
      <c r="C1861" s="12" t="n">
        <v>46285</v>
      </c>
      <c r="D1861" s="11" t="n">
        <v>33</v>
      </c>
      <c r="E1861" s="13" t="s">
        <v>72</v>
      </c>
      <c r="F1861" s="11" t="n">
        <v>34</v>
      </c>
      <c r="G1861" s="13" t="s">
        <v>34</v>
      </c>
      <c r="H1861" s="11" t="n">
        <v>2110405</v>
      </c>
      <c r="I1861" s="13" t="s">
        <v>35</v>
      </c>
      <c r="J1861" s="11" t="n">
        <v>1424252</v>
      </c>
      <c r="L1861" s="11" t="n">
        <v>222229</v>
      </c>
      <c r="M1861" s="13" t="s">
        <v>246</v>
      </c>
      <c r="N1861" s="13" t="s">
        <v>37</v>
      </c>
      <c r="P1861" s="11" t="n">
        <v>101</v>
      </c>
      <c r="Q1861" s="13" t="s">
        <v>38</v>
      </c>
      <c r="R1861" s="13" t="s">
        <v>64</v>
      </c>
      <c r="S1861" s="11" t="n">
        <v>4210107</v>
      </c>
      <c r="T1861" s="13" t="s">
        <v>532</v>
      </c>
      <c r="U1861" s="14" t="n">
        <v>224.99</v>
      </c>
      <c r="W1861" s="14" t="n">
        <v>0</v>
      </c>
      <c r="X1861" s="13" t="s">
        <v>1854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46223</v>
      </c>
      <c r="C1862" s="12" t="n">
        <v>46285</v>
      </c>
      <c r="D1862" s="11" t="n">
        <v>17</v>
      </c>
      <c r="E1862" s="13" t="s">
        <v>1294</v>
      </c>
      <c r="F1862" s="11" t="n">
        <v>34</v>
      </c>
      <c r="G1862" s="13" t="s">
        <v>34</v>
      </c>
      <c r="H1862" s="11" t="n">
        <v>2110405</v>
      </c>
      <c r="I1862" s="13" t="s">
        <v>35</v>
      </c>
      <c r="J1862" s="11" t="n">
        <v>1464473</v>
      </c>
      <c r="L1862" s="11" t="n">
        <v>227845</v>
      </c>
      <c r="M1862" s="13" t="s">
        <v>246</v>
      </c>
      <c r="N1862" s="13" t="s">
        <v>37</v>
      </c>
      <c r="P1862" s="11" t="n">
        <v>101</v>
      </c>
      <c r="Q1862" s="13" t="s">
        <v>38</v>
      </c>
      <c r="R1862" s="13" t="s">
        <v>205</v>
      </c>
      <c r="S1862" s="11" t="n">
        <v>4220199</v>
      </c>
      <c r="T1862" s="13" t="s">
        <v>206</v>
      </c>
      <c r="U1862" s="14" t="n">
        <v>2600</v>
      </c>
      <c r="W1862" s="14" t="n">
        <v>0</v>
      </c>
      <c r="X1862" s="13" t="s">
        <v>1295</v>
      </c>
      <c r="Z1862" s="1" t="str">
        <f aca="false">IF($T1862="","",IFERROR(INDEX('Resumo Grupos'!$AC$3:$AC$200,MATCH($T1862,'Resumo Grupos'!$AB$3:$AB$200,0)),"n/d"))</f>
        <v>Pagamentos outros não operacionais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46231</v>
      </c>
      <c r="C1863" s="12" t="n">
        <v>46285</v>
      </c>
      <c r="D1863" s="11" t="n">
        <v>10028</v>
      </c>
      <c r="E1863" s="13" t="s">
        <v>592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1464619</v>
      </c>
      <c r="L1863" s="11" t="n">
        <v>227869</v>
      </c>
      <c r="M1863" s="13" t="s">
        <v>151</v>
      </c>
      <c r="N1863" s="13" t="s">
        <v>37</v>
      </c>
      <c r="P1863" s="11" t="n">
        <v>101</v>
      </c>
      <c r="Q1863" s="13" t="s">
        <v>38</v>
      </c>
      <c r="R1863" s="13" t="s">
        <v>73</v>
      </c>
      <c r="S1863" s="11" t="n">
        <v>4210315</v>
      </c>
      <c r="T1863" s="13" t="s">
        <v>440</v>
      </c>
      <c r="U1863" s="14" t="n">
        <v>595.9</v>
      </c>
      <c r="W1863" s="14" t="n">
        <v>0</v>
      </c>
      <c r="X1863" s="13" t="s">
        <v>593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46044</v>
      </c>
      <c r="C1864" s="12" t="n">
        <v>46287</v>
      </c>
      <c r="D1864" s="11" t="n">
        <v>514</v>
      </c>
      <c r="E1864" s="13" t="s">
        <v>33</v>
      </c>
      <c r="F1864" s="11" t="n">
        <v>34</v>
      </c>
      <c r="G1864" s="13" t="s">
        <v>34</v>
      </c>
      <c r="H1864" s="11" t="n">
        <v>2110405</v>
      </c>
      <c r="I1864" s="13" t="s">
        <v>35</v>
      </c>
      <c r="J1864" s="11" t="n">
        <v>1306220</v>
      </c>
      <c r="L1864" s="11" t="n">
        <v>203991</v>
      </c>
      <c r="M1864" s="13" t="s">
        <v>1139</v>
      </c>
      <c r="N1864" s="13" t="s">
        <v>37</v>
      </c>
      <c r="P1864" s="11" t="n">
        <v>101</v>
      </c>
      <c r="Q1864" s="13" t="s">
        <v>38</v>
      </c>
      <c r="R1864" s="13" t="s">
        <v>140</v>
      </c>
      <c r="S1864" s="11" t="n">
        <v>2110901</v>
      </c>
      <c r="T1864" s="13" t="s">
        <v>141</v>
      </c>
      <c r="U1864" s="14" t="n">
        <v>6601.19</v>
      </c>
      <c r="W1864" s="14" t="n">
        <v>0</v>
      </c>
      <c r="X1864" s="13" t="s">
        <v>1855</v>
      </c>
      <c r="Z1864" s="1" t="str">
        <f aca="false">IF($T1864="","",IFERROR(INDEX('Resumo Grupos'!$AC$3:$AC$200,MATCH($T1864,'Resumo Grupos'!$AB$3:$AB$200,0)),"n/d"))</f>
        <v>Empréstimo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46224</v>
      </c>
      <c r="C1865" s="12" t="n">
        <v>46287</v>
      </c>
      <c r="D1865" s="11" t="n">
        <v>1929</v>
      </c>
      <c r="E1865" s="13" t="s">
        <v>1674</v>
      </c>
      <c r="F1865" s="11" t="n">
        <v>34</v>
      </c>
      <c r="G1865" s="13" t="s">
        <v>34</v>
      </c>
      <c r="H1865" s="11" t="n">
        <v>2110405</v>
      </c>
      <c r="I1865" s="13" t="s">
        <v>35</v>
      </c>
      <c r="J1865" s="11" t="n">
        <v>1428714</v>
      </c>
      <c r="L1865" s="11" t="n">
        <v>222992</v>
      </c>
      <c r="M1865" s="13" t="s">
        <v>151</v>
      </c>
      <c r="N1865" s="13" t="s">
        <v>37</v>
      </c>
      <c r="P1865" s="11" t="n">
        <v>101</v>
      </c>
      <c r="Q1865" s="13" t="s">
        <v>38</v>
      </c>
      <c r="R1865" s="13" t="s">
        <v>39</v>
      </c>
      <c r="S1865" s="11" t="n">
        <v>4210299</v>
      </c>
      <c r="T1865" s="13" t="s">
        <v>1082</v>
      </c>
      <c r="U1865" s="14" t="n">
        <v>95.43</v>
      </c>
      <c r="W1865" s="14" t="n">
        <v>0</v>
      </c>
      <c r="X1865" s="13" t="s">
        <v>1675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46224</v>
      </c>
      <c r="C1866" s="12" t="n">
        <v>46287</v>
      </c>
      <c r="D1866" s="11" t="n">
        <v>1929</v>
      </c>
      <c r="E1866" s="13" t="s">
        <v>1674</v>
      </c>
      <c r="F1866" s="11" t="n">
        <v>34</v>
      </c>
      <c r="G1866" s="13" t="s">
        <v>34</v>
      </c>
      <c r="H1866" s="11" t="n">
        <v>2110405</v>
      </c>
      <c r="I1866" s="13" t="s">
        <v>35</v>
      </c>
      <c r="J1866" s="11" t="n">
        <v>1428721</v>
      </c>
      <c r="L1866" s="11" t="n">
        <v>222993</v>
      </c>
      <c r="M1866" s="13" t="s">
        <v>151</v>
      </c>
      <c r="N1866" s="13" t="s">
        <v>37</v>
      </c>
      <c r="P1866" s="11" t="n">
        <v>101</v>
      </c>
      <c r="Q1866" s="13" t="s">
        <v>38</v>
      </c>
      <c r="R1866" s="13" t="s">
        <v>39</v>
      </c>
      <c r="S1866" s="11" t="n">
        <v>4210299</v>
      </c>
      <c r="T1866" s="13" t="s">
        <v>1082</v>
      </c>
      <c r="U1866" s="14" t="n">
        <v>102.37</v>
      </c>
      <c r="W1866" s="14" t="n">
        <v>0</v>
      </c>
      <c r="X1866" s="13" t="s">
        <v>1676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46224</v>
      </c>
      <c r="C1867" s="12" t="n">
        <v>46287</v>
      </c>
      <c r="D1867" s="11" t="n">
        <v>514</v>
      </c>
      <c r="E1867" s="13" t="s">
        <v>33</v>
      </c>
      <c r="F1867" s="11" t="n">
        <v>34</v>
      </c>
      <c r="G1867" s="13" t="s">
        <v>34</v>
      </c>
      <c r="H1867" s="11" t="n">
        <v>2110405</v>
      </c>
      <c r="I1867" s="13" t="s">
        <v>35</v>
      </c>
      <c r="J1867" s="11" t="n">
        <v>1428727</v>
      </c>
      <c r="L1867" s="11" t="n">
        <v>222994</v>
      </c>
      <c r="M1867" s="13" t="s">
        <v>151</v>
      </c>
      <c r="N1867" s="13" t="s">
        <v>37</v>
      </c>
      <c r="P1867" s="11" t="n">
        <v>101</v>
      </c>
      <c r="Q1867" s="13" t="s">
        <v>38</v>
      </c>
      <c r="R1867" s="13" t="s">
        <v>86</v>
      </c>
      <c r="S1867" s="11" t="n">
        <v>4210504</v>
      </c>
      <c r="T1867" s="13" t="s">
        <v>143</v>
      </c>
      <c r="U1867" s="14" t="n">
        <v>240</v>
      </c>
      <c r="W1867" s="14" t="n">
        <v>0</v>
      </c>
      <c r="X1867" s="13" t="s">
        <v>1677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46224</v>
      </c>
      <c r="C1868" s="12" t="n">
        <v>46287</v>
      </c>
      <c r="D1868" s="11" t="n">
        <v>1000036</v>
      </c>
      <c r="E1868" s="13" t="s">
        <v>1678</v>
      </c>
      <c r="F1868" s="11" t="n">
        <v>34</v>
      </c>
      <c r="G1868" s="13" t="s">
        <v>34</v>
      </c>
      <c r="H1868" s="11" t="n">
        <v>2110405</v>
      </c>
      <c r="I1868" s="13" t="s">
        <v>35</v>
      </c>
      <c r="J1868" s="11" t="n">
        <v>1428747</v>
      </c>
      <c r="L1868" s="11" t="n">
        <v>222995</v>
      </c>
      <c r="M1868" s="13" t="s">
        <v>151</v>
      </c>
      <c r="N1868" s="13" t="s">
        <v>37</v>
      </c>
      <c r="P1868" s="11" t="n">
        <v>101</v>
      </c>
      <c r="Q1868" s="13" t="s">
        <v>38</v>
      </c>
      <c r="R1868" s="13" t="s">
        <v>39</v>
      </c>
      <c r="S1868" s="11" t="n">
        <v>4210299</v>
      </c>
      <c r="T1868" s="13" t="s">
        <v>1082</v>
      </c>
      <c r="U1868" s="14" t="n">
        <v>2929.65</v>
      </c>
      <c r="W1868" s="14" t="n">
        <v>0</v>
      </c>
      <c r="X1868" s="13" t="s">
        <v>1679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46224</v>
      </c>
      <c r="C1869" s="12" t="n">
        <v>46287</v>
      </c>
      <c r="D1869" s="11" t="n">
        <v>1929</v>
      </c>
      <c r="E1869" s="13" t="s">
        <v>1674</v>
      </c>
      <c r="F1869" s="11" t="n">
        <v>34</v>
      </c>
      <c r="G1869" s="13" t="s">
        <v>34</v>
      </c>
      <c r="H1869" s="11" t="n">
        <v>1110204</v>
      </c>
      <c r="I1869" s="13" t="s">
        <v>204</v>
      </c>
      <c r="J1869" s="11" t="n">
        <v>1428753</v>
      </c>
      <c r="L1869" s="11" t="n">
        <v>222996</v>
      </c>
      <c r="M1869" s="13" t="s">
        <v>151</v>
      </c>
      <c r="N1869" s="13" t="s">
        <v>37</v>
      </c>
      <c r="P1869" s="11" t="n">
        <v>101</v>
      </c>
      <c r="Q1869" s="13" t="s">
        <v>38</v>
      </c>
      <c r="R1869" s="13" t="s">
        <v>86</v>
      </c>
      <c r="S1869" s="11" t="n">
        <v>4210504</v>
      </c>
      <c r="T1869" s="13" t="s">
        <v>143</v>
      </c>
      <c r="U1869" s="14" t="n">
        <v>420</v>
      </c>
      <c r="W1869" s="14" t="n">
        <v>0</v>
      </c>
      <c r="X1869" s="13" t="s">
        <v>1680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46239</v>
      </c>
      <c r="C1870" s="12" t="n">
        <v>46287</v>
      </c>
      <c r="D1870" s="11" t="n">
        <v>1659</v>
      </c>
      <c r="E1870" s="13" t="s">
        <v>253</v>
      </c>
      <c r="F1870" s="11" t="n">
        <v>24</v>
      </c>
      <c r="G1870" s="13" t="s">
        <v>43</v>
      </c>
      <c r="H1870" s="11" t="n">
        <v>2110405</v>
      </c>
      <c r="I1870" s="13" t="s">
        <v>35</v>
      </c>
      <c r="J1870" s="11" t="n">
        <v>1509264</v>
      </c>
      <c r="L1870" s="11" t="n">
        <v>8893822</v>
      </c>
      <c r="M1870" s="13" t="s">
        <v>45</v>
      </c>
      <c r="N1870" s="13" t="s">
        <v>37</v>
      </c>
      <c r="P1870" s="11" t="n">
        <v>167</v>
      </c>
      <c r="Q1870" s="13" t="s">
        <v>102</v>
      </c>
      <c r="R1870" s="13" t="s">
        <v>47</v>
      </c>
      <c r="S1870" s="11" t="n">
        <v>1130101</v>
      </c>
      <c r="T1870" s="13" t="s">
        <v>48</v>
      </c>
      <c r="U1870" s="14" t="n">
        <v>710.92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0" t="str">
        <f aca="false">IFERROR(INDEX('Mov Entradas (Rel 10497)'!$L:$L,MATCH(AC1870,'Mov Entradas (Rel 10497)'!$I:$I,0)),"nao encontrado")</f>
        <v>SAND IPAN CL AZUL MASC 21307</v>
      </c>
      <c r="AC1870" s="0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46242</v>
      </c>
      <c r="C1871" s="12" t="n">
        <v>46287</v>
      </c>
      <c r="D1871" s="11" t="n">
        <v>957</v>
      </c>
      <c r="E1871" s="13" t="s">
        <v>722</v>
      </c>
      <c r="F1871" s="11" t="n">
        <v>24</v>
      </c>
      <c r="G1871" s="13" t="s">
        <v>43</v>
      </c>
      <c r="H1871" s="11" t="n">
        <v>2110405</v>
      </c>
      <c r="I1871" s="13" t="s">
        <v>35</v>
      </c>
      <c r="J1871" s="11" t="n">
        <v>1532000</v>
      </c>
      <c r="L1871" s="11" t="n">
        <v>216234</v>
      </c>
      <c r="M1871" s="13" t="s">
        <v>45</v>
      </c>
      <c r="N1871" s="13" t="s">
        <v>37</v>
      </c>
      <c r="P1871" s="11" t="n">
        <v>167</v>
      </c>
      <c r="Q1871" s="13" t="s">
        <v>102</v>
      </c>
      <c r="R1871" s="13" t="s">
        <v>47</v>
      </c>
      <c r="S1871" s="11" t="n">
        <v>1130101</v>
      </c>
      <c r="T1871" s="13" t="s">
        <v>48</v>
      </c>
      <c r="U1871" s="14" t="n">
        <v>1760.2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0" t="str">
        <f aca="false">IFERROR(INDEX('Mov Entradas (Rel 10497)'!$L:$L,MATCH(AC1871,'Mov Entradas (Rel 10497)'!$I:$I,0)),"nao encontrado")</f>
        <v>RAC WHISKAS CARNE KG</v>
      </c>
      <c r="AC1871" s="0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46248</v>
      </c>
      <c r="C1872" s="12" t="n">
        <v>46287</v>
      </c>
      <c r="D1872" s="11" t="n">
        <v>1739</v>
      </c>
      <c r="E1872" s="13" t="s">
        <v>1824</v>
      </c>
      <c r="F1872" s="11" t="n">
        <v>24</v>
      </c>
      <c r="G1872" s="13" t="s">
        <v>43</v>
      </c>
      <c r="H1872" s="11" t="n">
        <v>2110405</v>
      </c>
      <c r="I1872" s="13" t="s">
        <v>35</v>
      </c>
      <c r="J1872" s="11" t="n">
        <v>1566622</v>
      </c>
      <c r="L1872" s="11" t="n">
        <v>2551473</v>
      </c>
      <c r="M1872" s="13" t="s">
        <v>45</v>
      </c>
      <c r="N1872" s="13" t="s">
        <v>37</v>
      </c>
      <c r="P1872" s="11" t="n">
        <v>167</v>
      </c>
      <c r="Q1872" s="13" t="s">
        <v>102</v>
      </c>
      <c r="R1872" s="13" t="s">
        <v>47</v>
      </c>
      <c r="S1872" s="11" t="n">
        <v>1130101</v>
      </c>
      <c r="T1872" s="13" t="s">
        <v>48</v>
      </c>
      <c r="U1872" s="14" t="n">
        <v>842.29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0" t="str">
        <f aca="false">IFERROR(INDEX('Mov Entradas (Rel 10497)'!$L:$L,MATCH(AC1872,'Mov Entradas (Rel 10497)'!$I:$I,0)),"nao encontrado")</f>
        <v>PRESERVATIVO LV8 PG6</v>
      </c>
      <c r="AC1872" s="0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46251</v>
      </c>
      <c r="C1873" s="12" t="n">
        <v>46287</v>
      </c>
      <c r="D1873" s="11" t="n">
        <v>1636</v>
      </c>
      <c r="E1873" s="13" t="s">
        <v>50</v>
      </c>
      <c r="F1873" s="11" t="n">
        <v>24</v>
      </c>
      <c r="G1873" s="13" t="s">
        <v>43</v>
      </c>
      <c r="H1873" s="11" t="n">
        <v>2110405</v>
      </c>
      <c r="I1873" s="13" t="s">
        <v>35</v>
      </c>
      <c r="J1873" s="11" t="n">
        <v>1573145</v>
      </c>
      <c r="L1873" s="11" t="n">
        <v>32386864</v>
      </c>
      <c r="M1873" s="13" t="s">
        <v>45</v>
      </c>
      <c r="N1873" s="13" t="s">
        <v>37</v>
      </c>
      <c r="P1873" s="11" t="n">
        <v>167</v>
      </c>
      <c r="Q1873" s="13" t="s">
        <v>102</v>
      </c>
      <c r="R1873" s="13" t="s">
        <v>47</v>
      </c>
      <c r="S1873" s="11" t="n">
        <v>1130101</v>
      </c>
      <c r="T1873" s="13" t="s">
        <v>48</v>
      </c>
      <c r="U1873" s="14" t="n">
        <v>924.11</v>
      </c>
      <c r="W1873" s="14" t="n">
        <v>0</v>
      </c>
      <c r="X1873" s="13" t="s">
        <v>1859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0" t="str">
        <f aca="false">IFERROR(INDEX('Mov Entradas (Rel 10497)'!$L:$L,MATCH(AC1873,'Mov Entradas (Rel 10497)'!$I:$I,0)),"nao encontrado")</f>
        <v>ABS SEMPERLIVRE SUAVE C/ABA -16UN</v>
      </c>
      <c r="AC1873" s="0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46001</v>
      </c>
      <c r="C1874" s="12" t="n">
        <v>46290</v>
      </c>
      <c r="D1874" s="11" t="n">
        <v>1839</v>
      </c>
      <c r="E1874" s="13" t="s">
        <v>615</v>
      </c>
      <c r="F1874" s="11" t="n">
        <v>24</v>
      </c>
      <c r="G1874" s="13" t="s">
        <v>43</v>
      </c>
      <c r="H1874" s="11" t="n">
        <v>2110102</v>
      </c>
      <c r="I1874" s="13" t="s">
        <v>616</v>
      </c>
      <c r="J1874" s="11" t="n">
        <v>315650</v>
      </c>
      <c r="L1874" s="11" t="n">
        <v>86749</v>
      </c>
      <c r="M1874" s="13" t="s">
        <v>1584</v>
      </c>
      <c r="N1874" s="13" t="s">
        <v>70</v>
      </c>
      <c r="P1874" s="11" t="n">
        <v>163</v>
      </c>
      <c r="Q1874" s="13" t="s">
        <v>103</v>
      </c>
      <c r="R1874" s="13" t="s">
        <v>39</v>
      </c>
      <c r="S1874" s="11" t="n">
        <v>4210204</v>
      </c>
      <c r="T1874" s="13" t="s">
        <v>617</v>
      </c>
      <c r="U1874" s="14" t="n">
        <v>47.99</v>
      </c>
      <c r="W1874" s="14" t="n">
        <v>0</v>
      </c>
      <c r="X1874" s="13" t="s">
        <v>1860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0" t="str">
        <f aca="false">IFERROR(INDEX('Mov Entradas (Rel 10497)'!$L:$L,MATCH(AC1874,'Mov Entradas (Rel 10497)'!$I:$I,0)),"nao encontrado")</f>
        <v>nao encontrado</v>
      </c>
      <c r="AC1874" s="0" t="n">
        <v>86749</v>
      </c>
    </row>
    <row r="1875" customFormat="false" ht="72.75" hidden="false" customHeight="true" outlineLevel="0" collapsed="false">
      <c r="A1875" s="11" t="n">
        <v>3</v>
      </c>
      <c r="B1875" s="12" t="n">
        <v>45991</v>
      </c>
      <c r="C1875" s="12" t="n">
        <v>46290</v>
      </c>
      <c r="D1875" s="11" t="n">
        <v>10054</v>
      </c>
      <c r="E1875" s="13" t="s">
        <v>619</v>
      </c>
      <c r="F1875" s="11" t="n">
        <v>2</v>
      </c>
      <c r="G1875" s="13" t="s">
        <v>484</v>
      </c>
      <c r="H1875" s="11" t="n">
        <v>2110405</v>
      </c>
      <c r="I1875" s="13" t="s">
        <v>35</v>
      </c>
      <c r="J1875" s="11" t="n">
        <v>777941</v>
      </c>
      <c r="L1875" s="11" t="n">
        <v>123778</v>
      </c>
      <c r="M1875" s="13" t="s">
        <v>1584</v>
      </c>
      <c r="N1875" s="13" t="s">
        <v>37</v>
      </c>
      <c r="P1875" s="11" t="n">
        <v>129</v>
      </c>
      <c r="Q1875" s="13" t="s">
        <v>103</v>
      </c>
      <c r="R1875" s="13" t="s">
        <v>39</v>
      </c>
      <c r="S1875" s="11" t="n">
        <v>4210227</v>
      </c>
      <c r="T1875" s="13" t="s">
        <v>197</v>
      </c>
      <c r="U1875" s="14" t="n">
        <v>56.1</v>
      </c>
      <c r="W1875" s="14" t="n">
        <v>0</v>
      </c>
      <c r="X1875" s="13" t="s">
        <v>620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0" t="str">
        <f aca="false">IFERROR(INDEX('Mov Entradas (Rel 10497)'!$L:$L,MATCH(AC1875,'Mov Entradas (Rel 10497)'!$I:$I,0)),"nao encontrado")</f>
        <v>nao encontrado</v>
      </c>
      <c r="AC1875" s="0" t="n">
        <v>1318</v>
      </c>
    </row>
    <row r="1876" customFormat="false" ht="36.75" hidden="false" customHeight="true" outlineLevel="0" collapsed="false">
      <c r="A1876" s="11" t="n">
        <v>3</v>
      </c>
      <c r="B1876" s="12" t="n">
        <v>46157</v>
      </c>
      <c r="C1876" s="12" t="n">
        <v>46290</v>
      </c>
      <c r="D1876" s="11" t="n">
        <v>663</v>
      </c>
      <c r="E1876" s="13" t="s">
        <v>613</v>
      </c>
      <c r="F1876" s="11" t="n">
        <v>2</v>
      </c>
      <c r="G1876" s="13" t="s">
        <v>484</v>
      </c>
      <c r="H1876" s="11" t="n">
        <v>2110405</v>
      </c>
      <c r="I1876" s="13" t="s">
        <v>35</v>
      </c>
      <c r="J1876" s="11" t="n">
        <v>1107245</v>
      </c>
      <c r="L1876" s="11" t="n">
        <v>174077</v>
      </c>
      <c r="M1876" s="13" t="s">
        <v>45</v>
      </c>
      <c r="N1876" s="13" t="s">
        <v>37</v>
      </c>
      <c r="P1876" s="11" t="n">
        <v>128</v>
      </c>
      <c r="Q1876" s="13" t="s">
        <v>46</v>
      </c>
      <c r="R1876" s="13" t="s">
        <v>39</v>
      </c>
      <c r="S1876" s="11" t="n">
        <v>4210227</v>
      </c>
      <c r="T1876" s="13" t="s">
        <v>197</v>
      </c>
      <c r="U1876" s="14" t="n">
        <v>711.75</v>
      </c>
      <c r="W1876" s="14" t="n">
        <v>0</v>
      </c>
      <c r="X1876" s="13" t="s">
        <v>614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0" t="str">
        <f aca="false">IFERROR(INDEX('Mov Entradas (Rel 10497)'!$L:$L,MATCH(AC1876,'Mov Entradas (Rel 10497)'!$I:$I,0)),"nao encontrado")</f>
        <v>nao encontrado</v>
      </c>
      <c r="AC1876" s="0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46231</v>
      </c>
      <c r="C1877" s="12" t="n">
        <v>46290</v>
      </c>
      <c r="D1877" s="11" t="n">
        <v>928</v>
      </c>
      <c r="E1877" s="13" t="s">
        <v>665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1464994</v>
      </c>
      <c r="L1877" s="11" t="n">
        <v>227912</v>
      </c>
      <c r="M1877" s="13" t="s">
        <v>151</v>
      </c>
      <c r="N1877" s="13" t="s">
        <v>37</v>
      </c>
      <c r="P1877" s="11" t="n">
        <v>101</v>
      </c>
      <c r="Q1877" s="13" t="s">
        <v>38</v>
      </c>
      <c r="R1877" s="13" t="s">
        <v>73</v>
      </c>
      <c r="S1877" s="11" t="n">
        <v>421033</v>
      </c>
      <c r="T1877" s="13" t="s">
        <v>666</v>
      </c>
      <c r="U1877" s="14" t="n">
        <v>299.9</v>
      </c>
      <c r="W1877" s="14" t="n">
        <v>0</v>
      </c>
      <c r="X1877" s="13" t="s">
        <v>667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46205</v>
      </c>
      <c r="C1878" s="12" t="n">
        <v>46290</v>
      </c>
      <c r="D1878" s="11" t="n">
        <v>663</v>
      </c>
      <c r="E1878" s="13" t="s">
        <v>613</v>
      </c>
      <c r="F1878" s="11" t="n">
        <v>59</v>
      </c>
      <c r="G1878" s="13" t="s">
        <v>1255</v>
      </c>
      <c r="H1878" s="11" t="n">
        <v>2110405</v>
      </c>
      <c r="I1878" s="13" t="s">
        <v>35</v>
      </c>
      <c r="J1878" s="11" t="n">
        <v>1465220</v>
      </c>
      <c r="L1878" s="11" t="n">
        <v>227946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47</v>
      </c>
      <c r="S1878" s="11" t="n">
        <v>1130101</v>
      </c>
      <c r="T1878" s="13" t="s">
        <v>48</v>
      </c>
      <c r="U1878" s="14" t="n">
        <v>93.33</v>
      </c>
      <c r="W1878" s="14" t="n">
        <v>0</v>
      </c>
      <c r="X1878" s="13" t="s">
        <v>1861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46231</v>
      </c>
      <c r="C1879" s="12" t="n">
        <v>46290</v>
      </c>
      <c r="D1879" s="11" t="n">
        <v>875</v>
      </c>
      <c r="E1879" s="13" t="s">
        <v>632</v>
      </c>
      <c r="F1879" s="11" t="n">
        <v>59</v>
      </c>
      <c r="G1879" s="13" t="s">
        <v>1255</v>
      </c>
      <c r="H1879" s="11" t="n">
        <v>1110204</v>
      </c>
      <c r="I1879" s="13" t="s">
        <v>204</v>
      </c>
      <c r="J1879" s="11" t="n">
        <v>1472837</v>
      </c>
      <c r="L1879" s="11" t="n">
        <v>18872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1615.17</v>
      </c>
      <c r="W1879" s="14" t="n">
        <v>0</v>
      </c>
      <c r="X1879" s="13" t="s">
        <v>1708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0" t="str">
        <f aca="false">IFERROR(INDEX('Mov Entradas (Rel 10497)'!$L:$L,MATCH(AC1879,'Mov Entradas (Rel 10497)'!$I:$I,0)),"nao encontrado")</f>
        <v>FONE OUVIDO BASIKE F</v>
      </c>
      <c r="AC1879" s="0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46237</v>
      </c>
      <c r="C1880" s="12" t="n">
        <v>46290</v>
      </c>
      <c r="D1880" s="11" t="n">
        <v>10101</v>
      </c>
      <c r="E1880" s="13" t="s">
        <v>1710</v>
      </c>
      <c r="F1880" s="11" t="n">
        <v>59</v>
      </c>
      <c r="G1880" s="13" t="s">
        <v>1255</v>
      </c>
      <c r="H1880" s="11" t="n">
        <v>2110405</v>
      </c>
      <c r="I1880" s="13" t="s">
        <v>35</v>
      </c>
      <c r="J1880" s="11" t="n">
        <v>1498493</v>
      </c>
      <c r="L1880" s="11" t="n">
        <v>232740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39</v>
      </c>
      <c r="S1880" s="11" t="n">
        <v>4210227</v>
      </c>
      <c r="T1880" s="13" t="s">
        <v>197</v>
      </c>
      <c r="U1880" s="14" t="n">
        <v>256.8</v>
      </c>
      <c r="W1880" s="14" t="n">
        <v>0</v>
      </c>
      <c r="X1880" s="13" t="s">
        <v>1862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0" t="str">
        <f aca="false">IFERROR(INDEX('Mov Entradas (Rel 10497)'!$L:$L,MATCH(AC1880,'Mov Entradas (Rel 10497)'!$I:$I,0)),"nao encontrado")</f>
        <v>AR COND 10000 MIDEA QCL108BB 127V</v>
      </c>
      <c r="AC1880" s="0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46248</v>
      </c>
      <c r="C1881" s="12" t="n">
        <v>46294</v>
      </c>
      <c r="D1881" s="11" t="n">
        <v>1739</v>
      </c>
      <c r="E1881" s="13" t="s">
        <v>1824</v>
      </c>
      <c r="F1881" s="11" t="n">
        <v>24</v>
      </c>
      <c r="G1881" s="13" t="s">
        <v>43</v>
      </c>
      <c r="H1881" s="11" t="n">
        <v>2110405</v>
      </c>
      <c r="I1881" s="13" t="s">
        <v>35</v>
      </c>
      <c r="J1881" s="11" t="n">
        <v>1566624</v>
      </c>
      <c r="L1881" s="11" t="n">
        <v>2551474</v>
      </c>
      <c r="M1881" s="13" t="s">
        <v>45</v>
      </c>
      <c r="N1881" s="13" t="s">
        <v>37</v>
      </c>
      <c r="P1881" s="11" t="n">
        <v>167</v>
      </c>
      <c r="Q1881" s="13" t="s">
        <v>102</v>
      </c>
      <c r="R1881" s="13" t="s">
        <v>47</v>
      </c>
      <c r="S1881" s="11" t="n">
        <v>1130101</v>
      </c>
      <c r="T1881" s="13" t="s">
        <v>48</v>
      </c>
      <c r="U1881" s="14" t="n">
        <v>842.29</v>
      </c>
      <c r="W1881" s="14" t="n">
        <v>0</v>
      </c>
      <c r="X1881" s="13" t="s">
        <v>1863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0" t="str">
        <f aca="false">IFERROR(INDEX('Mov Entradas (Rel 10497)'!$L:$L,MATCH(AC1881,'Mov Entradas (Rel 10497)'!$I:$I,0)),"nao encontrado")</f>
        <v>PRESERVATIVO LV8 PG6</v>
      </c>
      <c r="AC1881" s="0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46231</v>
      </c>
      <c r="C1882" s="12" t="n">
        <v>46297</v>
      </c>
      <c r="D1882" s="11" t="n">
        <v>1778</v>
      </c>
      <c r="E1882" s="13" t="s">
        <v>117</v>
      </c>
      <c r="F1882" s="11" t="n">
        <v>24</v>
      </c>
      <c r="G1882" s="13" t="s">
        <v>43</v>
      </c>
      <c r="H1882" s="11" t="n">
        <v>1110204</v>
      </c>
      <c r="I1882" s="13" t="s">
        <v>204</v>
      </c>
      <c r="J1882" s="11" t="n">
        <v>1464589</v>
      </c>
      <c r="L1882" s="11" t="n">
        <v>227862</v>
      </c>
      <c r="M1882" s="13" t="s">
        <v>151</v>
      </c>
      <c r="N1882" s="13" t="s">
        <v>37</v>
      </c>
      <c r="P1882" s="11" t="n">
        <v>101</v>
      </c>
      <c r="Q1882" s="13" t="s">
        <v>38</v>
      </c>
      <c r="R1882" s="13" t="s">
        <v>39</v>
      </c>
      <c r="S1882" s="11" t="n">
        <v>4210207</v>
      </c>
      <c r="T1882" s="13" t="s">
        <v>118</v>
      </c>
      <c r="U1882" s="14" t="n">
        <v>337.29</v>
      </c>
      <c r="W1882" s="14" t="n">
        <v>0</v>
      </c>
      <c r="X1882" s="13" t="s">
        <v>1786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46205</v>
      </c>
      <c r="C1883" s="12" t="n">
        <v>46297</v>
      </c>
      <c r="D1883" s="11" t="n">
        <v>1789</v>
      </c>
      <c r="E1883" s="13" t="s">
        <v>63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1464602</v>
      </c>
      <c r="L1883" s="11" t="n">
        <v>227866</v>
      </c>
      <c r="M1883" s="13" t="s">
        <v>151</v>
      </c>
      <c r="N1883" s="13" t="s">
        <v>37</v>
      </c>
      <c r="P1883" s="11" t="n">
        <v>101</v>
      </c>
      <c r="Q1883" s="13" t="s">
        <v>38</v>
      </c>
      <c r="R1883" s="13" t="s">
        <v>64</v>
      </c>
      <c r="S1883" s="11" t="n">
        <v>4210112</v>
      </c>
      <c r="T1883" s="13" t="s">
        <v>65</v>
      </c>
      <c r="U1883" s="14" t="n">
        <v>5500</v>
      </c>
      <c r="W1883" s="14" t="n">
        <v>0</v>
      </c>
      <c r="X1883" s="13" t="s">
        <v>1787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46231</v>
      </c>
      <c r="C1884" s="12" t="n">
        <v>46297</v>
      </c>
      <c r="D1884" s="11" t="n">
        <v>49</v>
      </c>
      <c r="E1884" s="13" t="s">
        <v>139</v>
      </c>
      <c r="F1884" s="11" t="n">
        <v>34</v>
      </c>
      <c r="G1884" s="13" t="s">
        <v>34</v>
      </c>
      <c r="H1884" s="11" t="n">
        <v>2110405</v>
      </c>
      <c r="I1884" s="13" t="s">
        <v>35</v>
      </c>
      <c r="J1884" s="11" t="n">
        <v>1464754</v>
      </c>
      <c r="L1884" s="11" t="n">
        <v>227889</v>
      </c>
      <c r="M1884" s="13" t="s">
        <v>246</v>
      </c>
      <c r="N1884" s="13" t="s">
        <v>37</v>
      </c>
      <c r="P1884" s="11" t="n">
        <v>101</v>
      </c>
      <c r="Q1884" s="13" t="s">
        <v>38</v>
      </c>
      <c r="R1884" s="13" t="s">
        <v>140</v>
      </c>
      <c r="S1884" s="11" t="n">
        <v>2110901</v>
      </c>
      <c r="T1884" s="13" t="s">
        <v>141</v>
      </c>
      <c r="U1884" s="14" t="n">
        <v>4000</v>
      </c>
      <c r="W1884" s="14" t="n">
        <v>0</v>
      </c>
      <c r="X1884" s="13" t="s">
        <v>1864</v>
      </c>
      <c r="Z1884" s="1" t="str">
        <f aca="false">IF($T1884="","",IFERROR(INDEX('Resumo Grupos'!$AC$3:$AC$200,MATCH($T1884,'Resumo Grupos'!$AB$3:$AB$200,0)),"n/d"))</f>
        <v>Empréstimo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46231</v>
      </c>
      <c r="C1885" s="12" t="n">
        <v>46299</v>
      </c>
      <c r="D1885" s="11" t="n">
        <v>33</v>
      </c>
      <c r="E1885" s="13" t="s">
        <v>72</v>
      </c>
      <c r="F1885" s="11" t="n">
        <v>34</v>
      </c>
      <c r="G1885" s="13" t="s">
        <v>34</v>
      </c>
      <c r="H1885" s="11" t="n">
        <v>2110405</v>
      </c>
      <c r="I1885" s="13" t="s">
        <v>35</v>
      </c>
      <c r="J1885" s="11" t="n">
        <v>1464721</v>
      </c>
      <c r="L1885" s="11" t="n">
        <v>227878</v>
      </c>
      <c r="M1885" s="13" t="s">
        <v>151</v>
      </c>
      <c r="N1885" s="13" t="s">
        <v>37</v>
      </c>
      <c r="P1885" s="11" t="n">
        <v>101</v>
      </c>
      <c r="Q1885" s="13" t="s">
        <v>38</v>
      </c>
      <c r="R1885" s="13" t="s">
        <v>247</v>
      </c>
      <c r="S1885" s="11" t="n">
        <v>2210202</v>
      </c>
      <c r="T1885" s="13" t="s">
        <v>247</v>
      </c>
      <c r="U1885" s="14" t="n">
        <v>1000</v>
      </c>
      <c r="W1885" s="14" t="n">
        <v>0</v>
      </c>
      <c r="X1885" s="13" t="s">
        <v>248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46234</v>
      </c>
      <c r="C1886" s="12" t="n">
        <v>46299</v>
      </c>
      <c r="D1886" s="11" t="n">
        <v>519</v>
      </c>
      <c r="E1886" s="13" t="s">
        <v>244</v>
      </c>
      <c r="F1886" s="11" t="n">
        <v>34</v>
      </c>
      <c r="G1886" s="13" t="s">
        <v>34</v>
      </c>
      <c r="H1886" s="11" t="n">
        <v>2110405</v>
      </c>
      <c r="I1886" s="13" t="s">
        <v>35</v>
      </c>
      <c r="J1886" s="11" t="n">
        <v>1477410</v>
      </c>
      <c r="L1886" s="11" t="n">
        <v>229713</v>
      </c>
      <c r="M1886" s="13" t="s">
        <v>246</v>
      </c>
      <c r="N1886" s="13" t="s">
        <v>37</v>
      </c>
      <c r="P1886" s="11" t="n">
        <v>101</v>
      </c>
      <c r="Q1886" s="13" t="s">
        <v>38</v>
      </c>
      <c r="R1886" s="13" t="s">
        <v>247</v>
      </c>
      <c r="S1886" s="11" t="n">
        <v>2210203</v>
      </c>
      <c r="T1886" s="13" t="s">
        <v>1534</v>
      </c>
      <c r="U1886" s="14" t="n">
        <v>50000</v>
      </c>
      <c r="W1886" s="14" t="n">
        <v>0</v>
      </c>
      <c r="X1886" s="13" t="s">
        <v>1535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NAO</v>
      </c>
    </row>
    <row r="1887" customFormat="false" ht="36.75" hidden="false" customHeight="true" outlineLevel="0" collapsed="false">
      <c r="A1887" s="11" t="n">
        <v>3</v>
      </c>
      <c r="B1887" s="12" t="n">
        <v>46147</v>
      </c>
      <c r="C1887" s="12" t="n">
        <v>46300</v>
      </c>
      <c r="D1887" s="11" t="n">
        <v>515</v>
      </c>
      <c r="E1887" s="13" t="s">
        <v>106</v>
      </c>
      <c r="F1887" s="11" t="n">
        <v>34</v>
      </c>
      <c r="G1887" s="13" t="s">
        <v>34</v>
      </c>
      <c r="H1887" s="11" t="n">
        <v>2110405</v>
      </c>
      <c r="I1887" s="13" t="s">
        <v>35</v>
      </c>
      <c r="J1887" s="11" t="n">
        <v>1157461</v>
      </c>
      <c r="L1887" s="11" t="n">
        <v>181615</v>
      </c>
      <c r="M1887" s="13" t="s">
        <v>36</v>
      </c>
      <c r="N1887" s="13" t="s">
        <v>37</v>
      </c>
      <c r="P1887" s="11" t="n">
        <v>101</v>
      </c>
      <c r="Q1887" s="13" t="s">
        <v>38</v>
      </c>
      <c r="R1887" s="13" t="s">
        <v>86</v>
      </c>
      <c r="S1887" s="11" t="n">
        <v>4210508</v>
      </c>
      <c r="T1887" s="13" t="s">
        <v>107</v>
      </c>
      <c r="U1887" s="14" t="n">
        <v>151.61</v>
      </c>
      <c r="W1887" s="14" t="n">
        <v>0</v>
      </c>
      <c r="X1887" s="13" t="s">
        <v>1865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46231</v>
      </c>
      <c r="C1888" s="12" t="n">
        <v>46300</v>
      </c>
      <c r="D1888" s="11" t="n">
        <v>1040</v>
      </c>
      <c r="E1888" s="13" t="s">
        <v>217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1464735</v>
      </c>
      <c r="L1888" s="11" t="n">
        <v>227881</v>
      </c>
      <c r="M1888" s="13" t="s">
        <v>151</v>
      </c>
      <c r="N1888" s="13" t="s">
        <v>37</v>
      </c>
      <c r="P1888" s="11" t="n">
        <v>101</v>
      </c>
      <c r="Q1888" s="13" t="s">
        <v>38</v>
      </c>
      <c r="R1888" s="13" t="s">
        <v>39</v>
      </c>
      <c r="S1888" s="11" t="n">
        <v>4210201</v>
      </c>
      <c r="T1888" s="13" t="s">
        <v>218</v>
      </c>
      <c r="U1888" s="14" t="n">
        <v>286</v>
      </c>
      <c r="W1888" s="14" t="n">
        <v>0</v>
      </c>
      <c r="X1888" s="13" t="s">
        <v>1403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46248</v>
      </c>
      <c r="C1889" s="12" t="n">
        <v>46301</v>
      </c>
      <c r="D1889" s="11" t="n">
        <v>1739</v>
      </c>
      <c r="E1889" s="13" t="s">
        <v>1824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1566627</v>
      </c>
      <c r="L1889" s="11" t="n">
        <v>2551475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842.29</v>
      </c>
      <c r="W1889" s="14" t="n">
        <v>0</v>
      </c>
      <c r="X1889" s="13" t="s">
        <v>1866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0" t="str">
        <f aca="false">IFERROR(INDEX('Mov Entradas (Rel 10497)'!$L:$L,MATCH(AC1889,'Mov Entradas (Rel 10497)'!$I:$I,0)),"nao encontrado")</f>
        <v>PRESERVATIVO LV8 PG6</v>
      </c>
      <c r="AC1889" s="0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46239</v>
      </c>
      <c r="C1890" s="12" t="n">
        <v>46302</v>
      </c>
      <c r="D1890" s="11" t="n">
        <v>1659</v>
      </c>
      <c r="E1890" s="13" t="s">
        <v>253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1509292</v>
      </c>
      <c r="L1890" s="11" t="n">
        <v>8893823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47</v>
      </c>
      <c r="S1890" s="11" t="n">
        <v>1130101</v>
      </c>
      <c r="T1890" s="13" t="s">
        <v>48</v>
      </c>
      <c r="U1890" s="14" t="n">
        <v>710.92</v>
      </c>
      <c r="W1890" s="14" t="n">
        <v>0</v>
      </c>
      <c r="X1890" s="13" t="s">
        <v>1867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0" t="str">
        <f aca="false">IFERROR(INDEX('Mov Entradas (Rel 10497)'!$L:$L,MATCH(AC1890,'Mov Entradas (Rel 10497)'!$I:$I,0)),"nao encontrado")</f>
        <v>SAND IPAN CL AZUL MASC 21307</v>
      </c>
      <c r="AC1890" s="0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46184</v>
      </c>
      <c r="C1891" s="12" t="n">
        <v>46304</v>
      </c>
      <c r="D1891" s="11" t="n">
        <v>1611</v>
      </c>
      <c r="E1891" s="13" t="s">
        <v>447</v>
      </c>
      <c r="F1891" s="11" t="n">
        <v>24</v>
      </c>
      <c r="G1891" s="13" t="s">
        <v>43</v>
      </c>
      <c r="H1891" s="11" t="n">
        <v>2110101</v>
      </c>
      <c r="I1891" s="13" t="s">
        <v>44</v>
      </c>
      <c r="J1891" s="11" t="n">
        <v>1239691</v>
      </c>
      <c r="L1891" s="11" t="n">
        <v>17714754</v>
      </c>
      <c r="M1891" s="13" t="s">
        <v>45</v>
      </c>
      <c r="N1891" s="13" t="s">
        <v>37</v>
      </c>
      <c r="P1891" s="11" t="n">
        <v>128</v>
      </c>
      <c r="Q1891" s="13" t="s">
        <v>46</v>
      </c>
      <c r="R1891" s="13" t="s">
        <v>47</v>
      </c>
      <c r="S1891" s="11" t="n">
        <v>1130101</v>
      </c>
      <c r="T1891" s="13" t="s">
        <v>48</v>
      </c>
      <c r="U1891" s="14" t="n">
        <v>1718.76</v>
      </c>
      <c r="W1891" s="14" t="n">
        <v>0</v>
      </c>
      <c r="X1891" s="13" t="s">
        <v>1868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0" t="str">
        <f aca="false">IFERROR(INDEX('Mov Entradas (Rel 10497)'!$L:$L,MATCH(AC1891,'Mov Entradas (Rel 10497)'!$I:$I,0)),"nao encontrado")</f>
        <v>nao encontrado</v>
      </c>
      <c r="AC1891" s="0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46122</v>
      </c>
      <c r="C1892" s="12" t="n">
        <v>46305</v>
      </c>
      <c r="D1892" s="11" t="n">
        <v>815</v>
      </c>
      <c r="E1892" s="13" t="s">
        <v>329</v>
      </c>
      <c r="F1892" s="11" t="n">
        <v>34</v>
      </c>
      <c r="G1892" s="13" t="s">
        <v>34</v>
      </c>
      <c r="H1892" s="11" t="n">
        <v>2110405</v>
      </c>
      <c r="I1892" s="13" t="s">
        <v>35</v>
      </c>
      <c r="J1892" s="11" t="n">
        <v>793794</v>
      </c>
      <c r="L1892" s="11" t="n">
        <v>100326</v>
      </c>
      <c r="M1892" s="13" t="s">
        <v>527</v>
      </c>
      <c r="N1892" s="13" t="s">
        <v>37</v>
      </c>
      <c r="P1892" s="11" t="n">
        <v>101</v>
      </c>
      <c r="Q1892" s="13" t="s">
        <v>38</v>
      </c>
      <c r="R1892" s="13" t="s">
        <v>140</v>
      </c>
      <c r="S1892" s="11" t="n">
        <v>2110901</v>
      </c>
      <c r="T1892" s="13" t="s">
        <v>141</v>
      </c>
      <c r="U1892" s="14" t="n">
        <v>1500</v>
      </c>
      <c r="W1892" s="14" t="n">
        <v>0</v>
      </c>
      <c r="X1892" s="13" t="s">
        <v>330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46211</v>
      </c>
      <c r="C1893" s="12" t="n">
        <v>46305</v>
      </c>
      <c r="D1893" s="11" t="n">
        <v>33</v>
      </c>
      <c r="E1893" s="13" t="s">
        <v>72</v>
      </c>
      <c r="F1893" s="11" t="n">
        <v>34</v>
      </c>
      <c r="G1893" s="13" t="s">
        <v>34</v>
      </c>
      <c r="H1893" s="11" t="n">
        <v>2110405</v>
      </c>
      <c r="I1893" s="13" t="s">
        <v>35</v>
      </c>
      <c r="J1893" s="11" t="n">
        <v>1370731</v>
      </c>
      <c r="L1893" s="11" t="n">
        <v>213889</v>
      </c>
      <c r="M1893" s="13" t="s">
        <v>317</v>
      </c>
      <c r="N1893" s="13" t="s">
        <v>37</v>
      </c>
      <c r="P1893" s="11" t="n">
        <v>101</v>
      </c>
      <c r="Q1893" s="13" t="s">
        <v>38</v>
      </c>
      <c r="R1893" s="13" t="s">
        <v>39</v>
      </c>
      <c r="S1893" s="11" t="n">
        <v>4210222</v>
      </c>
      <c r="T1893" s="13" t="s">
        <v>1097</v>
      </c>
      <c r="U1893" s="14" t="n">
        <v>666.67</v>
      </c>
      <c r="W1893" s="14" t="n">
        <v>0</v>
      </c>
      <c r="X1893" s="13" t="s">
        <v>1098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46305</v>
      </c>
      <c r="D1894" s="11" t="n">
        <v>1028</v>
      </c>
      <c r="E1894" s="13" t="s">
        <v>331</v>
      </c>
      <c r="F1894" s="11" t="n">
        <v>34</v>
      </c>
      <c r="G1894" s="13" t="s">
        <v>34</v>
      </c>
      <c r="H1894" s="11" t="n">
        <v>1110204</v>
      </c>
      <c r="I1894" s="13" t="s">
        <v>204</v>
      </c>
      <c r="J1894" s="11" t="n">
        <v>1464677</v>
      </c>
      <c r="L1894" s="11" t="n">
        <v>227872</v>
      </c>
      <c r="M1894" s="13" t="s">
        <v>45</v>
      </c>
      <c r="N1894" s="13" t="s">
        <v>37</v>
      </c>
      <c r="P1894" s="11" t="n">
        <v>101</v>
      </c>
      <c r="Q1894" s="13" t="s">
        <v>38</v>
      </c>
      <c r="R1894" s="13" t="s">
        <v>64</v>
      </c>
      <c r="S1894" s="11" t="n">
        <v>4210111</v>
      </c>
      <c r="T1894" s="13" t="s">
        <v>332</v>
      </c>
      <c r="U1894" s="14" t="n">
        <v>5500</v>
      </c>
      <c r="W1894" s="14" t="n">
        <v>0</v>
      </c>
      <c r="X1894" s="13" t="s">
        <v>1869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46234</v>
      </c>
      <c r="C1895" s="12" t="n">
        <v>46305</v>
      </c>
      <c r="D1895" s="11" t="n">
        <v>815</v>
      </c>
      <c r="E1895" s="13" t="s">
        <v>329</v>
      </c>
      <c r="F1895" s="11" t="n">
        <v>34</v>
      </c>
      <c r="G1895" s="13" t="s">
        <v>34</v>
      </c>
      <c r="H1895" s="11" t="n">
        <v>2110405</v>
      </c>
      <c r="I1895" s="13" t="s">
        <v>35</v>
      </c>
      <c r="J1895" s="11" t="n">
        <v>1477448</v>
      </c>
      <c r="L1895" s="11" t="n">
        <v>229731</v>
      </c>
      <c r="M1895" s="13" t="s">
        <v>246</v>
      </c>
      <c r="N1895" s="13" t="s">
        <v>37</v>
      </c>
      <c r="P1895" s="11" t="n">
        <v>101</v>
      </c>
      <c r="Q1895" s="13" t="s">
        <v>38</v>
      </c>
      <c r="R1895" s="13" t="s">
        <v>247</v>
      </c>
      <c r="S1895" s="11" t="n">
        <v>2210203</v>
      </c>
      <c r="T1895" s="13" t="s">
        <v>1534</v>
      </c>
      <c r="U1895" s="14" t="n">
        <v>75000</v>
      </c>
      <c r="W1895" s="14" t="n">
        <v>0</v>
      </c>
      <c r="X1895" s="13" t="s">
        <v>1536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NAO</v>
      </c>
    </row>
    <row r="1896" customFormat="false" ht="36.75" hidden="false" customHeight="true" outlineLevel="0" collapsed="false">
      <c r="A1896" s="11" t="n">
        <v>3</v>
      </c>
      <c r="B1896" s="12" t="n">
        <v>46244</v>
      </c>
      <c r="C1896" s="12" t="n">
        <v>46305</v>
      </c>
      <c r="D1896" s="11" t="n">
        <v>33</v>
      </c>
      <c r="E1896" s="13" t="s">
        <v>72</v>
      </c>
      <c r="F1896" s="11" t="n">
        <v>34</v>
      </c>
      <c r="G1896" s="13" t="s">
        <v>34</v>
      </c>
      <c r="H1896" s="11" t="n">
        <v>2110405</v>
      </c>
      <c r="I1896" s="13" t="s">
        <v>35</v>
      </c>
      <c r="J1896" s="11" t="n">
        <v>1530150</v>
      </c>
      <c r="L1896" s="11" t="n">
        <v>237338</v>
      </c>
      <c r="M1896" s="13" t="s">
        <v>151</v>
      </c>
      <c r="N1896" s="13" t="s">
        <v>37</v>
      </c>
      <c r="P1896" s="11" t="n">
        <v>101</v>
      </c>
      <c r="Q1896" s="13" t="s">
        <v>38</v>
      </c>
      <c r="R1896" s="13" t="s">
        <v>73</v>
      </c>
      <c r="S1896" s="11" t="n">
        <v>4210301</v>
      </c>
      <c r="T1896" s="13" t="s">
        <v>232</v>
      </c>
      <c r="U1896" s="14" t="n">
        <v>329.09</v>
      </c>
      <c r="W1896" s="14" t="n">
        <v>0</v>
      </c>
      <c r="X1896" s="13" t="s">
        <v>319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46097</v>
      </c>
      <c r="C1897" s="12" t="n">
        <v>46310</v>
      </c>
      <c r="D1897" s="11" t="n">
        <v>1867</v>
      </c>
      <c r="E1897" s="13" t="s">
        <v>427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809440</v>
      </c>
      <c r="L1897" s="11" t="n">
        <v>777006512</v>
      </c>
      <c r="M1897" s="13" t="s">
        <v>1150</v>
      </c>
      <c r="N1897" s="13" t="s">
        <v>37</v>
      </c>
      <c r="P1897" s="11" t="n">
        <v>101</v>
      </c>
      <c r="Q1897" s="13" t="s">
        <v>38</v>
      </c>
      <c r="R1897" s="13" t="s">
        <v>428</v>
      </c>
      <c r="S1897" s="11" t="n">
        <v>4210401</v>
      </c>
      <c r="T1897" s="13" t="s">
        <v>429</v>
      </c>
      <c r="U1897" s="14" t="n">
        <v>225.2</v>
      </c>
      <c r="W1897" s="14" t="n">
        <v>0</v>
      </c>
      <c r="X1897" s="13" t="s">
        <v>1870</v>
      </c>
      <c r="Z1897" s="1" t="str">
        <f aca="false">IF($T1897="","",IFERROR(INDEX('Resumo Grupos'!$AC$3:$AC$200,MATCH($T1897,'Resumo Grupos'!$AB$3:$AB$200,0)),"n/d"))</f>
        <v>Impostos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46231</v>
      </c>
      <c r="C1898" s="12" t="n">
        <v>46310</v>
      </c>
      <c r="D1898" s="11" t="n">
        <v>1893</v>
      </c>
      <c r="E1898" s="13" t="s">
        <v>444</v>
      </c>
      <c r="F1898" s="11" t="n">
        <v>34</v>
      </c>
      <c r="G1898" s="13" t="s">
        <v>34</v>
      </c>
      <c r="H1898" s="11" t="n">
        <v>2110405</v>
      </c>
      <c r="I1898" s="13" t="s">
        <v>35</v>
      </c>
      <c r="J1898" s="11" t="n">
        <v>1464910</v>
      </c>
      <c r="L1898" s="11" t="n">
        <v>227905</v>
      </c>
      <c r="M1898" s="13" t="s">
        <v>246</v>
      </c>
      <c r="N1898" s="13" t="s">
        <v>37</v>
      </c>
      <c r="P1898" s="11" t="n">
        <v>101</v>
      </c>
      <c r="Q1898" s="13" t="s">
        <v>38</v>
      </c>
      <c r="R1898" s="13" t="s">
        <v>73</v>
      </c>
      <c r="S1898" s="11" t="n">
        <v>4210315</v>
      </c>
      <c r="T1898" s="13" t="s">
        <v>440</v>
      </c>
      <c r="U1898" s="14" t="n">
        <v>177.65</v>
      </c>
      <c r="W1898" s="14" t="n">
        <v>0</v>
      </c>
      <c r="X1898" s="13" t="s">
        <v>1553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46220</v>
      </c>
      <c r="C1899" s="12" t="n">
        <v>46312</v>
      </c>
      <c r="D1899" s="11" t="n">
        <v>16</v>
      </c>
      <c r="E1899" s="13" t="s">
        <v>244</v>
      </c>
      <c r="F1899" s="11" t="n">
        <v>34</v>
      </c>
      <c r="G1899" s="13" t="s">
        <v>34</v>
      </c>
      <c r="H1899" s="11" t="n">
        <v>2110405</v>
      </c>
      <c r="I1899" s="13" t="s">
        <v>35</v>
      </c>
      <c r="J1899" s="11" t="n">
        <v>1415325</v>
      </c>
      <c r="L1899" s="11" t="n">
        <v>220522</v>
      </c>
      <c r="M1899" s="13" t="s">
        <v>246</v>
      </c>
      <c r="N1899" s="13" t="s">
        <v>37</v>
      </c>
      <c r="P1899" s="11" t="n">
        <v>101</v>
      </c>
      <c r="Q1899" s="13" t="s">
        <v>38</v>
      </c>
      <c r="R1899" s="13" t="s">
        <v>247</v>
      </c>
      <c r="S1899" s="11" t="n">
        <v>2210202</v>
      </c>
      <c r="T1899" s="13" t="s">
        <v>247</v>
      </c>
      <c r="U1899" s="14" t="n">
        <v>1000</v>
      </c>
      <c r="W1899" s="14" t="n">
        <v>0</v>
      </c>
      <c r="X1899" s="13" t="s">
        <v>1560</v>
      </c>
      <c r="Z1899" s="1" t="str">
        <f aca="false">IF($T1899="","",IFERROR(INDEX('Resumo Grupos'!$AC$3:$AC$200,MATCH($T1899,'Resumo Grupos'!$AB$3:$AB$200,0)),"n/d"))</f>
        <v>Empréstimo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46224</v>
      </c>
      <c r="C1900" s="12" t="n">
        <v>46312</v>
      </c>
      <c r="D1900" s="11" t="n">
        <v>16</v>
      </c>
      <c r="E1900" s="13" t="s">
        <v>244</v>
      </c>
      <c r="F1900" s="11" t="n">
        <v>34</v>
      </c>
      <c r="G1900" s="13" t="s">
        <v>34</v>
      </c>
      <c r="H1900" s="11" t="n">
        <v>2110405</v>
      </c>
      <c r="I1900" s="13" t="s">
        <v>35</v>
      </c>
      <c r="J1900" s="11" t="n">
        <v>1428695</v>
      </c>
      <c r="L1900" s="11" t="n">
        <v>222991</v>
      </c>
      <c r="M1900" s="13" t="s">
        <v>246</v>
      </c>
      <c r="N1900" s="13" t="s">
        <v>37</v>
      </c>
      <c r="P1900" s="11" t="n">
        <v>101</v>
      </c>
      <c r="Q1900" s="13" t="s">
        <v>38</v>
      </c>
      <c r="R1900" s="13" t="s">
        <v>247</v>
      </c>
      <c r="S1900" s="11" t="n">
        <v>2210202</v>
      </c>
      <c r="T1900" s="13" t="s">
        <v>247</v>
      </c>
      <c r="U1900" s="14" t="n">
        <v>3000</v>
      </c>
      <c r="W1900" s="14" t="n">
        <v>0</v>
      </c>
      <c r="X1900" s="13" t="s">
        <v>1871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46231</v>
      </c>
      <c r="C1901" s="12" t="n">
        <v>46312</v>
      </c>
      <c r="D1901" s="11" t="n">
        <v>1354</v>
      </c>
      <c r="E1901" s="13" t="s">
        <v>1565</v>
      </c>
      <c r="F1901" s="11" t="n">
        <v>60</v>
      </c>
      <c r="G1901" s="13" t="s">
        <v>1566</v>
      </c>
      <c r="H1901" s="11" t="n">
        <v>1110204</v>
      </c>
      <c r="I1901" s="13" t="s">
        <v>204</v>
      </c>
      <c r="J1901" s="11" t="n">
        <v>1468251</v>
      </c>
      <c r="L1901" s="11" t="n">
        <v>13391</v>
      </c>
      <c r="M1901" s="13" t="s">
        <v>45</v>
      </c>
      <c r="N1901" s="13" t="s">
        <v>37</v>
      </c>
      <c r="P1901" s="11" t="n">
        <v>167</v>
      </c>
      <c r="Q1901" s="13" t="s">
        <v>102</v>
      </c>
      <c r="R1901" s="13" t="s">
        <v>39</v>
      </c>
      <c r="S1901" s="11" t="n">
        <v>4210227</v>
      </c>
      <c r="T1901" s="13" t="s">
        <v>197</v>
      </c>
      <c r="U1901" s="14" t="n">
        <v>121.66</v>
      </c>
      <c r="W1901" s="14" t="n">
        <v>0</v>
      </c>
      <c r="X1901" s="13" t="s">
        <v>1872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0" t="str">
        <f aca="false">IFERROR(INDEX('Mov Entradas (Rel 10497)'!$L:$L,MATCH(AC1901,'Mov Entradas (Rel 10497)'!$I:$I,0)),"nao encontrado")</f>
        <v>ADUELA ANGELIM 13CM</v>
      </c>
      <c r="AC1901" s="0" t="n">
        <v>1339</v>
      </c>
    </row>
    <row r="1902" customFormat="false" ht="27.75" hidden="false" customHeight="true" outlineLevel="0" collapsed="false">
      <c r="A1902" s="11" t="n">
        <v>3</v>
      </c>
      <c r="B1902" s="12" t="n">
        <v>45950</v>
      </c>
      <c r="C1902" s="12" t="n">
        <v>46313</v>
      </c>
      <c r="D1902" s="11" t="n">
        <v>515</v>
      </c>
      <c r="E1902" s="13" t="s">
        <v>106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546000</v>
      </c>
      <c r="L1902" s="11" t="n">
        <v>85577</v>
      </c>
      <c r="M1902" s="13" t="s">
        <v>1873</v>
      </c>
      <c r="N1902" s="13" t="s">
        <v>37</v>
      </c>
      <c r="P1902" s="11" t="n">
        <v>101</v>
      </c>
      <c r="Q1902" s="13" t="s">
        <v>38</v>
      </c>
      <c r="R1902" s="13" t="s">
        <v>39</v>
      </c>
      <c r="S1902" s="11" t="n">
        <v>4210210</v>
      </c>
      <c r="T1902" s="13" t="s">
        <v>40</v>
      </c>
      <c r="U1902" s="14" t="n">
        <v>45.73</v>
      </c>
      <c r="W1902" s="14" t="n">
        <v>0</v>
      </c>
      <c r="X1902" s="13"/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46009</v>
      </c>
      <c r="C1903" s="12" t="n">
        <v>46313</v>
      </c>
      <c r="D1903" s="11" t="n">
        <v>515</v>
      </c>
      <c r="E1903" s="13" t="s">
        <v>106</v>
      </c>
      <c r="F1903" s="11" t="n">
        <v>34</v>
      </c>
      <c r="G1903" s="13" t="s">
        <v>34</v>
      </c>
      <c r="H1903" s="11" t="n">
        <v>2110405</v>
      </c>
      <c r="I1903" s="13" t="s">
        <v>35</v>
      </c>
      <c r="J1903" s="11" t="n">
        <v>818253</v>
      </c>
      <c r="L1903" s="11" t="n">
        <v>129421</v>
      </c>
      <c r="M1903" s="13" t="s">
        <v>1584</v>
      </c>
      <c r="N1903" s="13" t="s">
        <v>37</v>
      </c>
      <c r="P1903" s="11" t="n">
        <v>102</v>
      </c>
      <c r="Q1903" s="13" t="s">
        <v>187</v>
      </c>
      <c r="R1903" s="13" t="s">
        <v>140</v>
      </c>
      <c r="S1903" s="11" t="n">
        <v>2110901</v>
      </c>
      <c r="T1903" s="13" t="s">
        <v>141</v>
      </c>
      <c r="U1903" s="14" t="n">
        <v>2090.82</v>
      </c>
      <c r="W1903" s="14" t="n">
        <v>0</v>
      </c>
      <c r="X1903" s="13" t="s">
        <v>1874</v>
      </c>
      <c r="Z1903" s="1" t="str">
        <f aca="false">IF($T1903="","",IFERROR(INDEX('Resumo Grupos'!$AC$3:$AC$200,MATCH($T1903,'Resumo Grupos'!$AB$3:$AB$200,0)),"n/d"))</f>
        <v>Empréstimo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46206</v>
      </c>
      <c r="C1904" s="12" t="n">
        <v>46313</v>
      </c>
      <c r="D1904" s="11" t="n">
        <v>33</v>
      </c>
      <c r="E1904" s="13" t="s">
        <v>72</v>
      </c>
      <c r="F1904" s="11" t="n">
        <v>34</v>
      </c>
      <c r="G1904" s="13" t="s">
        <v>34</v>
      </c>
      <c r="H1904" s="11" t="n">
        <v>2110405</v>
      </c>
      <c r="I1904" s="13" t="s">
        <v>35</v>
      </c>
      <c r="J1904" s="11" t="n">
        <v>1345342</v>
      </c>
      <c r="L1904" s="11" t="n">
        <v>210000</v>
      </c>
      <c r="M1904" s="13" t="s">
        <v>317</v>
      </c>
      <c r="N1904" s="13" t="s">
        <v>37</v>
      </c>
      <c r="P1904" s="11" t="n">
        <v>101</v>
      </c>
      <c r="Q1904" s="13" t="s">
        <v>38</v>
      </c>
      <c r="R1904" s="13" t="s">
        <v>39</v>
      </c>
      <c r="S1904" s="11" t="n">
        <v>4210203</v>
      </c>
      <c r="T1904" s="13" t="s">
        <v>820</v>
      </c>
      <c r="U1904" s="14" t="n">
        <v>373.79</v>
      </c>
      <c r="W1904" s="14" t="n">
        <v>0</v>
      </c>
      <c r="X1904" s="13" t="s">
        <v>1143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46011</v>
      </c>
      <c r="C1905" s="12" t="n">
        <v>46315</v>
      </c>
      <c r="D1905" s="11" t="n">
        <v>514</v>
      </c>
      <c r="E1905" s="13" t="s">
        <v>33</v>
      </c>
      <c r="F1905" s="11" t="n">
        <v>34</v>
      </c>
      <c r="G1905" s="13" t="s">
        <v>34</v>
      </c>
      <c r="H1905" s="11" t="n">
        <v>2110405</v>
      </c>
      <c r="I1905" s="13" t="s">
        <v>35</v>
      </c>
      <c r="J1905" s="11" t="n">
        <v>695960</v>
      </c>
      <c r="L1905" s="11" t="n">
        <v>3</v>
      </c>
      <c r="M1905" s="13" t="s">
        <v>1849</v>
      </c>
      <c r="N1905" s="13" t="s">
        <v>37</v>
      </c>
      <c r="P1905" s="11" t="n">
        <v>101</v>
      </c>
      <c r="Q1905" s="13" t="s">
        <v>38</v>
      </c>
      <c r="R1905" s="13" t="s">
        <v>39</v>
      </c>
      <c r="S1905" s="11" t="n">
        <v>4210210</v>
      </c>
      <c r="T1905" s="13" t="s">
        <v>40</v>
      </c>
      <c r="U1905" s="14" t="n">
        <v>807.37</v>
      </c>
      <c r="W1905" s="14" t="n">
        <v>0</v>
      </c>
      <c r="X1905" s="13" t="s">
        <v>1875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46223</v>
      </c>
      <c r="C1906" s="12" t="n">
        <v>46315</v>
      </c>
      <c r="D1906" s="11" t="n">
        <v>17</v>
      </c>
      <c r="E1906" s="13" t="s">
        <v>1294</v>
      </c>
      <c r="F1906" s="11" t="n">
        <v>34</v>
      </c>
      <c r="G1906" s="13" t="s">
        <v>34</v>
      </c>
      <c r="H1906" s="11" t="n">
        <v>2110405</v>
      </c>
      <c r="I1906" s="13" t="s">
        <v>35</v>
      </c>
      <c r="J1906" s="11" t="n">
        <v>1464473</v>
      </c>
      <c r="L1906" s="11" t="n">
        <v>227845</v>
      </c>
      <c r="M1906" s="13" t="s">
        <v>317</v>
      </c>
      <c r="N1906" s="13" t="s">
        <v>37</v>
      </c>
      <c r="P1906" s="11" t="n">
        <v>101</v>
      </c>
      <c r="Q1906" s="13" t="s">
        <v>38</v>
      </c>
      <c r="R1906" s="13" t="s">
        <v>205</v>
      </c>
      <c r="S1906" s="11" t="n">
        <v>4220199</v>
      </c>
      <c r="T1906" s="13" t="s">
        <v>206</v>
      </c>
      <c r="U1906" s="14" t="n">
        <v>2600</v>
      </c>
      <c r="W1906" s="14" t="n">
        <v>0</v>
      </c>
      <c r="X1906" s="13" t="s">
        <v>1295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46231</v>
      </c>
      <c r="C1907" s="12" t="n">
        <v>46315</v>
      </c>
      <c r="D1907" s="11" t="n">
        <v>10028</v>
      </c>
      <c r="E1907" s="13" t="s">
        <v>592</v>
      </c>
      <c r="F1907" s="11" t="n">
        <v>24</v>
      </c>
      <c r="G1907" s="13" t="s">
        <v>43</v>
      </c>
      <c r="H1907" s="11" t="n">
        <v>2110405</v>
      </c>
      <c r="I1907" s="13" t="s">
        <v>35</v>
      </c>
      <c r="J1907" s="11" t="n">
        <v>1464619</v>
      </c>
      <c r="L1907" s="11" t="n">
        <v>227869</v>
      </c>
      <c r="M1907" s="13" t="s">
        <v>246</v>
      </c>
      <c r="N1907" s="13" t="s">
        <v>37</v>
      </c>
      <c r="P1907" s="11" t="n">
        <v>101</v>
      </c>
      <c r="Q1907" s="13" t="s">
        <v>38</v>
      </c>
      <c r="R1907" s="13" t="s">
        <v>73</v>
      </c>
      <c r="S1907" s="11" t="n">
        <v>4210315</v>
      </c>
      <c r="T1907" s="13" t="s">
        <v>440</v>
      </c>
      <c r="U1907" s="14" t="n">
        <v>595.9</v>
      </c>
      <c r="W1907" s="14" t="n">
        <v>0</v>
      </c>
      <c r="X1907" s="13" t="s">
        <v>593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46044</v>
      </c>
      <c r="C1908" s="12" t="n">
        <v>46317</v>
      </c>
      <c r="D1908" s="11" t="n">
        <v>514</v>
      </c>
      <c r="E1908" s="13" t="s">
        <v>33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1306220</v>
      </c>
      <c r="L1908" s="11" t="n">
        <v>203991</v>
      </c>
      <c r="M1908" s="13" t="s">
        <v>1584</v>
      </c>
      <c r="N1908" s="13" t="s">
        <v>37</v>
      </c>
      <c r="P1908" s="11" t="n">
        <v>101</v>
      </c>
      <c r="Q1908" s="13" t="s">
        <v>38</v>
      </c>
      <c r="R1908" s="13" t="s">
        <v>140</v>
      </c>
      <c r="S1908" s="11" t="n">
        <v>2110901</v>
      </c>
      <c r="T1908" s="13" t="s">
        <v>141</v>
      </c>
      <c r="U1908" s="14" t="n">
        <v>6601.19</v>
      </c>
      <c r="W1908" s="14" t="n">
        <v>0</v>
      </c>
      <c r="X1908" s="13" t="s">
        <v>1876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46224</v>
      </c>
      <c r="C1909" s="12" t="n">
        <v>46317</v>
      </c>
      <c r="D1909" s="11" t="n">
        <v>1929</v>
      </c>
      <c r="E1909" s="13" t="s">
        <v>1674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1428714</v>
      </c>
      <c r="L1909" s="11" t="n">
        <v>222992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4210299</v>
      </c>
      <c r="T1909" s="13" t="s">
        <v>1082</v>
      </c>
      <c r="U1909" s="14" t="n">
        <v>95.43</v>
      </c>
      <c r="W1909" s="14" t="n">
        <v>0</v>
      </c>
      <c r="X1909" s="13" t="s">
        <v>1675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46224</v>
      </c>
      <c r="C1910" s="12" t="n">
        <v>46317</v>
      </c>
      <c r="D1910" s="11" t="n">
        <v>1929</v>
      </c>
      <c r="E1910" s="13" t="s">
        <v>1674</v>
      </c>
      <c r="F1910" s="11" t="n">
        <v>34</v>
      </c>
      <c r="G1910" s="13" t="s">
        <v>34</v>
      </c>
      <c r="H1910" s="11" t="n">
        <v>2110405</v>
      </c>
      <c r="I1910" s="13" t="s">
        <v>35</v>
      </c>
      <c r="J1910" s="11" t="n">
        <v>1428721</v>
      </c>
      <c r="L1910" s="11" t="n">
        <v>222993</v>
      </c>
      <c r="M1910" s="13" t="s">
        <v>246</v>
      </c>
      <c r="N1910" s="13" t="s">
        <v>37</v>
      </c>
      <c r="P1910" s="11" t="n">
        <v>101</v>
      </c>
      <c r="Q1910" s="13" t="s">
        <v>38</v>
      </c>
      <c r="R1910" s="13" t="s">
        <v>39</v>
      </c>
      <c r="S1910" s="11" t="n">
        <v>4210299</v>
      </c>
      <c r="T1910" s="13" t="s">
        <v>1082</v>
      </c>
      <c r="U1910" s="14" t="n">
        <v>102.37</v>
      </c>
      <c r="W1910" s="14" t="n">
        <v>0</v>
      </c>
      <c r="X1910" s="13" t="s">
        <v>1676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46224</v>
      </c>
      <c r="C1911" s="12" t="n">
        <v>46317</v>
      </c>
      <c r="D1911" s="11" t="n">
        <v>514</v>
      </c>
      <c r="E1911" s="13" t="s">
        <v>33</v>
      </c>
      <c r="F1911" s="11" t="n">
        <v>34</v>
      </c>
      <c r="G1911" s="13" t="s">
        <v>34</v>
      </c>
      <c r="H1911" s="11" t="n">
        <v>2110405</v>
      </c>
      <c r="I1911" s="13" t="s">
        <v>35</v>
      </c>
      <c r="J1911" s="11" t="n">
        <v>1428727</v>
      </c>
      <c r="L1911" s="11" t="n">
        <v>222994</v>
      </c>
      <c r="M1911" s="13" t="s">
        <v>246</v>
      </c>
      <c r="N1911" s="13" t="s">
        <v>37</v>
      </c>
      <c r="P1911" s="11" t="n">
        <v>101</v>
      </c>
      <c r="Q1911" s="13" t="s">
        <v>38</v>
      </c>
      <c r="R1911" s="13" t="s">
        <v>86</v>
      </c>
      <c r="S1911" s="11" t="n">
        <v>4210504</v>
      </c>
      <c r="T1911" s="13" t="s">
        <v>143</v>
      </c>
      <c r="U1911" s="14" t="n">
        <v>240</v>
      </c>
      <c r="W1911" s="14" t="n">
        <v>0</v>
      </c>
      <c r="X1911" s="13" t="s">
        <v>1677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46224</v>
      </c>
      <c r="C1912" s="12" t="n">
        <v>46317</v>
      </c>
      <c r="D1912" s="11" t="n">
        <v>1000036</v>
      </c>
      <c r="E1912" s="13" t="s">
        <v>1678</v>
      </c>
      <c r="F1912" s="11" t="n">
        <v>34</v>
      </c>
      <c r="G1912" s="13" t="s">
        <v>34</v>
      </c>
      <c r="H1912" s="11" t="n">
        <v>2110405</v>
      </c>
      <c r="I1912" s="13" t="s">
        <v>35</v>
      </c>
      <c r="J1912" s="11" t="n">
        <v>1428747</v>
      </c>
      <c r="L1912" s="11" t="n">
        <v>222995</v>
      </c>
      <c r="M1912" s="13" t="s">
        <v>246</v>
      </c>
      <c r="N1912" s="13" t="s">
        <v>37</v>
      </c>
      <c r="P1912" s="11" t="n">
        <v>101</v>
      </c>
      <c r="Q1912" s="13" t="s">
        <v>38</v>
      </c>
      <c r="R1912" s="13" t="s">
        <v>39</v>
      </c>
      <c r="S1912" s="11" t="n">
        <v>4210299</v>
      </c>
      <c r="T1912" s="13" t="s">
        <v>1082</v>
      </c>
      <c r="U1912" s="14" t="n">
        <v>2929.65</v>
      </c>
      <c r="W1912" s="14" t="n">
        <v>0</v>
      </c>
      <c r="X1912" s="13" t="s">
        <v>1679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46224</v>
      </c>
      <c r="C1913" s="12" t="n">
        <v>46317</v>
      </c>
      <c r="D1913" s="11" t="n">
        <v>1929</v>
      </c>
      <c r="E1913" s="13" t="s">
        <v>1674</v>
      </c>
      <c r="F1913" s="11" t="n">
        <v>34</v>
      </c>
      <c r="G1913" s="13" t="s">
        <v>34</v>
      </c>
      <c r="H1913" s="11" t="n">
        <v>1110204</v>
      </c>
      <c r="I1913" s="13" t="s">
        <v>204</v>
      </c>
      <c r="J1913" s="11" t="n">
        <v>1428753</v>
      </c>
      <c r="L1913" s="11" t="n">
        <v>222996</v>
      </c>
      <c r="M1913" s="13" t="s">
        <v>246</v>
      </c>
      <c r="N1913" s="13" t="s">
        <v>37</v>
      </c>
      <c r="P1913" s="11" t="n">
        <v>101</v>
      </c>
      <c r="Q1913" s="13" t="s">
        <v>38</v>
      </c>
      <c r="R1913" s="13" t="s">
        <v>86</v>
      </c>
      <c r="S1913" s="11" t="n">
        <v>4210504</v>
      </c>
      <c r="T1913" s="13" t="s">
        <v>143</v>
      </c>
      <c r="U1913" s="14" t="n">
        <v>420</v>
      </c>
      <c r="W1913" s="14" t="n">
        <v>0</v>
      </c>
      <c r="X1913" s="13" t="s">
        <v>1680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46231</v>
      </c>
      <c r="C1914" s="12" t="n">
        <v>46320</v>
      </c>
      <c r="D1914" s="11" t="n">
        <v>875</v>
      </c>
      <c r="E1914" s="13" t="s">
        <v>632</v>
      </c>
      <c r="F1914" s="11" t="n">
        <v>59</v>
      </c>
      <c r="G1914" s="13" t="s">
        <v>1255</v>
      </c>
      <c r="H1914" s="11" t="n">
        <v>2110405</v>
      </c>
      <c r="I1914" s="13" t="s">
        <v>35</v>
      </c>
      <c r="J1914" s="11" t="n">
        <v>1472843</v>
      </c>
      <c r="L1914" s="11" t="n">
        <v>18873</v>
      </c>
      <c r="M1914" s="13" t="s">
        <v>45</v>
      </c>
      <c r="N1914" s="13" t="s">
        <v>37</v>
      </c>
      <c r="P1914" s="11" t="n">
        <v>167</v>
      </c>
      <c r="Q1914" s="13" t="s">
        <v>102</v>
      </c>
      <c r="R1914" s="13" t="s">
        <v>47</v>
      </c>
      <c r="S1914" s="11" t="n">
        <v>1130101</v>
      </c>
      <c r="T1914" s="13" t="s">
        <v>48</v>
      </c>
      <c r="U1914" s="14" t="n">
        <v>1615.17</v>
      </c>
      <c r="W1914" s="14" t="n">
        <v>0</v>
      </c>
      <c r="X1914" s="13" t="s">
        <v>1708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0" t="str">
        <f aca="false">IFERROR(INDEX('Mov Entradas (Rel 10497)'!$L:$L,MATCH(AC1914,'Mov Entradas (Rel 10497)'!$I:$I,0)),"nao encontrado")</f>
        <v>FONE OUVIDO BASIKE F</v>
      </c>
      <c r="AC1914" s="0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46237</v>
      </c>
      <c r="C1915" s="12" t="n">
        <v>46320</v>
      </c>
      <c r="D1915" s="11" t="n">
        <v>10101</v>
      </c>
      <c r="E1915" s="13" t="s">
        <v>1710</v>
      </c>
      <c r="F1915" s="11" t="n">
        <v>59</v>
      </c>
      <c r="G1915" s="13" t="s">
        <v>1255</v>
      </c>
      <c r="H1915" s="11" t="n">
        <v>1110204</v>
      </c>
      <c r="I1915" s="13" t="s">
        <v>204</v>
      </c>
      <c r="J1915" s="11" t="n">
        <v>1498495</v>
      </c>
      <c r="L1915" s="11" t="n">
        <v>232742</v>
      </c>
      <c r="M1915" s="13" t="s">
        <v>45</v>
      </c>
      <c r="N1915" s="13" t="s">
        <v>37</v>
      </c>
      <c r="P1915" s="11" t="n">
        <v>167</v>
      </c>
      <c r="Q1915" s="13" t="s">
        <v>102</v>
      </c>
      <c r="R1915" s="13" t="s">
        <v>39</v>
      </c>
      <c r="S1915" s="11" t="n">
        <v>4210227</v>
      </c>
      <c r="T1915" s="13" t="s">
        <v>197</v>
      </c>
      <c r="U1915" s="14" t="n">
        <v>256.8</v>
      </c>
      <c r="W1915" s="14" t="n">
        <v>0</v>
      </c>
      <c r="X1915" s="13" t="s">
        <v>1877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0" t="str">
        <f aca="false">IFERROR(INDEX('Mov Entradas (Rel 10497)'!$L:$L,MATCH(AC1915,'Mov Entradas (Rel 10497)'!$I:$I,0)),"nao encontrado")</f>
        <v>AR COND 10000 MIDEA QCL108BB 127V</v>
      </c>
      <c r="AC1915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1878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Report!C755</f>
        <v>46209</v>
      </c>
      <c r="B575" s="1" t="str">
        <f aca="false">Report!E755</f>
        <v>OLIVEIRA E SILVA LTDA</v>
      </c>
      <c r="C575" s="18" t="n">
        <f aca="false">Report!U755</f>
        <v>90</v>
      </c>
      <c r="D575" s="1" t="str">
        <f aca="false">Report!X755</f>
        <v>COMPRAS CHEIRO VERDE </v>
      </c>
    </row>
    <row r="576" customFormat="false" ht="12.75" hidden="false" customHeight="true" outlineLevel="0" collapsed="false">
      <c r="A576" s="16" t="n">
        <f aca="false">Report!C756</f>
        <v>46209</v>
      </c>
      <c r="B576" s="1" t="str">
        <f aca="false">Report!E756</f>
        <v>OLIVEIRA E SILVA LTDA</v>
      </c>
      <c r="C576" s="18" t="n">
        <f aca="false">Report!U756</f>
        <v>240</v>
      </c>
      <c r="D576" s="1" t="str">
        <f aca="false">Report!X756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Report!C831</f>
        <v>46213</v>
      </c>
      <c r="B612" s="1" t="str">
        <f aca="false">Report!E831</f>
        <v>BRAGA DIST. E COM. DE PROD. ALIMENT</v>
      </c>
      <c r="C612" s="18" t="n">
        <f aca="false">Report!U831</f>
        <v>835.77</v>
      </c>
      <c r="D612" s="1" t="str">
        <f aca="false">Report!X831</f>
        <v>NF 18657 3/3 - ALICIA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SL DISTRIBUIDORA COM. DE PROD. ALIMENTIC</v>
      </c>
      <c r="C613" s="18" t="n">
        <f aca="false">Report!U833</f>
        <v>593.7</v>
      </c>
      <c r="D613" s="1" t="str">
        <f aca="false">Report!X833</f>
        <v>NF 10244 3/4 -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MARTINS COM SERV DISTR SA</v>
      </c>
      <c r="C614" s="18" t="n">
        <f aca="false">Report!U834</f>
        <v>398.46</v>
      </c>
      <c r="D614" s="1" t="str">
        <f aca="false">Report!X834</f>
        <v>NF 1770429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OCIDENTAL COMERCIO DE FRIOS LTDA</v>
      </c>
      <c r="C615" s="18" t="n">
        <f aca="false">Report!U835</f>
        <v>1155.4</v>
      </c>
      <c r="D615" s="1" t="str">
        <f aca="false">Report!X835</f>
        <v>NF 12345657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TRES CORACOES ALIMENTOS S.A.</v>
      </c>
      <c r="C616" s="18" t="n">
        <f aca="false">Report!U836</f>
        <v>1108.39</v>
      </c>
      <c r="D616" s="1" t="str">
        <f aca="false">Report!X836</f>
        <v>NF 346035 3/3 - ALICIA 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J G COMERCIO DE PRODUTOS ALIMENTICIOS LTDA</v>
      </c>
      <c r="C617" s="18" t="n">
        <f aca="false">Report!U837</f>
        <v>2315.5</v>
      </c>
      <c r="D617" s="1" t="str">
        <f aca="false">Report!X837</f>
        <v>NF 386569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ELZILENE DA SILVA</v>
      </c>
      <c r="C716" s="18" t="n">
        <f aca="false">Report!U941</f>
        <v>1815</v>
      </c>
      <c r="D716" s="1" t="str">
        <f aca="false">Report!X941</f>
        <v>NF 2423 1/1 -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L S M COMERCIO DE ALIMENTOS E NAVEGACAO</v>
      </c>
      <c r="C717" s="18" t="n">
        <f aca="false">Report!U942</f>
        <v>649.18</v>
      </c>
      <c r="D717" s="1" t="str">
        <f aca="false">Report!X942</f>
        <v>NF 305918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OESA COMERCIO E REPRESENTACOES S/A</v>
      </c>
      <c r="C718" s="18" t="n">
        <f aca="false">Report!U943</f>
        <v>709.47</v>
      </c>
      <c r="D718" s="1" t="str">
        <f aca="false">Report!X943</f>
        <v>NF 4217651 1/3 -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COARI DISTRIBUIDORA DE BEBIDAS LTDA</v>
      </c>
      <c r="C719" s="18" t="n">
        <f aca="false">Report!U944</f>
        <v>653.6</v>
      </c>
      <c r="D719" s="1" t="str">
        <f aca="false">Report!X944</f>
        <v>NF 436 1/1 - ALICIA 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105</v>
      </c>
      <c r="D720" s="1" t="str">
        <f aca="false">Report!X945</f>
        <v>NF 2465 1/1 - ALICIA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GONCALES COMER DE HORT GRANJEIROS EIRELI</v>
      </c>
      <c r="C721" s="18" t="n">
        <f aca="false">Report!U946</f>
        <v>137.5</v>
      </c>
      <c r="D721" s="1" t="str">
        <f aca="false">Report!X946</f>
        <v>NF 39536 1/1 -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1651.2</v>
      </c>
      <c r="D722" s="1" t="str">
        <f aca="false">Report!X947</f>
        <v>NF 35032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FALCAO INDUSTRIA DE ALIMENTOS LTDA</v>
      </c>
      <c r="C723" s="18" t="n">
        <f aca="false">Report!U948</f>
        <v>1830.96</v>
      </c>
      <c r="D723" s="1" t="str">
        <f aca="false">Report!X948</f>
        <v>NF 30609 2/2 -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H. L. DO NASCIMENTO</v>
      </c>
      <c r="C724" s="18" t="n">
        <f aca="false">Report!U949</f>
        <v>728</v>
      </c>
      <c r="D724" s="1" t="str">
        <f aca="false">Report!X949</f>
        <v>NF 5718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COMERCIO DE FRIOS MANAUS LTDA</v>
      </c>
      <c r="C725" s="18" t="n">
        <f aca="false">Report!U950</f>
        <v>4742.4</v>
      </c>
      <c r="D725" s="1" t="str">
        <f aca="false">Report!X950</f>
        <v>NF 172355 1/1 -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BRF S A</v>
      </c>
      <c r="C726" s="18" t="n">
        <f aca="false">Report!U951</f>
        <v>1398.81</v>
      </c>
      <c r="D726" s="1" t="str">
        <f aca="false">Report!X951</f>
        <v>NF 1602316 2/3 -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2305.6</v>
      </c>
      <c r="D727" s="1" t="str">
        <f aca="false">Report!X952</f>
        <v>NF 172431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COMERCIO DE FRIOS MANAUS LTDA</v>
      </c>
      <c r="C728" s="18" t="n">
        <f aca="false">Report!U953</f>
        <v>1971.2</v>
      </c>
      <c r="D728" s="1" t="str">
        <f aca="false">Report!X953</f>
        <v>NF 172512 1/1 -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ORIENTE COM. ATACADISTA E REPRES. LTDA</v>
      </c>
      <c r="C729" s="18" t="n">
        <f aca="false">Report!U954</f>
        <v>1598.87</v>
      </c>
      <c r="D729" s="1" t="str">
        <f aca="false">Report!X954</f>
        <v>NF 2144 1/3 -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227.28</v>
      </c>
      <c r="D750" s="1" t="str">
        <f aca="false">Report!X977</f>
        <v>NF 20265 3/4 -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2206.52</v>
      </c>
      <c r="D751" s="1" t="str">
        <f aca="false">Report!X978</f>
        <v>NF 20265 1/3 -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true" outlineLevel="0" collapsed="false">
      <c r="A867" s="16" t="n">
        <f aca="false">Report!C1121</f>
        <v>46225</v>
      </c>
      <c r="B867" s="1" t="str">
        <f aca="false">Report!E1121</f>
        <v>OCIDENTAL COMERCIO DE FRIOS LTDA</v>
      </c>
      <c r="C867" s="18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S E PEREIRA BARBOSA ME</v>
      </c>
      <c r="C903" s="18" t="n">
        <f aca="false">Report!U1160</f>
        <v>201.5</v>
      </c>
      <c r="D903" s="1" t="str">
        <f aca="false">Report!X1160</f>
        <v>NF 18250 1/1 -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VIA CERTA IMPORTACAO E DISTRIBUICAO DE A</v>
      </c>
      <c r="C904" s="18" t="n">
        <f aca="false">Report!U1161</f>
        <v>567.71</v>
      </c>
      <c r="D904" s="1" t="str">
        <f aca="false">Report!X1161</f>
        <v>NF 51626 1/2 -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SOUZA CRUZ LTDA.</v>
      </c>
      <c r="C905" s="18" t="n">
        <f aca="false">Report!U1162</f>
        <v>1901.92</v>
      </c>
      <c r="D905" s="1" t="str">
        <f aca="false">Report!X1162</f>
        <v>NF 566717 2/2 - ALICIA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H G NUNES REPRESENTAÇÃO E COMERCIO</v>
      </c>
      <c r="C906" s="18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NESTLÉ BRASIL LTDA.</v>
      </c>
      <c r="C907" s="18" t="n">
        <f aca="false">Report!U1164</f>
        <v>1113.53</v>
      </c>
      <c r="D907" s="1" t="str">
        <f aca="false">Report!X1164</f>
        <v>NF 1426526 1/1 -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IRMÃOS LIMA  ATACADO  DE ALIMENTOS LTDA</v>
      </c>
      <c r="C908" s="18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ELFORT FRUIT COMERCIO DE PRODUTOS ALIME</v>
      </c>
      <c r="C909" s="18" t="n">
        <f aca="false">Report!U1166</f>
        <v>678.13</v>
      </c>
      <c r="D909" s="1" t="str">
        <f aca="false">Report!X1166</f>
        <v>NF 27621 1/2 -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COMERCIO DE FRIOS MANAUS LTDA</v>
      </c>
      <c r="C910" s="18" t="n">
        <f aca="false">Report!U1167</f>
        <v>4513.6</v>
      </c>
      <c r="D910" s="1" t="str">
        <f aca="false">Report!X1167</f>
        <v>NF 173151 1/1 -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DISTRIBUIDORA ESTRELA LTDA</v>
      </c>
      <c r="C911" s="18" t="n">
        <f aca="false">Report!U1168</f>
        <v>631.62</v>
      </c>
      <c r="D911" s="1" t="str">
        <f aca="false">Report!X1168</f>
        <v>NF 35519 1/3 -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MARE DISTRIBUIDORA DE BEBIDAS E DE PRODUTOS ALIMENTICIOS LTDA</v>
      </c>
      <c r="C924" s="18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WKL COMERCIO ATACADISTA DE ARTIGOS DE AR</v>
      </c>
      <c r="C925" s="18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STEFFANE VITORIA FERNANDES SILVA</v>
      </c>
      <c r="C926" s="18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COMERCIAL DE ESTIVAS REGO LTDA</v>
      </c>
      <c r="C980" s="18" t="n">
        <f aca="false">Report!U1254</f>
        <v>396.51</v>
      </c>
      <c r="D980" s="1" t="str">
        <f aca="false">Report!X1254</f>
        <v>NF 223333 2/3 - ALICIA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DISTRIBUIDORA FARIAS LTDA.</v>
      </c>
      <c r="C981" s="18" t="n">
        <f aca="false">Report!U1255</f>
        <v>369.82</v>
      </c>
      <c r="D981" s="1" t="str">
        <f aca="false">Report!X1255</f>
        <v>NF 680644 2/2 - ALICIA 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Report!C1338</f>
        <v>46238</v>
      </c>
      <c r="B1038" s="1" t="str">
        <f aca="false">Report!E1338</f>
        <v>ORIENTE COM. ATACADISTA E REPRES. LTDA</v>
      </c>
      <c r="C1038" s="18" t="n">
        <f aca="false">Report!U1338</f>
        <v>1398.66</v>
      </c>
      <c r="D1038" s="1" t="str">
        <f aca="false">Report!X1338</f>
        <v>NF 2956 1/3 - ALICIA</v>
      </c>
    </row>
    <row r="1039" customFormat="false" ht="12.75" hidden="false" customHeight="true" outlineLevel="0" collapsed="false">
      <c r="A1039" s="16" t="n">
        <f aca="false">Report!C1339</f>
        <v>46238</v>
      </c>
      <c r="B1039" s="1" t="str">
        <f aca="false">Report!E1339</f>
        <v>COMERCIO DE FRIOS MANAUS LTDA</v>
      </c>
      <c r="C1039" s="18" t="n">
        <f aca="false">Report!U1339</f>
        <v>2040.8</v>
      </c>
      <c r="D1039" s="1" t="str">
        <f aca="false">Report!X1339</f>
        <v>NF 173903 1/2 - ALICIA</v>
      </c>
    </row>
    <row r="1040" customFormat="false" ht="12.75" hidden="false" customHeight="true" outlineLevel="0" collapsed="false">
      <c r="A1040" s="16" t="n">
        <f aca="false">Report!C1340</f>
        <v>46238</v>
      </c>
      <c r="B1040" s="1" t="str">
        <f aca="false">Report!E1340</f>
        <v>OLIVEIRA E SILVA LTDA</v>
      </c>
      <c r="C1040" s="18" t="n">
        <f aca="false">Report!U1340</f>
        <v>1774</v>
      </c>
      <c r="D1040" s="1" t="str">
        <f aca="false">Report!X1340</f>
        <v>COMPRAS VERDURAS - CARLOS VERDURAS - ALICIA</v>
      </c>
    </row>
    <row r="1041" customFormat="false" ht="12.75" hidden="false" customHeight="true" outlineLevel="0" collapsed="false">
      <c r="A1041" s="16" t="n">
        <f aca="false">Report!C1341</f>
        <v>46238</v>
      </c>
      <c r="B1041" s="1" t="str">
        <f aca="false">Report!E1341</f>
        <v>COMERCIO E TRANSPORTE BRANDAO LTDA</v>
      </c>
      <c r="C1041" s="18" t="n">
        <f aca="false">Report!U1341</f>
        <v>410</v>
      </c>
      <c r="D1041" s="1" t="str">
        <f aca="false">Report!X1341</f>
        <v>NF 14997 COMPRAS CARLOS VERDURAS 1/1 - ALICIA</v>
      </c>
    </row>
    <row r="1042" customFormat="false" ht="12.75" hidden="false" customHeight="true" outlineLevel="0" collapsed="false">
      <c r="A1042" s="16" t="n">
        <f aca="false">Report!C1342</f>
        <v>46238</v>
      </c>
      <c r="B1042" s="1" t="str">
        <f aca="false">Report!E1342</f>
        <v>COMERCIO E TRANSPORTE BRANDAO LTDA</v>
      </c>
      <c r="C1042" s="18" t="n">
        <f aca="false">Report!U1342</f>
        <v>210</v>
      </c>
      <c r="D1042" s="1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Report!C1343</f>
        <v>46238</v>
      </c>
      <c r="B1043" s="1" t="str">
        <f aca="false">Report!E1343</f>
        <v>H L M PADARIA E CONFEITARIA LTDA</v>
      </c>
      <c r="C1043" s="18" t="n">
        <f aca="false">Report!U1343</f>
        <v>180</v>
      </c>
      <c r="D1043" s="1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Report!C1382</f>
        <v>46240</v>
      </c>
      <c r="B1071" s="1" t="str">
        <f aca="false">Report!E1382</f>
        <v>TOYA INDUSTRIA E COMERCIO LTDA.</v>
      </c>
      <c r="C1071" s="18" t="n">
        <f aca="false">Report!U1382</f>
        <v>430.14</v>
      </c>
      <c r="D1071" s="1" t="str">
        <f aca="false">Report!X1382</f>
        <v>NF 256208 1/2 - ALICIA</v>
      </c>
    </row>
    <row r="1072" customFormat="false" ht="12.75" hidden="false" customHeight="true" outlineLevel="0" collapsed="false">
      <c r="A1072" s="16" t="n">
        <f aca="false">Report!C1383</f>
        <v>46240</v>
      </c>
      <c r="B1072" s="1" t="str">
        <f aca="false">Report!E1383</f>
        <v>H L M PADARIA E CONFEITARIA LTDA</v>
      </c>
      <c r="C1072" s="18" t="n">
        <f aca="false">Report!U1383</f>
        <v>180</v>
      </c>
      <c r="D1072" s="1" t="str">
        <f aca="false">Report!X1383</f>
        <v>NF 118 1/1 / BOLOS MIAZAKI - ALICIA</v>
      </c>
    </row>
    <row r="1073" customFormat="false" ht="12.75" hidden="false" customHeight="true" outlineLevel="0" collapsed="false">
      <c r="A1073" s="16" t="n">
        <f aca="false">Report!C1384</f>
        <v>46240</v>
      </c>
      <c r="B1073" s="1" t="str">
        <f aca="false">Report!E1384</f>
        <v>OLIVEIRA E SILVA LTDA</v>
      </c>
      <c r="C1073" s="18" t="n">
        <f aca="false">Report!U1384</f>
        <v>145</v>
      </c>
      <c r="D1073" s="1" t="str">
        <f aca="false">Report!X1384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BRF S A</v>
      </c>
      <c r="C1111" s="18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DISTRIBUIDORA LOPES LTDA</v>
      </c>
      <c r="C1112" s="18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DINÂMICA SOLUÇÕES EM SUPRIMENTOS E GESTÃ</v>
      </c>
      <c r="C1113" s="18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DISTRIBUIDORA LOPES LTDA</v>
      </c>
      <c r="C1114" s="18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Report!C1622</f>
        <v>46254</v>
      </c>
      <c r="B1254" s="1" t="str">
        <f aca="false">Report!E1622</f>
        <v>KAROLINY RODRIGUES SOUZA VENANCIO 915783</v>
      </c>
      <c r="C1254" s="18" t="n">
        <f aca="false">Report!U1622</f>
        <v>250</v>
      </c>
      <c r="D1254" s="1" t="str">
        <f aca="false">Report!X1622</f>
        <v>NF 1716 1/1 - ALICIA 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DISTRIBUIDORA FARIAS LTDA.</v>
      </c>
      <c r="C1255" s="18" t="n">
        <f aca="false">Report!U1626</f>
        <v>1000.47</v>
      </c>
      <c r="D1255" s="1" t="str">
        <f aca="false">Report!X1626</f>
        <v>NF 685877 2/3 -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NESTLÉ BRASIL LTDA.</v>
      </c>
      <c r="C1256" s="18" t="n">
        <f aca="false">Report!U1627</f>
        <v>228.24</v>
      </c>
      <c r="D1256" s="1" t="str">
        <f aca="false">Report!X1627</f>
        <v>NF 1434035 1/1 -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496.59</v>
      </c>
      <c r="D1257" s="1" t="str">
        <f aca="false">Report!X1628</f>
        <v>NF 2307607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EMPRESA BRASILEIRA DE DISTRIBUICAO LTDA</v>
      </c>
      <c r="C1258" s="18" t="n">
        <f aca="false">Report!U1629</f>
        <v>368.38</v>
      </c>
      <c r="D1258" s="1" t="str">
        <f aca="false">Report!X1629</f>
        <v>NF 2307608 1/3 -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MARE DISTRIBUIDORA DE BEBIDAS E DE PRODUTOS ALIMENTICIOS LTDA</v>
      </c>
      <c r="C1259" s="18" t="n">
        <f aca="false">Report!U1630</f>
        <v>245</v>
      </c>
      <c r="D1259" s="1" t="str">
        <f aca="false">Report!X1630</f>
        <v>NF 1411864 2/2 -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CB COMERCIO E DISTRIBUIDORA DE ALIMENTOS</v>
      </c>
      <c r="C1260" s="18" t="n">
        <f aca="false">Report!U1631</f>
        <v>477.88</v>
      </c>
      <c r="D1260" s="1" t="str">
        <f aca="false">Report!X1631</f>
        <v>NF 860572 1/3 -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T A DE MATTOS COMIM EIRELI</v>
      </c>
      <c r="C1261" s="18" t="n">
        <f aca="false">Report!U1632</f>
        <v>228</v>
      </c>
      <c r="D1261" s="1" t="str">
        <f aca="false">Report!X1632</f>
        <v>NF 10809 1/1 -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OESA COMERCIO E REPRESENTACOES S/A</v>
      </c>
      <c r="C1262" s="18" t="n">
        <f aca="false">Report!U1633</f>
        <v>984.44</v>
      </c>
      <c r="D1262" s="1" t="str">
        <f aca="false">Report!X1633</f>
        <v>NF 438335 1/3 -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FENNIX BRASIL DISTRIBUIDORA DE PRODUTOS</v>
      </c>
      <c r="C1263" s="18" t="n">
        <f aca="false">Report!U1634</f>
        <v>610.15</v>
      </c>
      <c r="D1263" s="1" t="str">
        <f aca="false">Report!X1634</f>
        <v>NF 397888 2/3 -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1194.6</v>
      </c>
      <c r="D1264" s="1" t="str">
        <f aca="false">Report!X1635</f>
        <v>NF 174443 1/1 -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COMERCIO DE FRIOS MANAUS LTDA</v>
      </c>
      <c r="C1265" s="18" t="n">
        <f aca="false">Report!U1636</f>
        <v>2260.33</v>
      </c>
      <c r="D1265" s="1" t="str">
        <f aca="false">Report!X1636</f>
        <v>NF 174810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ELFORT FRUIT COMERCIO DE PRODUTOS ALIME</v>
      </c>
      <c r="C1266" s="18" t="n">
        <f aca="false">Report!U1637</f>
        <v>730.72</v>
      </c>
      <c r="D1266" s="1" t="str">
        <f aca="false">Report!X1637</f>
        <v>NF 28353 1/2 -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BROTHERS  INDUSTRIA DE ALIMENTOS LTDA</v>
      </c>
      <c r="C1267" s="18" t="n">
        <f aca="false">Report!U1638</f>
        <v>552.02</v>
      </c>
      <c r="D1267" s="1" t="str">
        <f aca="false">Report!X1638</f>
        <v>NF 1036555 1/1 - ALICIA</v>
      </c>
    </row>
    <row r="1268" customFormat="false" ht="12.75" hidden="false" customHeight="true" outlineLevel="0" collapsed="false">
      <c r="A1268" s="16" t="n">
        <f aca="false">Report!C1639</f>
        <v>46254</v>
      </c>
      <c r="B1268" s="1" t="str">
        <f aca="false">Report!E1639</f>
        <v>ELZILENE DA SILVA</v>
      </c>
      <c r="C1268" s="18" t="n">
        <f aca="false">Report!U1639</f>
        <v>1865</v>
      </c>
      <c r="D1268" s="1" t="str">
        <f aca="false">Report!X1639</f>
        <v>NF 2703 1/1 - ALICIA</v>
      </c>
    </row>
    <row r="1269" customFormat="false" ht="12.75" hidden="false" customHeight="true" outlineLevel="0" collapsed="false">
      <c r="A1269" s="16" t="n">
        <f aca="false">Report!C1641</f>
        <v>46254</v>
      </c>
      <c r="B1269" s="1" t="str">
        <f aca="false">Report!E1641</f>
        <v>ADICSO FABIAN GONZALEZ MONTILLA 70302186</v>
      </c>
      <c r="C1269" s="18" t="n">
        <f aca="false">Report!U1641</f>
        <v>240</v>
      </c>
      <c r="D1269" s="1" t="str">
        <f aca="false">Report!X1641</f>
        <v>NF 606 1/1 -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157</v>
      </c>
      <c r="D1270" s="1" t="str">
        <f aca="false">Report!X1647</f>
        <v>COMPRAS CHEIRO VERDE-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250</v>
      </c>
      <c r="D1271" s="1" t="str">
        <f aca="false">Report!X1648</f>
        <v>COMPRAS 2 CX DE BANANAS - ALICIA</v>
      </c>
    </row>
    <row r="1272" customFormat="false" ht="12.75" hidden="false" customHeight="true" outlineLevel="0" collapsed="false">
      <c r="A1272" s="16" t="n">
        <f aca="false">Report!C1649</f>
        <v>46254</v>
      </c>
      <c r="B1272" s="1" t="str">
        <f aca="false">Report!E1649</f>
        <v>OLIVEIRA E SILVA LTDA</v>
      </c>
      <c r="C1272" s="18" t="n">
        <f aca="false">Report!U1649</f>
        <v>37.38</v>
      </c>
      <c r="D1272" s="1" t="str">
        <f aca="false">Report!X1649</f>
        <v>COMPRAS JERIMUN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FORTVET DISTRIBUIDORA LTDA</v>
      </c>
      <c r="C1273" s="18" t="n">
        <f aca="false">Report!U1650</f>
        <v>565.02</v>
      </c>
      <c r="D1273" s="1" t="str">
        <f aca="false">Report!X1650</f>
        <v>NF 2751 4/4 - ALICIA 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L S M COMERCIO DE ALIMENTOS E NAVEGACAO</v>
      </c>
      <c r="C1274" s="18" t="n">
        <f aca="false">Report!U1651</f>
        <v>894.34</v>
      </c>
      <c r="D1274" s="1" t="str">
        <f aca="false">Report!X1651</f>
        <v>NF 308737 3/3 -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VICTORIA COMERCIO INTERNACIONAL DE ALIME</v>
      </c>
      <c r="C1275" s="18" t="n">
        <f aca="false">Report!U1652</f>
        <v>481.15</v>
      </c>
      <c r="D1275" s="1" t="str">
        <f aca="false">Report!X1652</f>
        <v>NF 12548 2/3 -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L S M COMERCIO DE ALIMENTOS E NAVEGACAO</v>
      </c>
      <c r="C1276" s="18" t="n">
        <f aca="false">Report!U1653</f>
        <v>983.7</v>
      </c>
      <c r="D1276" s="1" t="str">
        <f aca="false">Report!X1653</f>
        <v>NF 309542 2/3-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PIARARA COMERCIO, IMPORTACAO E EXPORTACAO LTDA</v>
      </c>
      <c r="C1277" s="18" t="n">
        <f aca="false">Report!U1654</f>
        <v>1191.81</v>
      </c>
      <c r="D1277" s="1" t="str">
        <f aca="false">Report!X1654</f>
        <v>NF 195089 2/3 -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DISTRIBUIDORA LOPES LTDA</v>
      </c>
      <c r="C1278" s="18" t="n">
        <f aca="false">Report!U1655</f>
        <v>362.68</v>
      </c>
      <c r="D1278" s="1" t="str">
        <f aca="false">Report!X1655</f>
        <v>NF 1703152 2/3 -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L S M COMERCIO DE ALIMENTOS E NAVEGACAO</v>
      </c>
      <c r="C1279" s="18" t="n">
        <f aca="false">Report!U1656</f>
        <v>986.03</v>
      </c>
      <c r="D1279" s="1" t="str">
        <f aca="false">Report!X1656</f>
        <v>NF 310154 1/3 -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VIA CERTA IMPORTACAO E DISTRIBUICAO DE A</v>
      </c>
      <c r="C1280" s="18" t="n">
        <f aca="false">Report!U1657</f>
        <v>500.78</v>
      </c>
      <c r="D1280" s="1" t="str">
        <f aca="false">Report!X1657</f>
        <v>NF 53548 1/3 - ALICIA</v>
      </c>
    </row>
    <row r="1281" customFormat="false" ht="12.75" hidden="false" customHeight="true" outlineLevel="0" collapsed="false">
      <c r="A1281" s="16" t="n">
        <f aca="false">Report!C1658</f>
        <v>46255</v>
      </c>
      <c r="B1281" s="1" t="str">
        <f aca="false">Report!E1658</f>
        <v>COMERCIO DE FRIOS MANAUS LTDA</v>
      </c>
      <c r="C1281" s="18" t="n">
        <f aca="false">Report!U1658</f>
        <v>1847.6</v>
      </c>
      <c r="D1281" s="1" t="str">
        <f aca="false">Report!X1658</f>
        <v>NF 174518 2/2 - ALICIA</v>
      </c>
    </row>
    <row r="1282" customFormat="false" ht="12.75" hidden="false" customHeight="true" outlineLevel="0" collapsed="false">
      <c r="A1282" s="16" t="n">
        <f aca="false">Report!C1659</f>
        <v>46255</v>
      </c>
      <c r="B1282" s="1" t="str">
        <f aca="false">Report!E1659</f>
        <v>CINTIA MACIEL PEREIRA SANTOS 95986138287</v>
      </c>
      <c r="C1282" s="18" t="n">
        <f aca="false">Report!U1659</f>
        <v>711.94</v>
      </c>
      <c r="D1282" s="1" t="str">
        <f aca="false">Report!X1659</f>
        <v>NF 1431 1/1 - ALICIA</v>
      </c>
    </row>
    <row r="1283" customFormat="false" ht="12.75" hidden="false" customHeight="true" outlineLevel="0" collapsed="false">
      <c r="A1283" s="16" t="n">
        <f aca="false">Report!C1660</f>
        <v>46255</v>
      </c>
      <c r="B1283" s="1" t="str">
        <f aca="false">Report!E1660</f>
        <v>OLIVEIRA E SILVA LTDA</v>
      </c>
      <c r="C1283" s="18" t="n">
        <f aca="false">Report!U1660</f>
        <v>450</v>
      </c>
      <c r="D1283" s="1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6" t="n">
        <f aca="false">Report!C1661</f>
        <v>46255</v>
      </c>
      <c r="B1284" s="1" t="str">
        <f aca="false">Report!E1661</f>
        <v>S E PEREIRA BARBOSA ME</v>
      </c>
      <c r="C1284" s="18" t="n">
        <f aca="false">Report!U1661</f>
        <v>192.3</v>
      </c>
      <c r="D1284" s="1" t="str">
        <f aca="false">Report!X1661</f>
        <v>NF 18667 1/1 - ALICIA</v>
      </c>
    </row>
    <row r="1285" customFormat="false" ht="12.75" hidden="false" customHeight="true" outlineLevel="0" collapsed="false">
      <c r="A1285" s="16" t="n">
        <f aca="false">Report!C1662</f>
        <v>46255</v>
      </c>
      <c r="B1285" s="1" t="str">
        <f aca="false">Report!E1662</f>
        <v>CRBS S/A</v>
      </c>
      <c r="C1285" s="18" t="n">
        <f aca="false">Report!U1662</f>
        <v>6686.96</v>
      </c>
      <c r="D1285" s="1" t="str">
        <f aca="false">Report!X1662</f>
        <v>NF 957023 1/1 - ALICIA</v>
      </c>
    </row>
    <row r="1286" customFormat="false" ht="12.75" hidden="false" customHeight="true" outlineLevel="0" collapsed="false">
      <c r="A1286" s="16" t="n">
        <f aca="false">Report!C1663</f>
        <v>46255</v>
      </c>
      <c r="B1286" s="1" t="str">
        <f aca="false">Report!E1663</f>
        <v>BRF S A</v>
      </c>
      <c r="C1286" s="18" t="n">
        <f aca="false">Report!U1663</f>
        <v>1120.17</v>
      </c>
      <c r="D1286" s="1" t="str">
        <f aca="false">Report!X1663</f>
        <v>NF 1619343 1/3 - ALICIA</v>
      </c>
    </row>
    <row r="1287" customFormat="false" ht="12.75" hidden="false" customHeight="true" outlineLevel="0" collapsed="false">
      <c r="A1287" s="16" t="n">
        <f aca="false">Report!C1664</f>
        <v>46255</v>
      </c>
      <c r="B1287" s="1" t="str">
        <f aca="false">Report!E1664</f>
        <v>COMERCIO E TRANSPORTE BRANDAO LTDA</v>
      </c>
      <c r="C1287" s="18" t="n">
        <f aca="false">Report!U1664</f>
        <v>450</v>
      </c>
      <c r="D1287" s="1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6" t="n">
        <f aca="false">Report!C1665</f>
        <v>46255</v>
      </c>
      <c r="B1288" s="1" t="str">
        <f aca="false">Report!E1665</f>
        <v>COMERCIO E TRANSPORTE BRANDAO LTDA</v>
      </c>
      <c r="C1288" s="18" t="n">
        <f aca="false">Report!U1665</f>
        <v>215</v>
      </c>
      <c r="D1288" s="1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6" t="n">
        <f aca="false">Report!C1666</f>
        <v>46255</v>
      </c>
      <c r="B1289" s="1" t="str">
        <f aca="false">Report!E1666</f>
        <v>OLIVEIRA E SILVA LTDA</v>
      </c>
      <c r="C1289" s="18" t="n">
        <f aca="false">Report!U1666</f>
        <v>2124</v>
      </c>
      <c r="D1289" s="1" t="str">
        <f aca="false">Report!X1666</f>
        <v>RECIBO - COMPRAS CARLOS VERDURAS - ALICIA</v>
      </c>
    </row>
    <row r="1290" customFormat="false" ht="12.75" hidden="false" customHeight="true" outlineLevel="0" collapsed="false">
      <c r="A1290" s="16" t="n">
        <f aca="false">Report!C1667</f>
        <v>46255</v>
      </c>
      <c r="B1290" s="1" t="str">
        <f aca="false">Report!E1667</f>
        <v>H L M PADARIA E CONFEITARIA LTDA</v>
      </c>
      <c r="C1290" s="18" t="n">
        <f aca="false">Report!U1667</f>
        <v>240</v>
      </c>
      <c r="D1290" s="1" t="str">
        <f aca="false">Report!X1667</f>
        <v>NF 183 1/1 - COMPRAS BOLOS MIAZAKI - ALICIA</v>
      </c>
    </row>
    <row r="1291" customFormat="false" ht="12.75" hidden="false" customHeight="true" outlineLevel="0" collapsed="false">
      <c r="A1291" s="16" t="n">
        <f aca="false">Report!C1674</f>
        <v>46256</v>
      </c>
      <c r="B1291" s="1" t="str">
        <f aca="false">Report!E1674</f>
        <v>DISTRIBUIDORA LOPES LTDA</v>
      </c>
      <c r="C1291" s="18" t="n">
        <f aca="false">Report!U1674</f>
        <v>832.25</v>
      </c>
      <c r="D1291" s="1" t="str">
        <f aca="false">Report!X1674</f>
        <v>NF 1699133 3/3 -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MARE DISTRIBUIDORA DE BEBIDAS E DE PRODUTOS ALIMENTICIOS LTDA</v>
      </c>
      <c r="C1292" s="18" t="n">
        <f aca="false">Report!U1676</f>
        <v>725.05</v>
      </c>
      <c r="D1292" s="1" t="str">
        <f aca="false">Report!X1676</f>
        <v>NF 1413401 2/2 -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MAXFRI DISTRIUIDORA LTDA</v>
      </c>
      <c r="C1293" s="18" t="n">
        <f aca="false">Report!U1677</f>
        <v>3648.3</v>
      </c>
      <c r="D1293" s="1" t="str">
        <f aca="false">Report!X1677</f>
        <v>NF 14994 2/2 - ALICIA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COMERCIO DE FRIOS MANAUS LTDA</v>
      </c>
      <c r="C1294" s="18" t="n">
        <f aca="false">Report!U1678</f>
        <v>2998.2</v>
      </c>
      <c r="D1294" s="1" t="str">
        <f aca="false">Report!X1678</f>
        <v>NF 174945 1/1 - ALICIA</v>
      </c>
    </row>
    <row r="1295" customFormat="false" ht="12.75" hidden="false" customHeight="true" outlineLevel="0" collapsed="false">
      <c r="A1295" s="16" t="n">
        <f aca="false">Report!C1679</f>
        <v>46257</v>
      </c>
      <c r="B1295" s="1" t="str">
        <f aca="false">Report!E1679</f>
        <v>FUNNY PET DISTRIBUIDORA DE ALIMENTOS PAR</v>
      </c>
      <c r="C1295" s="18" t="n">
        <f aca="false">Report!U1679</f>
        <v>1760.2</v>
      </c>
      <c r="D1295" s="1" t="str">
        <f aca="false">Report!X1679</f>
        <v>NF 21623 1/4 - ALICIA</v>
      </c>
    </row>
    <row r="1296" customFormat="false" ht="12.75" hidden="false" customHeight="true" outlineLevel="0" collapsed="false">
      <c r="A1296" s="16" t="n">
        <f aca="false">Report!C1680</f>
        <v>46258</v>
      </c>
      <c r="B1296" s="1" t="str">
        <f aca="false">Report!E1680</f>
        <v>WKL COMERCIO ATACADISTA DE ARTIGOS DE AR</v>
      </c>
      <c r="C1296" s="18" t="n">
        <f aca="false">Report!U1680</f>
        <v>592.05</v>
      </c>
      <c r="D1296" s="1" t="str">
        <f aca="false">Report!X1680</f>
        <v>NF 1330 3/4 - ALICIA</v>
      </c>
    </row>
    <row r="1297" customFormat="false" ht="12.75" hidden="false" customHeight="true" outlineLevel="0" collapsed="false">
      <c r="A1297" s="16" t="n">
        <f aca="false">Report!C1681</f>
        <v>46258</v>
      </c>
      <c r="B1297" s="1" t="str">
        <f aca="false">Report!E1681</f>
        <v>STEFFANE VITORIA FERNANDES SILVA</v>
      </c>
      <c r="C1297" s="18" t="n">
        <f aca="false">Report!U1681</f>
        <v>614.98</v>
      </c>
      <c r="D1297" s="1" t="str">
        <f aca="false">Report!X1681</f>
        <v>NF 12877 3/3 - ALICIA</v>
      </c>
    </row>
    <row r="1298" customFormat="false" ht="12.75" hidden="false" customHeight="true" outlineLevel="0" collapsed="false">
      <c r="A1298" s="16" t="n">
        <f aca="false">Report!C1682</f>
        <v>46258</v>
      </c>
      <c r="B1298" s="1" t="str">
        <f aca="false">Report!E1682</f>
        <v>DISTRIBUIDORA LOPES LTDA</v>
      </c>
      <c r="C1298" s="18" t="n">
        <f aca="false">Report!U1682</f>
        <v>418.68</v>
      </c>
      <c r="D1298" s="1" t="str">
        <f aca="false">Report!X1682</f>
        <v>NF 1699885 3/3 - ALICIA</v>
      </c>
    </row>
    <row r="1299" customFormat="false" ht="12.75" hidden="false" customHeight="true" outlineLevel="0" collapsed="false">
      <c r="A1299" s="16" t="n">
        <f aca="false">Report!C1683</f>
        <v>46258</v>
      </c>
      <c r="B1299" s="1" t="str">
        <f aca="false">Report!E1683</f>
        <v>DISTRIBUIDORA LOPES LTDA</v>
      </c>
      <c r="C1299" s="18" t="n">
        <f aca="false">Report!U1683</f>
        <v>903.47</v>
      </c>
      <c r="D1299" s="1" t="str">
        <f aca="false">Report!X1683</f>
        <v>NF 1699593 3/3 - ALICIA</v>
      </c>
    </row>
    <row r="1300" customFormat="false" ht="12.75" hidden="false" customHeight="true" outlineLevel="0" collapsed="false">
      <c r="A1300" s="16" t="n">
        <f aca="false">Report!C1685</f>
        <v>46258</v>
      </c>
      <c r="B1300" s="1" t="str">
        <f aca="false">Report!E1685</f>
        <v>DUNORTE DISTRIBUIDORA DE PRODUTOS DE CONSUMO LTDA</v>
      </c>
      <c r="C1300" s="18" t="n">
        <f aca="false">Report!U1685</f>
        <v>949.63</v>
      </c>
      <c r="D1300" s="1" t="str">
        <f aca="false">Report!X1685</f>
        <v>NF 3229254 2/4 - ALICIA</v>
      </c>
    </row>
    <row r="1301" customFormat="false" ht="12.75" hidden="false" customHeight="true" outlineLevel="0" collapsed="false">
      <c r="A1301" s="16" t="n">
        <f aca="false">Report!C1686</f>
        <v>46258</v>
      </c>
      <c r="B1301" s="1" t="str">
        <f aca="false">Report!E1686</f>
        <v>GILBERTO SILVA NASCIMENTO</v>
      </c>
      <c r="C1301" s="18" t="n">
        <f aca="false">Report!U1686</f>
        <v>538.18</v>
      </c>
      <c r="D1301" s="1" t="str">
        <f aca="false">Report!X1686</f>
        <v>NF 846 2/4 -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BRF S A</v>
      </c>
      <c r="C1302" s="18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COMERCIO DE FRIOS MANAUS LTDA</v>
      </c>
      <c r="C1303" s="18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IRMÃOS LIMA  ATACADO  DE ALIMENTOS LTDA</v>
      </c>
      <c r="C1304" s="18" t="n">
        <f aca="false">Report!U1689</f>
        <v>1028.18</v>
      </c>
      <c r="D1304" s="1" t="str">
        <f aca="false">Report!X1689</f>
        <v>NF 297049 1/3 -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COMERCIO DE FRIOS MANAUS LTDA</v>
      </c>
      <c r="C1305" s="18" t="n">
        <f aca="false">Report!U1690</f>
        <v>1138.5</v>
      </c>
      <c r="D1305" s="1" t="str">
        <f aca="false">Report!X1690</f>
        <v>NF 174988 1/1 -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KAROLINY RODRIGUES SOUZA VENANCIO 915783</v>
      </c>
      <c r="C1306" s="18" t="n">
        <f aca="false">Report!U1691</f>
        <v>250</v>
      </c>
      <c r="D1306" s="1" t="str">
        <f aca="false">Report!X1691</f>
        <v>NF 2015 1/1 -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FAZENDA SAO JOSE</v>
      </c>
      <c r="C1307" s="18" t="n">
        <f aca="false">Report!U1692</f>
        <v>205.87</v>
      </c>
      <c r="D1307" s="1" t="str">
        <f aca="false">Report!X1692</f>
        <v>NF 3595 1/1 - ALICIA</v>
      </c>
    </row>
    <row r="1308" customFormat="false" ht="12.75" hidden="false" customHeight="true" outlineLevel="0" collapsed="false">
      <c r="A1308" s="16" t="n">
        <f aca="false">Report!C1696</f>
        <v>46259</v>
      </c>
      <c r="B1308" s="1" t="str">
        <f aca="false">Report!E1696</f>
        <v>SHMILY COMERCIO DE ARTIGOS DO VESTUARIO</v>
      </c>
      <c r="C1308" s="18" t="n">
        <f aca="false">Report!U1696</f>
        <v>309.75</v>
      </c>
      <c r="D1308" s="1" t="str">
        <f aca="false">Report!X1696</f>
        <v>NF 416 3/3 - A PRAZO </v>
      </c>
    </row>
    <row r="1309" customFormat="false" ht="12.75" hidden="false" customHeight="true" outlineLevel="0" collapsed="false">
      <c r="A1309" s="16" t="n">
        <f aca="false">Report!C1697</f>
        <v>46259</v>
      </c>
      <c r="B1309" s="1" t="str">
        <f aca="false">Report!E1697</f>
        <v>A. CORREA JUNIOR</v>
      </c>
      <c r="C1309" s="18" t="n">
        <f aca="false">Report!U1697</f>
        <v>1633.2</v>
      </c>
      <c r="D1309" s="1" t="str">
        <f aca="false">Report!X1697</f>
        <v>NF 1820 3/3 - ALICIA</v>
      </c>
    </row>
    <row r="1310" customFormat="false" ht="12.75" hidden="false" customHeight="true" outlineLevel="0" collapsed="false">
      <c r="A1310" s="16" t="n">
        <f aca="false">Report!C1698</f>
        <v>46259</v>
      </c>
      <c r="B1310" s="1" t="str">
        <f aca="false">Report!E1698</f>
        <v>COMPRAS NA PORTA AVULSO</v>
      </c>
      <c r="C1310" s="18" t="n">
        <f aca="false">Report!U1698</f>
        <v>101.12</v>
      </c>
      <c r="D1310" s="1" t="str">
        <f aca="false">Report!X1698</f>
        <v>S/NF COMPRAS BONE 2/2 / ITAU 9303 - ALICIA </v>
      </c>
    </row>
    <row r="1311" customFormat="false" ht="12.75" hidden="false" customHeight="true" outlineLevel="0" collapsed="false">
      <c r="A1311" s="16" t="n">
        <f aca="false">Report!C1702</f>
        <v>46259</v>
      </c>
      <c r="B1311" s="1" t="str">
        <f aca="false">Report!E1702</f>
        <v>OCIDENTAL COMERCIO DE FRIOS LTDA</v>
      </c>
      <c r="C1311" s="18" t="n">
        <f aca="false">Report!U1702</f>
        <v>676.45</v>
      </c>
      <c r="D1311" s="1" t="str">
        <f aca="false">Report!X1702</f>
        <v>NF 1252244 3/3 - ALICIA</v>
      </c>
    </row>
    <row r="1312" customFormat="false" ht="12.75" hidden="false" customHeight="true" outlineLevel="0" collapsed="false">
      <c r="A1312" s="16" t="n">
        <f aca="false">Report!C1703</f>
        <v>46259</v>
      </c>
      <c r="B1312" s="1" t="str">
        <f aca="false">Report!E1703</f>
        <v>A. CORREA JUNIOR</v>
      </c>
      <c r="C1312" s="18" t="n">
        <f aca="false">Report!U1703</f>
        <v>1615.17</v>
      </c>
      <c r="D1312" s="1" t="str">
        <f aca="false">Report!X1703</f>
        <v>NF 1887 COMPRAS ELETRONICOS - ALICIA</v>
      </c>
    </row>
    <row r="1313" customFormat="false" ht="12.75" hidden="false" customHeight="true" outlineLevel="0" collapsed="false">
      <c r="A1313" s="16" t="n">
        <f aca="false">Report!C1706</f>
        <v>46259</v>
      </c>
      <c r="B1313" s="1" t="str">
        <f aca="false">Report!E1706</f>
        <v>COMERCIAL DE ESTIVAS REGO LTDA</v>
      </c>
      <c r="C1313" s="18" t="n">
        <f aca="false">Report!U1706</f>
        <v>358.74</v>
      </c>
      <c r="D1313" s="1" t="str">
        <f aca="false">Report!X1706</f>
        <v>NF 224551 2/3 - ALICIA</v>
      </c>
    </row>
    <row r="1314" customFormat="false" ht="12.75" hidden="false" customHeight="true" outlineLevel="0" collapsed="false">
      <c r="A1314" s="16" t="n">
        <f aca="false">Report!C1707</f>
        <v>46259</v>
      </c>
      <c r="B1314" s="1" t="str">
        <f aca="false">Report!E1707</f>
        <v>ADRIANA G MACIEL COMERCIO</v>
      </c>
      <c r="C1314" s="18" t="n">
        <f aca="false">Report!U1707</f>
        <v>768</v>
      </c>
      <c r="D1314" s="1" t="str">
        <f aca="false">Report!X1707</f>
        <v>NF 393 2/2 - ALICIA</v>
      </c>
    </row>
    <row r="1315" customFormat="false" ht="12.75" hidden="false" customHeight="true" outlineLevel="0" collapsed="false">
      <c r="A1315" s="16" t="n">
        <f aca="false">Report!C1708</f>
        <v>46259</v>
      </c>
      <c r="B1315" s="1" t="str">
        <f aca="false">Report!E1708</f>
        <v>GRANDE MOINHO CEARENSE S/A </v>
      </c>
      <c r="C1315" s="18" t="n">
        <f aca="false">Report!U1708</f>
        <v>432.97</v>
      </c>
      <c r="D1315" s="1" t="str">
        <f aca="false">Report!X1708</f>
        <v>NF 143793 1/1 - ALICIA</v>
      </c>
    </row>
    <row r="1316" customFormat="false" ht="12.75" hidden="false" customHeight="true" outlineLevel="0" collapsed="false">
      <c r="A1316" s="16" t="n">
        <f aca="false">Report!C1709</f>
        <v>46259</v>
      </c>
      <c r="B1316" s="1" t="str">
        <f aca="false">Report!E1709</f>
        <v>TRES CORACOES ALIMENTOS S.A.</v>
      </c>
      <c r="C1316" s="18" t="n">
        <f aca="false">Report!U1709</f>
        <v>590.43</v>
      </c>
      <c r="D1316" s="1" t="str">
        <f aca="false">Report!X1709</f>
        <v>NF 356005 2/3 - ALICIA</v>
      </c>
    </row>
    <row r="1317" customFormat="false" ht="12.75" hidden="false" customHeight="true" outlineLevel="0" collapsed="false">
      <c r="A1317" s="16" t="n">
        <f aca="false">Report!C1710</f>
        <v>46259</v>
      </c>
      <c r="B1317" s="1" t="str">
        <f aca="false">Report!E1710</f>
        <v>NATUREZA COMERCIO DE DESCARTAVEIS LTDA</v>
      </c>
      <c r="C1317" s="18" t="n">
        <f aca="false">Report!U1710</f>
        <v>1242.27</v>
      </c>
      <c r="D1317" s="1" t="str">
        <f aca="false">Report!X1710</f>
        <v>NF 7455920 2/3 - ALICIA</v>
      </c>
    </row>
    <row r="1318" customFormat="false" ht="12.75" hidden="false" customHeight="true" outlineLevel="0" collapsed="false">
      <c r="A1318" s="16" t="n">
        <f aca="false">Report!C1711</f>
        <v>46259</v>
      </c>
      <c r="B1318" s="1" t="str">
        <f aca="false">Report!E1711</f>
        <v>TOYA INDUSTRIA E COMERCIO LTDA.</v>
      </c>
      <c r="C1318" s="18" t="n">
        <f aca="false">Report!U1711</f>
        <v>497.23</v>
      </c>
      <c r="D1318" s="1" t="str">
        <f aca="false">Report!X1711</f>
        <v>NF 257004 2/2 - ALICIA</v>
      </c>
    </row>
    <row r="1319" customFormat="false" ht="12.75" hidden="false" customHeight="true" outlineLevel="0" collapsed="false">
      <c r="A1319" s="16" t="n">
        <f aca="false">Report!C1712</f>
        <v>46259</v>
      </c>
      <c r="B1319" s="1" t="str">
        <f aca="false">Report!E1712</f>
        <v>ATIVA COM E REP</v>
      </c>
      <c r="C1319" s="18" t="n">
        <f aca="false">Report!U1712</f>
        <v>879.73</v>
      </c>
      <c r="D1319" s="1" t="str">
        <f aca="false">Report!X1712</f>
        <v>NF 26350 1/3 -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DURAES DISTRIBUIDORA DE ESTIVAS LTDA</v>
      </c>
      <c r="C1320" s="18" t="n">
        <f aca="false">Report!U1713</f>
        <v>311.49</v>
      </c>
      <c r="D1320" s="1" t="str">
        <f aca="false">Report!X1713</f>
        <v>NF 654077 1/2 -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COMERCIO DE FRIOS MANAUS LTDA</v>
      </c>
      <c r="C1321" s="18" t="n">
        <f aca="false">Report!U1714</f>
        <v>981.6</v>
      </c>
      <c r="D1321" s="1" t="str">
        <f aca="false">Report!X1714</f>
        <v>NF 174666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TOYA INDUSTRIA E COMERCIO LTDA.</v>
      </c>
      <c r="C1322" s="18" t="n">
        <f aca="false">Report!U1715</f>
        <v>449.9</v>
      </c>
      <c r="D1322" s="1" t="str">
        <f aca="false">Report!X1715</f>
        <v>NF 257521 2/2 -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DUNORTE DISTRIBUIDORA DE PRODUTOS DE CONSUMO LTDA</v>
      </c>
      <c r="C1323" s="18" t="n">
        <f aca="false">Report!U1716</f>
        <v>419.94</v>
      </c>
      <c r="D1323" s="1" t="str">
        <f aca="false">Report!X1716</f>
        <v>NF 3234933 1/3 -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DUNORTE DISTRIBUIDORA DE PRODUTOS DE CONSUMO LTDA</v>
      </c>
      <c r="C1324" s="18" t="n">
        <f aca="false">Report!U1717</f>
        <v>191.26</v>
      </c>
      <c r="D1324" s="1" t="str">
        <f aca="false">Report!X1717</f>
        <v>NF 3234932 1/2 -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OLIVEIRA E SILVA LTDA</v>
      </c>
      <c r="C1325" s="18" t="n">
        <f aca="false">Report!U1718</f>
        <v>940</v>
      </c>
      <c r="D1325" s="1" t="str">
        <f aca="false">Report!X1718</f>
        <v>COMPRAS FARINHAS - JOSE FARINHA 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COMPRAS NA PORTA AVULSO</v>
      </c>
      <c r="C1326" s="18" t="n">
        <f aca="false">Report!U1719</f>
        <v>735</v>
      </c>
      <c r="D1326" s="1" t="str">
        <f aca="false">Report!X1719</f>
        <v>RECIBO- COMPRAS HARINA PAN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MAXFRI DISTRIUIDORA LTDA</v>
      </c>
      <c r="C1327" s="18" t="n">
        <f aca="false">Report!U1720</f>
        <v>4624.25</v>
      </c>
      <c r="D1327" s="1" t="str">
        <f aca="false">Report!X1720</f>
        <v>NF 15086 1/1 -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TOYA INDUSTRIA E COMERCIO LTDA.</v>
      </c>
      <c r="C1328" s="18" t="n">
        <f aca="false">Report!U1721</f>
        <v>472.03</v>
      </c>
      <c r="D1328" s="1" t="str">
        <f aca="false">Report!X1721</f>
        <v>NF 258044 1/1 - ALICIA</v>
      </c>
    </row>
    <row r="1329" customFormat="false" ht="12.75" hidden="false" customHeight="true" outlineLevel="0" collapsed="false">
      <c r="A1329" s="16" t="n">
        <f aca="false">Report!C1724</f>
        <v>46260</v>
      </c>
      <c r="B1329" s="1" t="str">
        <f aca="false">Report!E1724</f>
        <v>SUPER CANCUN COMERCIO DE PRODUTOS ALIMEN</v>
      </c>
      <c r="C1329" s="18" t="n">
        <f aca="false">Report!U1724</f>
        <v>260.45</v>
      </c>
      <c r="D1329" s="1" t="str">
        <f aca="false">Report!X1724</f>
        <v>NF 264696 2/3 - ALICIA</v>
      </c>
    </row>
    <row r="1330" customFormat="false" ht="12.75" hidden="false" customHeight="true" outlineLevel="0" collapsed="false">
      <c r="A1330" s="16" t="n">
        <f aca="false">Report!C1725</f>
        <v>46260</v>
      </c>
      <c r="B1330" s="1" t="str">
        <f aca="false">Report!E1725</f>
        <v>OCIDENTAL COMERCIO DE FRIOS LTDA</v>
      </c>
      <c r="C1330" s="18" t="n">
        <f aca="false">Report!U1725</f>
        <v>771.86</v>
      </c>
      <c r="D1330" s="1" t="str">
        <f aca="false">Report!X1725</f>
        <v>NF 12556061 2/3 - ALICIA</v>
      </c>
    </row>
    <row r="1331" customFormat="false" ht="12.75" hidden="false" customHeight="true" outlineLevel="0" collapsed="false">
      <c r="A1331" s="16" t="n">
        <f aca="false">Report!C1726</f>
        <v>46260</v>
      </c>
      <c r="B1331" s="1" t="str">
        <f aca="false">Report!E1726</f>
        <v>REAL BEBIDAS DA AMAZONIA LTDA</v>
      </c>
      <c r="C1331" s="18" t="n">
        <f aca="false">Report!U1726</f>
        <v>222</v>
      </c>
      <c r="D1331" s="1" t="str">
        <f aca="false">Report!X1726</f>
        <v>NF 620570 2/2 - ALICIA</v>
      </c>
    </row>
    <row r="1332" customFormat="false" ht="12.75" hidden="false" customHeight="true" outlineLevel="0" collapsed="false">
      <c r="A1332" s="16" t="n">
        <f aca="false">Report!C1727</f>
        <v>46260</v>
      </c>
      <c r="B1332" s="1" t="str">
        <f aca="false">Report!E1727</f>
        <v>AGM COMERCIO E DISTRIBUIDORA DE MATERIAS DE PERFUMARIA E LIMPEZA LTDA</v>
      </c>
      <c r="C1332" s="18" t="n">
        <f aca="false">Report!U1727</f>
        <v>545.13</v>
      </c>
      <c r="D1332" s="1" t="str">
        <f aca="false">Report!X1727</f>
        <v>NF 163841 1/4 - ALICIA</v>
      </c>
    </row>
    <row r="1333" customFormat="false" ht="12.75" hidden="false" customHeight="true" outlineLevel="0" collapsed="false">
      <c r="A1333" s="16" t="n">
        <f aca="false">Report!C1728</f>
        <v>46260</v>
      </c>
      <c r="B1333" s="1" t="str">
        <f aca="false">Report!E1728</f>
        <v>MARE DISTRIBUIDORA DE BEBIDAS E DE PRODUTOS ALIMENTICIOS LTDA</v>
      </c>
      <c r="C1333" s="18" t="n">
        <f aca="false">Report!U1728</f>
        <v>362.5</v>
      </c>
      <c r="D1333" s="1" t="str">
        <f aca="false">Report!X1728</f>
        <v>NF 1417319 2/2 - ALICIA</v>
      </c>
    </row>
    <row r="1334" customFormat="false" ht="12.75" hidden="false" customHeight="true" outlineLevel="0" collapsed="false">
      <c r="A1334" s="16" t="n">
        <f aca="false">Report!C1729</f>
        <v>46260</v>
      </c>
      <c r="B1334" s="1" t="str">
        <f aca="false">Report!E1729</f>
        <v>MILK92 ATACADO E VAREJO DE PRODUTOS ALIMENTICIOS LTDA</v>
      </c>
      <c r="C1334" s="18" t="n">
        <f aca="false">Report!U1729</f>
        <v>401.8</v>
      </c>
      <c r="D1334" s="1" t="str">
        <f aca="false">Report!X1729</f>
        <v>NF 3032 2/2 - ALICIA</v>
      </c>
    </row>
    <row r="1335" customFormat="false" ht="12.75" hidden="false" customHeight="true" outlineLevel="0" collapsed="false">
      <c r="A1335" s="16" t="n">
        <f aca="false">Report!C1730</f>
        <v>46260</v>
      </c>
      <c r="B1335" s="1" t="str">
        <f aca="false">Report!E1730</f>
        <v>BRF S A</v>
      </c>
      <c r="C1335" s="18" t="n">
        <f aca="false">Report!U1730</f>
        <v>1120.17</v>
      </c>
      <c r="D1335" s="1" t="str">
        <f aca="false">Report!X1730</f>
        <v>NF 1619343 2/3 - ALICIA</v>
      </c>
    </row>
    <row r="1336" customFormat="false" ht="12.75" hidden="false" customHeight="true" outlineLevel="0" collapsed="false">
      <c r="A1336" s="16" t="n">
        <f aca="false">Report!C1731</f>
        <v>46260</v>
      </c>
      <c r="B1336" s="1" t="str">
        <f aca="false">Report!E1731</f>
        <v>MILK92 ATACADO E VAREJO DE PRODUTOS ALIMENTICIOS LTDA</v>
      </c>
      <c r="C1336" s="18" t="n">
        <f aca="false">Report!U1731</f>
        <v>482.73</v>
      </c>
      <c r="D1336" s="1" t="str">
        <f aca="false">Report!X1731</f>
        <v>NF 3017 2/2 - ALICIA</v>
      </c>
    </row>
    <row r="1337" customFormat="false" ht="12.75" hidden="false" customHeight="true" outlineLevel="0" collapsed="false">
      <c r="A1337" s="16" t="n">
        <f aca="false">Report!C1732</f>
        <v>46260</v>
      </c>
      <c r="B1337" s="1" t="str">
        <f aca="false">Report!E1732</f>
        <v>AGL DISTRIBUIDORA LIMITADA MATRIZ</v>
      </c>
      <c r="C1337" s="18" t="n">
        <f aca="false">Report!U1732</f>
        <v>229.68</v>
      </c>
      <c r="D1337" s="1" t="str">
        <f aca="false">Report!X1732</f>
        <v>NF 14498 1/1 - ALICIA</v>
      </c>
    </row>
    <row r="1338" customFormat="false" ht="12.75" hidden="false" customHeight="true" outlineLevel="0" collapsed="false">
      <c r="A1338" s="16" t="n">
        <f aca="false">Report!C1733</f>
        <v>46260</v>
      </c>
      <c r="B1338" s="1" t="str">
        <f aca="false">Report!E1733</f>
        <v>FABRICA RAINHA ISABEL LTDA</v>
      </c>
      <c r="C1338" s="18" t="n">
        <f aca="false">Report!U1733</f>
        <v>1030.5</v>
      </c>
      <c r="D1338" s="1" t="str">
        <f aca="false">Report!X1733</f>
        <v>NF 142650 1/1 - ALICIA</v>
      </c>
    </row>
    <row r="1339" customFormat="false" ht="12.75" hidden="false" customHeight="true" outlineLevel="0" collapsed="false">
      <c r="A1339" s="16" t="n">
        <f aca="false">Report!C1734</f>
        <v>46260</v>
      </c>
      <c r="B1339" s="1" t="str">
        <f aca="false">Report!E1734</f>
        <v>FRIOTRANS COMERCIO E TRANSPORTES DE CARGAS LTDA</v>
      </c>
      <c r="C1339" s="18" t="n">
        <f aca="false">Report!U1734</f>
        <v>2333.04</v>
      </c>
      <c r="D1339" s="1" t="str">
        <f aca="false">Report!X1734</f>
        <v>NF39504 1/2 -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J M GADZISKI LTDA</v>
      </c>
      <c r="C1340" s="18" t="n">
        <f aca="false">Report!U1735</f>
        <v>320</v>
      </c>
      <c r="D1340" s="1" t="str">
        <f aca="false">Report!X1735</f>
        <v>NF 940 1/1 - ALICIA</v>
      </c>
    </row>
    <row r="1341" customFormat="false" ht="12.75" hidden="false" customHeight="true" outlineLevel="0" collapsed="false">
      <c r="A1341" s="16" t="n">
        <f aca="false">Report!C1736</f>
        <v>46261</v>
      </c>
      <c r="B1341" s="1" t="str">
        <f aca="false">Report!E1736</f>
        <v>FH DE OLIVEIRA PEIXOTO - EIRELI</v>
      </c>
      <c r="C1341" s="18" t="n">
        <f aca="false">Report!U1736</f>
        <v>172.25</v>
      </c>
      <c r="D1341" s="1" t="str">
        <f aca="false">Report!X1736</f>
        <v>NF 193402 2/2 - ALICIA</v>
      </c>
    </row>
    <row r="1342" customFormat="false" ht="12.75" hidden="false" customHeight="true" outlineLevel="0" collapsed="false">
      <c r="A1342" s="16" t="n">
        <f aca="false">Report!C1737</f>
        <v>46261</v>
      </c>
      <c r="B1342" s="1" t="str">
        <f aca="false">Report!E1737</f>
        <v>DISTRIBUIDORA FARIAS LTDA.</v>
      </c>
      <c r="C1342" s="18" t="n">
        <f aca="false">Report!U1737</f>
        <v>1000.46</v>
      </c>
      <c r="D1342" s="1" t="str">
        <f aca="false">Report!X1737</f>
        <v>NF 685877 3/3 - ALICIA</v>
      </c>
    </row>
    <row r="1343" customFormat="false" ht="12.75" hidden="false" customHeight="true" outlineLevel="0" collapsed="false">
      <c r="A1343" s="16" t="n">
        <f aca="false">Report!C1738</f>
        <v>46261</v>
      </c>
      <c r="B1343" s="1" t="str">
        <f aca="false">Report!E1738</f>
        <v>EMPRESA BRASILEIRA DE DISTRIBUICAO LTDA</v>
      </c>
      <c r="C1343" s="18" t="n">
        <f aca="false">Report!U1738</f>
        <v>496.59</v>
      </c>
      <c r="D1343" s="1" t="str">
        <f aca="false">Report!X1738</f>
        <v>NF 2307607 2/3 - ALICIA</v>
      </c>
    </row>
    <row r="1344" customFormat="false" ht="12.75" hidden="false" customHeight="true" outlineLevel="0" collapsed="false">
      <c r="A1344" s="16" t="n">
        <f aca="false">Report!C1739</f>
        <v>46261</v>
      </c>
      <c r="B1344" s="1" t="str">
        <f aca="false">Report!E1739</f>
        <v>EMPRESA BRASILEIRA DE DISTRIBUICAO LTDA</v>
      </c>
      <c r="C1344" s="18" t="n">
        <f aca="false">Report!U1739</f>
        <v>368.38</v>
      </c>
      <c r="D1344" s="1" t="str">
        <f aca="false">Report!X1739</f>
        <v>NF 2307608 2/3 - ALICIA</v>
      </c>
    </row>
    <row r="1345" customFormat="false" ht="12.75" hidden="false" customHeight="true" outlineLevel="0" collapsed="false">
      <c r="A1345" s="16" t="n">
        <f aca="false">Report!C1740</f>
        <v>46261</v>
      </c>
      <c r="B1345" s="1" t="str">
        <f aca="false">Report!E1740</f>
        <v>CB COMERCIO E DISTRIBUIDORA DE ALIMENTOS</v>
      </c>
      <c r="C1345" s="18" t="n">
        <f aca="false">Report!U1740</f>
        <v>477.88</v>
      </c>
      <c r="D1345" s="1" t="str">
        <f aca="false">Report!X1740</f>
        <v>NF 860572 2/3 - ALICIA</v>
      </c>
    </row>
    <row r="1346" customFormat="false" ht="12.75" hidden="false" customHeight="true" outlineLevel="0" collapsed="false">
      <c r="A1346" s="16" t="n">
        <f aca="false">Report!C1741</f>
        <v>46261</v>
      </c>
      <c r="B1346" s="1" t="str">
        <f aca="false">Report!E1741</f>
        <v>OESA COMERCIO E REPRESENTACOES S/A</v>
      </c>
      <c r="C1346" s="18" t="n">
        <f aca="false">Report!U1741</f>
        <v>984.44</v>
      </c>
      <c r="D1346" s="1" t="str">
        <f aca="false">Report!X1741</f>
        <v>NF 438335 2/3 - ALICIA</v>
      </c>
    </row>
    <row r="1347" customFormat="false" ht="12.75" hidden="false" customHeight="true" outlineLevel="0" collapsed="false">
      <c r="A1347" s="16" t="n">
        <f aca="false">Report!C1742</f>
        <v>46261</v>
      </c>
      <c r="B1347" s="1" t="str">
        <f aca="false">Report!E1742</f>
        <v>FENNIX BRASIL DISTRIBUIDORA DE PRODUTOS</v>
      </c>
      <c r="C1347" s="18" t="n">
        <f aca="false">Report!U1742</f>
        <v>610.15</v>
      </c>
      <c r="D1347" s="1" t="str">
        <f aca="false">Report!X1742</f>
        <v>NF 397888 3/3 - ALICIA</v>
      </c>
    </row>
    <row r="1348" customFormat="false" ht="12.75" hidden="false" customHeight="true" outlineLevel="0" collapsed="false">
      <c r="A1348" s="16" t="n">
        <f aca="false">Report!C1743</f>
        <v>46261</v>
      </c>
      <c r="B1348" s="1" t="str">
        <f aca="false">Report!E1743</f>
        <v>COMERCIO DE FRIOS MANAUS LTDA</v>
      </c>
      <c r="C1348" s="18" t="n">
        <f aca="false">Report!U1743</f>
        <v>2260.32</v>
      </c>
      <c r="D1348" s="1" t="str">
        <f aca="false">Report!X1743</f>
        <v>NF 174810 2/2 - ALICIA</v>
      </c>
    </row>
    <row r="1349" customFormat="false" ht="12.75" hidden="false" customHeight="true" outlineLevel="0" collapsed="false">
      <c r="A1349" s="16" t="n">
        <f aca="false">Report!C1744</f>
        <v>46261</v>
      </c>
      <c r="B1349" s="1" t="str">
        <f aca="false">Report!E1744</f>
        <v>L S M COMERCIO DE ALIMENTOS E NAVEGACAO</v>
      </c>
      <c r="C1349" s="18" t="n">
        <f aca="false">Report!U1744</f>
        <v>1384</v>
      </c>
      <c r="D1349" s="1" t="str">
        <f aca="false">Report!X1744</f>
        <v>NF 310741 1/3 - ALICIA</v>
      </c>
    </row>
    <row r="1350" customFormat="false" ht="12.75" hidden="false" customHeight="true" outlineLevel="0" collapsed="false">
      <c r="A1350" s="16" t="n">
        <f aca="false">Report!C1745</f>
        <v>46261</v>
      </c>
      <c r="B1350" s="1" t="str">
        <f aca="false">Report!E1745</f>
        <v>OCIDENTAL COMERCIO DE FRIOS LTDA</v>
      </c>
      <c r="C1350" s="18" t="n">
        <f aca="false">Report!U1745</f>
        <v>354.2</v>
      </c>
      <c r="D1350" s="1" t="str">
        <f aca="false">Report!X1745</f>
        <v>NF 1258988 1/2 - ALICIA</v>
      </c>
    </row>
    <row r="1351" customFormat="false" ht="12.75" hidden="false" customHeight="true" outlineLevel="0" collapsed="false">
      <c r="A1351" s="16" t="n">
        <f aca="false">Report!C1746</f>
        <v>46261</v>
      </c>
      <c r="B1351" s="1" t="str">
        <f aca="false">Report!E1746</f>
        <v>BF COMERCIO DE ALIMENTOS REPRESENTACAO L</v>
      </c>
      <c r="C1351" s="18" t="n">
        <f aca="false">Report!U1746</f>
        <v>355.96</v>
      </c>
      <c r="D1351" s="1" t="str">
        <f aca="false">Report!X1746</f>
        <v>NF 21254 1/3 -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RCL COMERCIO DE PRODUTOS ALIMENTICIOS LT</v>
      </c>
      <c r="C1352" s="18" t="n">
        <f aca="false">Report!U1747</f>
        <v>515.16</v>
      </c>
      <c r="D1352" s="1" t="str">
        <f aca="false">Report!X1747</f>
        <v>NF 222948 1/1 -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NESTLÉ BRASIL LTDA.</v>
      </c>
      <c r="C1353" s="18" t="n">
        <f aca="false">Report!U1748</f>
        <v>1239.76</v>
      </c>
      <c r="D1353" s="1" t="str">
        <f aca="false">Report!X1748</f>
        <v>NF 1438570 1/1 -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OLIVEIRA E SILVA LTDA</v>
      </c>
      <c r="C1354" s="18" t="n">
        <f aca="false">Report!U1749</f>
        <v>650</v>
      </c>
      <c r="D1354" s="1" t="str">
        <f aca="false">Report!X1749</f>
        <v>COMPRAS FARINHAS DO JOSE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BROTHERS  INDUSTRIA DE ALIMENTOS LTDA</v>
      </c>
      <c r="C1355" s="18" t="n">
        <f aca="false">Report!U1750</f>
        <v>502.41</v>
      </c>
      <c r="D1355" s="1" t="str">
        <f aca="false">Report!X1750</f>
        <v>NF 1037767 1/1 - ALICIA</v>
      </c>
    </row>
    <row r="1356" customFormat="false" ht="12.75" hidden="false" customHeight="true" outlineLevel="0" collapsed="false">
      <c r="A1356" s="16" t="n">
        <f aca="false">Report!C1752</f>
        <v>46262</v>
      </c>
      <c r="B1356" s="1" t="str">
        <f aca="false">Report!E1752</f>
        <v>L S M COMERCIO DE ALIMENTOS E NAVEGACAO</v>
      </c>
      <c r="C1356" s="18" t="n">
        <f aca="false">Report!U1752</f>
        <v>983.7</v>
      </c>
      <c r="D1356" s="1" t="str">
        <f aca="false">Report!X1752</f>
        <v>NF 309542 3/3- ALICIA</v>
      </c>
    </row>
    <row r="1357" customFormat="false" ht="12.75" hidden="false" customHeight="true" outlineLevel="0" collapsed="false">
      <c r="A1357" s="16" t="n">
        <f aca="false">Report!C1753</f>
        <v>46262</v>
      </c>
      <c r="B1357" s="1" t="str">
        <f aca="false">Report!E1753</f>
        <v>PIARARA COMERCIO, IMPORTACAO E EXPORTACAO LTDA</v>
      </c>
      <c r="C1357" s="18" t="n">
        <f aca="false">Report!U1753</f>
        <v>1191.81</v>
      </c>
      <c r="D1357" s="1" t="str">
        <f aca="false">Report!X1753</f>
        <v>NF 195089 3/3 - ALICIA</v>
      </c>
    </row>
    <row r="1358" customFormat="false" ht="12.75" hidden="false" customHeight="true" outlineLevel="0" collapsed="false">
      <c r="A1358" s="16" t="n">
        <f aca="false">Report!C1754</f>
        <v>46262</v>
      </c>
      <c r="B1358" s="1" t="str">
        <f aca="false">Report!E1754</f>
        <v>VICTORIA COMERCIO INTERNACIONAL DE ALIME</v>
      </c>
      <c r="C1358" s="18" t="n">
        <f aca="false">Report!U1754</f>
        <v>481.16</v>
      </c>
      <c r="D1358" s="1" t="str">
        <f aca="false">Report!X1754</f>
        <v>NF 12548 3/3 - ALICIA</v>
      </c>
    </row>
    <row r="1359" customFormat="false" ht="12.75" hidden="false" customHeight="true" outlineLevel="0" collapsed="false">
      <c r="A1359" s="16" t="n">
        <f aca="false">Report!C1755</f>
        <v>46262</v>
      </c>
      <c r="B1359" s="1" t="str">
        <f aca="false">Report!E1755</f>
        <v>DISTRIBUIDORA LOPES LTDA</v>
      </c>
      <c r="C1359" s="18" t="n">
        <f aca="false">Report!U1755</f>
        <v>362.68</v>
      </c>
      <c r="D1359" s="1" t="str">
        <f aca="false">Report!X1755</f>
        <v>NF 1703152 3/3 - ALICIA</v>
      </c>
    </row>
    <row r="1360" customFormat="false" ht="12.75" hidden="false" customHeight="true" outlineLevel="0" collapsed="false">
      <c r="A1360" s="16" t="n">
        <f aca="false">Report!C1756</f>
        <v>46262</v>
      </c>
      <c r="B1360" s="1" t="str">
        <f aca="false">Report!E1756</f>
        <v>COMERCIO DE FRIOS MANAUS LTDA</v>
      </c>
      <c r="C1360" s="18" t="n">
        <f aca="false">Report!U1756</f>
        <v>1314.45</v>
      </c>
      <c r="D1360" s="1" t="str">
        <f aca="false">Report!X1756</f>
        <v>NF 174894 1/1 - ALICIA</v>
      </c>
    </row>
    <row r="1361" customFormat="false" ht="12.75" hidden="false" customHeight="true" outlineLevel="0" collapsed="false">
      <c r="A1361" s="16" t="n">
        <f aca="false">Report!C1757</f>
        <v>46262</v>
      </c>
      <c r="B1361" s="1" t="str">
        <f aca="false">Report!E1757</f>
        <v>L S M COMERCIO DE ALIMENTOS E NAVEGACAO</v>
      </c>
      <c r="C1361" s="18" t="n">
        <f aca="false">Report!U1757</f>
        <v>986.03</v>
      </c>
      <c r="D1361" s="1" t="str">
        <f aca="false">Report!X1757</f>
        <v>NF 310154 2/3 - ALICIA</v>
      </c>
    </row>
    <row r="1362" customFormat="false" ht="12.75" hidden="false" customHeight="true" outlineLevel="0" collapsed="false">
      <c r="A1362" s="16" t="n">
        <f aca="false">Report!C1758</f>
        <v>46262</v>
      </c>
      <c r="B1362" s="1" t="str">
        <f aca="false">Report!E1758</f>
        <v>VIA CERTA IMPORTACAO E DISTRIBUICAO DE A</v>
      </c>
      <c r="C1362" s="18" t="n">
        <f aca="false">Report!U1758</f>
        <v>500.78</v>
      </c>
      <c r="D1362" s="1" t="str">
        <f aca="false">Report!X1758</f>
        <v>NF 53548 2/3 - ALICIA</v>
      </c>
    </row>
    <row r="1363" customFormat="false" ht="12.75" hidden="false" customHeight="true" outlineLevel="0" collapsed="false">
      <c r="A1363" s="16" t="n">
        <f aca="false">Report!C1759</f>
        <v>46262</v>
      </c>
      <c r="B1363" s="1" t="str">
        <f aca="false">Report!E1759</f>
        <v>MARQUES &amp; MELO LTDA - FILIAL</v>
      </c>
      <c r="C1363" s="18" t="n">
        <f aca="false">Report!U1759</f>
        <v>300.54</v>
      </c>
      <c r="D1363" s="1" t="str">
        <f aca="false">Report!X1759</f>
        <v>NF 506838 1/3 - ALICIA</v>
      </c>
    </row>
    <row r="1364" customFormat="false" ht="12.75" hidden="false" customHeight="true" outlineLevel="0" collapsed="false">
      <c r="A1364" s="16" t="n">
        <f aca="false">Report!C1760</f>
        <v>46262</v>
      </c>
      <c r="B1364" s="1" t="str">
        <f aca="false">Report!E1760</f>
        <v>GONCALES COMER DE HORT GRANJEIROS EIRELI</v>
      </c>
      <c r="C1364" s="18" t="n">
        <f aca="false">Report!U1760</f>
        <v>249.5</v>
      </c>
      <c r="D1364" s="1" t="str">
        <f aca="false">Report!X1760</f>
        <v>NF 111 1/1 - ALICIA</v>
      </c>
    </row>
    <row r="1365" customFormat="false" ht="12.75" hidden="false" customHeight="true" outlineLevel="0" collapsed="false">
      <c r="A1365" s="16" t="n">
        <f aca="false">Report!C1761</f>
        <v>46262</v>
      </c>
      <c r="B1365" s="1" t="str">
        <f aca="false">Report!E1761</f>
        <v>ELFORT FRUIT COMERCIO DE PRODUTOS ALIME</v>
      </c>
      <c r="C1365" s="18" t="n">
        <f aca="false">Report!U1761</f>
        <v>730.71</v>
      </c>
      <c r="D1365" s="1" t="str">
        <f aca="false">Report!X1761</f>
        <v>NF 28353 2/2 - ALICIA</v>
      </c>
    </row>
    <row r="1366" customFormat="false" ht="12.75" hidden="false" customHeight="true" outlineLevel="0" collapsed="false">
      <c r="A1366" s="16" t="n">
        <f aca="false">Report!C1762</f>
        <v>46263</v>
      </c>
      <c r="B1366" s="1" t="str">
        <f aca="false">Report!E1762</f>
        <v>J G COMERCIO DE PRODUTOS ALIMENTICIOS LTDA</v>
      </c>
      <c r="C1366" s="18" t="n">
        <f aca="false">Report!U1762</f>
        <v>655.61</v>
      </c>
      <c r="D1366" s="1" t="str">
        <f aca="false">Report!X1762</f>
        <v>NF 398009 1/3 - ALICIA</v>
      </c>
    </row>
    <row r="1367" customFormat="false" ht="12.75" hidden="false" customHeight="true" outlineLevel="0" collapsed="false">
      <c r="A1367" s="16" t="n">
        <f aca="false">Report!C1763</f>
        <v>46263</v>
      </c>
      <c r="B1367" s="1" t="str">
        <f aca="false">Report!E1763</f>
        <v>COMERCIO DE FRIOS MANAUS LTDA</v>
      </c>
      <c r="C1367" s="18" t="n">
        <f aca="false">Report!U1763</f>
        <v>3375.6</v>
      </c>
      <c r="D1367" s="1" t="str">
        <f aca="false">Report!X1763</f>
        <v>NF 174946 1/1 - ALICIA</v>
      </c>
    </row>
    <row r="1368" customFormat="false" ht="12.75" hidden="false" customHeight="true" outlineLevel="0" collapsed="false">
      <c r="A1368" s="16" t="n">
        <f aca="false">Report!C1764</f>
        <v>46265</v>
      </c>
      <c r="B1368" s="1" t="str">
        <f aca="false">Report!E1764</f>
        <v>DUNORTE DISTRIBUIDORA DE PRODUTOS DE CONSUMO LTDA</v>
      </c>
      <c r="C1368" s="18" t="n">
        <f aca="false">Report!U1764</f>
        <v>949.63</v>
      </c>
      <c r="D1368" s="1" t="str">
        <f aca="false">Report!X1764</f>
        <v>NF 3229254 3/4 - ALICIA</v>
      </c>
    </row>
    <row r="1369" customFormat="false" ht="12.75" hidden="false" customHeight="true" outlineLevel="0" collapsed="false">
      <c r="A1369" s="16" t="n">
        <f aca="false">Report!C1765</f>
        <v>46265</v>
      </c>
      <c r="B1369" s="1" t="str">
        <f aca="false">Report!E1765</f>
        <v>GILBERTO SILVA NASCIMENTO</v>
      </c>
      <c r="C1369" s="18" t="n">
        <f aca="false">Report!U1765</f>
        <v>538.18</v>
      </c>
      <c r="D1369" s="1" t="str">
        <f aca="false">Report!X1765</f>
        <v>NF 846 3/4 - ALICIA</v>
      </c>
    </row>
    <row r="1370" customFormat="false" ht="12.75" hidden="false" customHeight="true" outlineLevel="0" collapsed="false">
      <c r="A1370" s="16" t="n">
        <f aca="false">Report!C1766</f>
        <v>46265</v>
      </c>
      <c r="B1370" s="1" t="str">
        <f aca="false">Report!E1766</f>
        <v>IRMÃOS LIMA  ATACADO  DE ALIMENTOS LTDA</v>
      </c>
      <c r="C1370" s="18" t="n">
        <f aca="false">Report!U1766</f>
        <v>1028.18</v>
      </c>
      <c r="D1370" s="1" t="str">
        <f aca="false">Report!X1766</f>
        <v>NF 297049 2/3 - ALICIA</v>
      </c>
    </row>
    <row r="1371" customFormat="false" ht="12.75" hidden="false" customHeight="true" outlineLevel="0" collapsed="false">
      <c r="A1371" s="16" t="n">
        <f aca="false">Report!C1767</f>
        <v>46265</v>
      </c>
      <c r="B1371" s="1" t="str">
        <f aca="false">Report!E1767</f>
        <v>ADRIANA DISTRIBUIDORA DE PRODUTOS ALIMEN</v>
      </c>
      <c r="C1371" s="18" t="n">
        <f aca="false">Report!U1767</f>
        <v>1265.75</v>
      </c>
      <c r="D1371" s="1" t="str">
        <f aca="false">Report!X1767</f>
        <v>NF 890827 1/3 - ALICIA</v>
      </c>
    </row>
    <row r="1372" customFormat="false" ht="12.75" hidden="false" customHeight="true" outlineLevel="0" collapsed="false">
      <c r="A1372" s="16" t="n">
        <f aca="false">Report!C1768</f>
        <v>46265</v>
      </c>
      <c r="B1372" s="1" t="str">
        <f aca="false">Report!E1768</f>
        <v>SL DISTRIBUIDORA COM. DE PROD. ALIMENTIC</v>
      </c>
      <c r="C1372" s="18" t="n">
        <f aca="false">Report!U1768</f>
        <v>427.28</v>
      </c>
      <c r="D1372" s="1" t="str">
        <f aca="false">Report!X1768</f>
        <v>NF 11361 1/2 - ALICIA</v>
      </c>
    </row>
    <row r="1373" customFormat="false" ht="12.75" hidden="false" customHeight="true" outlineLevel="0" collapsed="false">
      <c r="A1373" s="16" t="n">
        <f aca="false">Report!C1769</f>
        <v>46265</v>
      </c>
      <c r="B1373" s="1" t="str">
        <f aca="false">Report!E1769</f>
        <v>DISTRIBUIDORA LOPES LTDA</v>
      </c>
      <c r="C1373" s="18" t="n">
        <f aca="false">Report!U1769</f>
        <v>629.96</v>
      </c>
      <c r="D1373" s="1" t="str">
        <f aca="false">Report!X1769</f>
        <v>NF 172626 1/1 - ALICIA</v>
      </c>
    </row>
    <row r="1374" customFormat="false" ht="12.75" hidden="false" customHeight="true" outlineLevel="0" collapsed="false">
      <c r="A1374" s="16" t="n">
        <f aca="false">Report!C1770</f>
        <v>46265</v>
      </c>
      <c r="B1374" s="1" t="str">
        <f aca="false">Report!E1770</f>
        <v>OESA COMERCIO E REPRESENTACOES S/A</v>
      </c>
      <c r="C1374" s="18" t="n">
        <f aca="false">Report!U1770</f>
        <v>273.53</v>
      </c>
      <c r="D1374" s="1" t="str">
        <f aca="false">Report!X1770</f>
        <v>NF 443784 1/3 - ALICIA</v>
      </c>
    </row>
    <row r="1375" customFormat="false" ht="12.75" hidden="false" customHeight="true" outlineLevel="0" collapsed="false">
      <c r="A1375" s="16" t="n">
        <f aca="false">Report!C1771</f>
        <v>46266</v>
      </c>
      <c r="B1375" s="1" t="str">
        <f aca="false">Report!E1771</f>
        <v>OLIVEIRA E SILVA LTDA</v>
      </c>
      <c r="C1375" s="18" t="n">
        <f aca="false">Report!U1771</f>
        <v>250</v>
      </c>
      <c r="D1375" s="1" t="str">
        <f aca="false">Report!X1771</f>
        <v>COMPRAS 2CX DE BANANAS - ALICIA</v>
      </c>
    </row>
    <row r="1376" customFormat="false" ht="12.75" hidden="false" customHeight="true" outlineLevel="0" collapsed="false">
      <c r="A1376" s="16" t="n">
        <f aca="false">Report!C1772</f>
        <v>46266</v>
      </c>
      <c r="B1376" s="1" t="str">
        <f aca="false">Report!E1772</f>
        <v>COMERCIAL DE ESTIVAS REGO LTDA</v>
      </c>
      <c r="C1376" s="18" t="n">
        <f aca="false">Report!U1772</f>
        <v>358.74</v>
      </c>
      <c r="D1376" s="1" t="str">
        <f aca="false">Report!X1772</f>
        <v>NF 224551 3/3 - ALICIA</v>
      </c>
    </row>
    <row r="1377" customFormat="false" ht="12.75" hidden="false" customHeight="true" outlineLevel="0" collapsed="false">
      <c r="A1377" s="16" t="n">
        <f aca="false">Report!C1773</f>
        <v>46266</v>
      </c>
      <c r="B1377" s="1" t="str">
        <f aca="false">Report!E1773</f>
        <v>TRES CORACOES ALIMENTOS S.A.</v>
      </c>
      <c r="C1377" s="18" t="n">
        <f aca="false">Report!U1773</f>
        <v>590.45</v>
      </c>
      <c r="D1377" s="1" t="str">
        <f aca="false">Report!X1773</f>
        <v>NF 356005 3/3 - ALICIA</v>
      </c>
    </row>
    <row r="1378" customFormat="false" ht="12.75" hidden="false" customHeight="true" outlineLevel="0" collapsed="false">
      <c r="A1378" s="16" t="n">
        <f aca="false">Report!C1774</f>
        <v>46266</v>
      </c>
      <c r="B1378" s="1" t="str">
        <f aca="false">Report!E1774</f>
        <v>ATIVA COM E REP</v>
      </c>
      <c r="C1378" s="18" t="n">
        <f aca="false">Report!U1774</f>
        <v>879.73</v>
      </c>
      <c r="D1378" s="1" t="str">
        <f aca="false">Report!X1774</f>
        <v>NF 26350 2/3 - ALICIA</v>
      </c>
    </row>
    <row r="1379" customFormat="false" ht="12.75" hidden="false" customHeight="true" outlineLevel="0" collapsed="false">
      <c r="A1379" s="16" t="n">
        <f aca="false">Report!C1775</f>
        <v>46266</v>
      </c>
      <c r="B1379" s="1" t="str">
        <f aca="false">Report!E1775</f>
        <v>DURAES DISTRIBUIDORA DE ESTIVAS LTDA</v>
      </c>
      <c r="C1379" s="18" t="n">
        <f aca="false">Report!U1775</f>
        <v>311.49</v>
      </c>
      <c r="D1379" s="1" t="str">
        <f aca="false">Report!X1775</f>
        <v>NF 654077 2/2 - ALICIA</v>
      </c>
    </row>
    <row r="1380" customFormat="false" ht="12.75" hidden="false" customHeight="true" outlineLevel="0" collapsed="false">
      <c r="A1380" s="16" t="n">
        <f aca="false">Report!C1776</f>
        <v>46266</v>
      </c>
      <c r="B1380" s="1" t="str">
        <f aca="false">Report!E1776</f>
        <v>DUNORTE DISTRIBUIDORA DE PRODUTOS DE CONSUMO LTDA</v>
      </c>
      <c r="C1380" s="18" t="n">
        <f aca="false">Report!U1776</f>
        <v>421.85</v>
      </c>
      <c r="D1380" s="1" t="str">
        <f aca="false">Report!X1776</f>
        <v>NF 3234933 2/3 - ALICIA</v>
      </c>
    </row>
    <row r="1381" customFormat="false" ht="12.75" hidden="false" customHeight="true" outlineLevel="0" collapsed="false">
      <c r="A1381" s="16" t="n">
        <f aca="false">Report!C1777</f>
        <v>46266</v>
      </c>
      <c r="B1381" s="1" t="str">
        <f aca="false">Report!E1777</f>
        <v>DUNORTE DISTRIBUIDORA DE PRODUTOS DE CONSUMO LTDA</v>
      </c>
      <c r="C1381" s="18" t="n">
        <f aca="false">Report!U1777</f>
        <v>193.16</v>
      </c>
      <c r="D1381" s="1" t="str">
        <f aca="false">Report!X1777</f>
        <v>NF 3234932 2/2 - ALICIA</v>
      </c>
    </row>
    <row r="1382" customFormat="false" ht="12.75" hidden="false" customHeight="true" outlineLevel="0" collapsed="false">
      <c r="A1382" s="16" t="n">
        <f aca="false">Report!C1779</f>
        <v>46266</v>
      </c>
      <c r="B1382" s="1" t="str">
        <f aca="false">Report!E1779</f>
        <v>OCIDENTAL COMERCIO DE FRIOS LTDA</v>
      </c>
      <c r="C1382" s="18" t="n">
        <f aca="false">Report!U1779</f>
        <v>888.75</v>
      </c>
      <c r="D1382" s="1" t="str">
        <f aca="false">Report!X1779</f>
        <v>NF 1260091 1/2 - ALICIA</v>
      </c>
    </row>
    <row r="1383" customFormat="false" ht="12.75" hidden="false" customHeight="true" outlineLevel="0" collapsed="false">
      <c r="A1383" s="16" t="n">
        <f aca="false">Report!C1780</f>
        <v>46266</v>
      </c>
      <c r="B1383" s="1" t="str">
        <f aca="false">Report!E1780</f>
        <v>TOYA INDUSTRIA E COMERCIO LTDA.</v>
      </c>
      <c r="C1383" s="18" t="n">
        <f aca="false">Report!U1780</f>
        <v>866.49</v>
      </c>
      <c r="D1383" s="1" t="str">
        <f aca="false">Report!X1780</f>
        <v>NF 258045 1/1 - ALICIA</v>
      </c>
    </row>
    <row r="1384" customFormat="false" ht="12.75" hidden="false" customHeight="true" outlineLevel="0" collapsed="false">
      <c r="A1384" s="16" t="n">
        <f aca="false">Report!C1781</f>
        <v>46266</v>
      </c>
      <c r="B1384" s="1" t="str">
        <f aca="false">Report!E1781</f>
        <v>DUNORTE DISTRIBUIDORA DE PRODUTOS DE CONSUMO LTDA</v>
      </c>
      <c r="C1384" s="18" t="n">
        <f aca="false">Report!U1781</f>
        <v>922.22</v>
      </c>
      <c r="D1384" s="1" t="str">
        <f aca="false">Report!X1781</f>
        <v>NF 3238686 1/4 - ALICIA</v>
      </c>
    </row>
    <row r="1385" customFormat="false" ht="12.75" hidden="false" customHeight="true" outlineLevel="0" collapsed="false">
      <c r="A1385" s="16" t="n">
        <f aca="false">Report!C1782</f>
        <v>46266</v>
      </c>
      <c r="B1385" s="1" t="str">
        <f aca="false">Report!E1782</f>
        <v>NATUREZA COMERCIO DE DESCARTAVEIS LTDA</v>
      </c>
      <c r="C1385" s="18" t="n">
        <f aca="false">Report!U1782</f>
        <v>1242.26</v>
      </c>
      <c r="D1385" s="1" t="str">
        <f aca="false">Report!X1782</f>
        <v>NF 7455923 3/3 - ALICIA</v>
      </c>
    </row>
    <row r="1386" customFormat="false" ht="12.75" hidden="false" customHeight="true" outlineLevel="0" collapsed="false">
      <c r="A1386" s="16" t="n">
        <f aca="false">Report!C1786</f>
        <v>46267</v>
      </c>
      <c r="B1386" s="1" t="str">
        <f aca="false">Report!E1786</f>
        <v>SUPER CANCUN COMERCIO DE PRODUTOS ALIMEN</v>
      </c>
      <c r="C1386" s="18" t="n">
        <f aca="false">Report!U1786</f>
        <v>260.45</v>
      </c>
      <c r="D1386" s="1" t="str">
        <f aca="false">Report!X1786</f>
        <v>NF 264696 3/3 - ALICIA</v>
      </c>
    </row>
    <row r="1387" customFormat="false" ht="12.75" hidden="false" customHeight="true" outlineLevel="0" collapsed="false">
      <c r="A1387" s="16" t="n">
        <f aca="false">Report!C1787</f>
        <v>46267</v>
      </c>
      <c r="B1387" s="1" t="str">
        <f aca="false">Report!E1787</f>
        <v>OCIDENTAL COMERCIO DE FRIOS LTDA</v>
      </c>
      <c r="C1387" s="18" t="n">
        <f aca="false">Report!U1787</f>
        <v>771.86</v>
      </c>
      <c r="D1387" s="1" t="str">
        <f aca="false">Report!X1787</f>
        <v>NF 12556061 3/3 - ALICIA</v>
      </c>
    </row>
    <row r="1388" customFormat="false" ht="12.75" hidden="false" customHeight="true" outlineLevel="0" collapsed="false">
      <c r="A1388" s="16" t="n">
        <f aca="false">Report!C1788</f>
        <v>46267</v>
      </c>
      <c r="B1388" s="1" t="str">
        <f aca="false">Report!E1788</f>
        <v>NATUREZA COMERCIO DE DESCARTAVEIS LTDA</v>
      </c>
      <c r="C1388" s="18" t="n">
        <f aca="false">Report!U1788</f>
        <v>274.14</v>
      </c>
      <c r="D1388" s="1" t="str">
        <f aca="false">Report!X1788</f>
        <v>NF 746264 1/1 - ALICIA</v>
      </c>
    </row>
    <row r="1389" customFormat="false" ht="12.75" hidden="false" customHeight="true" outlineLevel="0" collapsed="false">
      <c r="A1389" s="16" t="n">
        <f aca="false">Report!C1789</f>
        <v>46267</v>
      </c>
      <c r="B1389" s="1" t="str">
        <f aca="false">Report!E1789</f>
        <v>FUNNY PET DISTRIBUIDORA DE ALIMENTOS PAR</v>
      </c>
      <c r="C1389" s="18" t="n">
        <f aca="false">Report!U1789</f>
        <v>1760.2</v>
      </c>
      <c r="D1389" s="1" t="str">
        <f aca="false">Report!X1789</f>
        <v>NF 21623 2/4 - ALICIA</v>
      </c>
    </row>
    <row r="1390" customFormat="false" ht="12.75" hidden="false" customHeight="true" outlineLevel="0" collapsed="false">
      <c r="A1390" s="16" t="n">
        <f aca="false">Report!C1790</f>
        <v>46267</v>
      </c>
      <c r="B1390" s="1" t="str">
        <f aca="false">Report!E1790</f>
        <v>TOYA INDUSTRIA E COMERCIO LTDA.</v>
      </c>
      <c r="C1390" s="18" t="n">
        <f aca="false">Report!U1790</f>
        <v>656.69</v>
      </c>
      <c r="D1390" s="1" t="str">
        <f aca="false">Report!X1790</f>
        <v>NF 257522 1/1 - ALICIA</v>
      </c>
    </row>
    <row r="1391" customFormat="false" ht="12.75" hidden="false" customHeight="true" outlineLevel="0" collapsed="false">
      <c r="A1391" s="16" t="n">
        <f aca="false">Report!C1791</f>
        <v>46267</v>
      </c>
      <c r="B1391" s="1" t="str">
        <f aca="false">Report!E1791</f>
        <v>AGM COMERCIO E DISTRIBUIDORA DE MATERIAS DE PERFUMARIA E LIMPEZA LTDA</v>
      </c>
      <c r="C1391" s="18" t="n">
        <f aca="false">Report!U1791</f>
        <v>545.13</v>
      </c>
      <c r="D1391" s="1" t="str">
        <f aca="false">Report!X1791</f>
        <v>NF 163841 2/4 - ALICIA</v>
      </c>
    </row>
    <row r="1392" customFormat="false" ht="12.75" hidden="false" customHeight="true" outlineLevel="0" collapsed="false">
      <c r="A1392" s="16" t="n">
        <f aca="false">Report!C1792</f>
        <v>46267</v>
      </c>
      <c r="B1392" s="1" t="str">
        <f aca="false">Report!E1792</f>
        <v>BRF S A</v>
      </c>
      <c r="C1392" s="18" t="n">
        <f aca="false">Report!U1792</f>
        <v>1120.52</v>
      </c>
      <c r="D1392" s="1" t="str">
        <f aca="false">Report!X1792</f>
        <v>NF 1619343 3/3 - ALICIA</v>
      </c>
    </row>
    <row r="1393" customFormat="false" ht="12.75" hidden="false" customHeight="true" outlineLevel="0" collapsed="false">
      <c r="A1393" s="16" t="n">
        <f aca="false">Report!C1794</f>
        <v>46267</v>
      </c>
      <c r="B1393" s="1" t="str">
        <f aca="false">Report!E1794</f>
        <v>FRIOTRANS COMERCIO E TRANSPORTES DE CARGAS LTDA</v>
      </c>
      <c r="C1393" s="18" t="n">
        <f aca="false">Report!U1794</f>
        <v>2333.04</v>
      </c>
      <c r="D1393" s="1" t="str">
        <f aca="false">Report!X1794</f>
        <v>NF39504 2/2 - ALICIA</v>
      </c>
    </row>
    <row r="1394" customFormat="false" ht="12.75" hidden="false" customHeight="true" outlineLevel="0" collapsed="false">
      <c r="A1394" s="16" t="n">
        <f aca="false">Report!C1795</f>
        <v>46267</v>
      </c>
      <c r="B1394" s="1" t="str">
        <f aca="false">Report!E1795</f>
        <v>OCIDENTAL COMERCIO DE FRIOS LTDA</v>
      </c>
      <c r="C1394" s="18" t="n">
        <f aca="false">Report!U1795</f>
        <v>871.13</v>
      </c>
      <c r="D1394" s="1" t="str">
        <f aca="false">Report!X1795</f>
        <v>NF 1260900 1/2 - ALICIA</v>
      </c>
    </row>
    <row r="1395" customFormat="false" ht="12.75" hidden="false" customHeight="true" outlineLevel="0" collapsed="false">
      <c r="A1395" s="16" t="n">
        <f aca="false">Report!C1796</f>
        <v>46268</v>
      </c>
      <c r="B1395" s="1" t="str">
        <f aca="false">Report!E1796</f>
        <v>EMPRESA BRASILEIRA DE DISTRIBUICAO LTDA</v>
      </c>
      <c r="C1395" s="18" t="n">
        <f aca="false">Report!U1796</f>
        <v>496.59</v>
      </c>
      <c r="D1395" s="1" t="str">
        <f aca="false">Report!X1796</f>
        <v>NF 2307607 3/3 - ALICIA</v>
      </c>
    </row>
    <row r="1396" customFormat="false" ht="12.75" hidden="false" customHeight="true" outlineLevel="0" collapsed="false">
      <c r="A1396" s="16" t="n">
        <f aca="false">Report!C1797</f>
        <v>46268</v>
      </c>
      <c r="B1396" s="1" t="str">
        <f aca="false">Report!E1797</f>
        <v>EMPRESA BRASILEIRA DE DISTRIBUICAO LTDA</v>
      </c>
      <c r="C1396" s="18" t="n">
        <f aca="false">Report!U1797</f>
        <v>368.38</v>
      </c>
      <c r="D1396" s="1" t="str">
        <f aca="false">Report!X1797</f>
        <v>NF 2307608 3/3 - ALICIA</v>
      </c>
    </row>
    <row r="1397" customFormat="false" ht="12.75" hidden="false" customHeight="true" outlineLevel="0" collapsed="false">
      <c r="A1397" s="16" t="n">
        <f aca="false">Report!C1798</f>
        <v>46268</v>
      </c>
      <c r="B1397" s="1" t="str">
        <f aca="false">Report!E1798</f>
        <v>CB COMERCIO E DISTRIBUIDORA DE ALIMENTOS</v>
      </c>
      <c r="C1397" s="18" t="n">
        <f aca="false">Report!U1798</f>
        <v>477.87</v>
      </c>
      <c r="D1397" s="1" t="str">
        <f aca="false">Report!X1798</f>
        <v>NF 860572 3/3 - ALICIA</v>
      </c>
    </row>
    <row r="1398" customFormat="false" ht="12.75" hidden="false" customHeight="true" outlineLevel="0" collapsed="false">
      <c r="A1398" s="16" t="n">
        <f aca="false">Report!C1799</f>
        <v>46268</v>
      </c>
      <c r="B1398" s="1" t="str">
        <f aca="false">Report!E1799</f>
        <v>OCIDENTAL COMERCIO DE FRIOS LTDA</v>
      </c>
      <c r="C1398" s="18" t="n">
        <f aca="false">Report!U1799</f>
        <v>354.21</v>
      </c>
      <c r="D1398" s="1" t="str">
        <f aca="false">Report!X1799</f>
        <v>NF 1258988 2/2 - ALICIA</v>
      </c>
    </row>
    <row r="1399" customFormat="false" ht="12.75" hidden="false" customHeight="true" outlineLevel="0" collapsed="false">
      <c r="A1399" s="16" t="n">
        <f aca="false">Report!C1800</f>
        <v>46268</v>
      </c>
      <c r="B1399" s="1" t="str">
        <f aca="false">Report!E1800</f>
        <v>OESA COMERCIO E REPRESENTACOES S/A</v>
      </c>
      <c r="C1399" s="18" t="n">
        <f aca="false">Report!U1800</f>
        <v>984.44</v>
      </c>
      <c r="D1399" s="1" t="str">
        <f aca="false">Report!X1800</f>
        <v>NF 438335 3/3 - ALICIA</v>
      </c>
    </row>
    <row r="1400" customFormat="false" ht="12.75" hidden="false" customHeight="true" outlineLevel="0" collapsed="false">
      <c r="A1400" s="16" t="n">
        <f aca="false">Report!C1801</f>
        <v>46268</v>
      </c>
      <c r="B1400" s="1" t="str">
        <f aca="false">Report!E1801</f>
        <v>L S M COMERCIO DE ALIMENTOS E NAVEGACAO</v>
      </c>
      <c r="C1400" s="18" t="n">
        <f aca="false">Report!U1801</f>
        <v>1384</v>
      </c>
      <c r="D1400" s="1" t="str">
        <f aca="false">Report!X1801</f>
        <v>NF 310741 2/3 - ALICIA</v>
      </c>
    </row>
    <row r="1401" customFormat="false" ht="12.75" hidden="false" customHeight="true" outlineLevel="0" collapsed="false">
      <c r="A1401" s="16" t="n">
        <f aca="false">Report!C1802</f>
        <v>46268</v>
      </c>
      <c r="B1401" s="1" t="str">
        <f aca="false">Report!E1802</f>
        <v>BF COMERCIO DE ALIMENTOS REPRESENTACAO L</v>
      </c>
      <c r="C1401" s="18" t="n">
        <f aca="false">Report!U1802</f>
        <v>355.96</v>
      </c>
      <c r="D1401" s="1" t="str">
        <f aca="false">Report!X1802</f>
        <v>NF 21254 2/3 - ALICIA</v>
      </c>
    </row>
    <row r="1402" customFormat="false" ht="12.75" hidden="false" customHeight="true" outlineLevel="0" collapsed="false">
      <c r="A1402" s="16" t="n">
        <f aca="false">Report!C1803</f>
        <v>46268</v>
      </c>
      <c r="B1402" s="1" t="str">
        <f aca="false">Report!E1803</f>
        <v>CB COMERCIO E DISTRIBUIDORA DE ALIMENTOS</v>
      </c>
      <c r="C1402" s="18" t="n">
        <f aca="false">Report!U1803</f>
        <v>603.25</v>
      </c>
      <c r="D1402" s="1" t="str">
        <f aca="false">Report!X1803</f>
        <v>NF 865043 1/3 - ALICIA</v>
      </c>
    </row>
    <row r="1403" customFormat="false" ht="12.75" hidden="false" customHeight="true" outlineLevel="0" collapsed="false">
      <c r="A1403" s="16" t="n">
        <f aca="false">Report!C1806</f>
        <v>46269</v>
      </c>
      <c r="B1403" s="1" t="str">
        <f aca="false">Report!E1806</f>
        <v>L S M COMERCIO DE ALIMENTOS E NAVEGACAO</v>
      </c>
      <c r="C1403" s="18" t="n">
        <f aca="false">Report!U1806</f>
        <v>986.04</v>
      </c>
      <c r="D1403" s="1" t="str">
        <f aca="false">Report!X1806</f>
        <v>NF 310154 3/3 - ALICIA</v>
      </c>
    </row>
    <row r="1404" customFormat="false" ht="12.75" hidden="false" customHeight="true" outlineLevel="0" collapsed="false">
      <c r="A1404" s="16" t="n">
        <f aca="false">Report!C1807</f>
        <v>46269</v>
      </c>
      <c r="B1404" s="1" t="str">
        <f aca="false">Report!E1807</f>
        <v>VIA CERTA IMPORTACAO E DISTRIBUICAO DE A</v>
      </c>
      <c r="C1404" s="18" t="n">
        <f aca="false">Report!U1807</f>
        <v>500.78</v>
      </c>
      <c r="D1404" s="1" t="str">
        <f aca="false">Report!X1807</f>
        <v>NF 53548 3/3 - ALICIA</v>
      </c>
    </row>
    <row r="1405" customFormat="false" ht="12.75" hidden="false" customHeight="true" outlineLevel="0" collapsed="false">
      <c r="A1405" s="16" t="n">
        <f aca="false">Report!C1808</f>
        <v>46269</v>
      </c>
      <c r="B1405" s="1" t="str">
        <f aca="false">Report!E1808</f>
        <v>MARQUES &amp; MELO LTDA - FILIAL</v>
      </c>
      <c r="C1405" s="18" t="n">
        <f aca="false">Report!U1808</f>
        <v>300.54</v>
      </c>
      <c r="D1405" s="1" t="str">
        <f aca="false">Report!X1808</f>
        <v>NF 5068382 2/3 - ALICIA</v>
      </c>
    </row>
    <row r="1406" customFormat="false" ht="12.75" hidden="false" customHeight="true" outlineLevel="0" collapsed="false">
      <c r="A1406" s="16" t="n">
        <f aca="false">Report!C1809</f>
        <v>46269</v>
      </c>
      <c r="B1406" s="1" t="str">
        <f aca="false">Report!E1809</f>
        <v>J G COMERCIO DE PRODUTOS ALIMENTICIOS LTDA</v>
      </c>
      <c r="C1406" s="18" t="n">
        <f aca="false">Report!U1809</f>
        <v>655.61</v>
      </c>
      <c r="D1406" s="1" t="str">
        <f aca="false">Report!X1809</f>
        <v>NF 398009 2/3 - ALICIA</v>
      </c>
    </row>
    <row r="1407" customFormat="false" ht="12.75" hidden="false" customHeight="true" outlineLevel="0" collapsed="false">
      <c r="A1407" s="16" t="n">
        <f aca="false">Report!C1810</f>
        <v>46269</v>
      </c>
      <c r="B1407" s="1" t="str">
        <f aca="false">Report!E1810</f>
        <v>AGM INDUSTRIA COMERCIO E REPRESENTACAO LTDA</v>
      </c>
      <c r="C1407" s="18" t="n">
        <f aca="false">Report!U1810</f>
        <v>625.75</v>
      </c>
      <c r="D1407" s="1" t="str">
        <f aca="false">Report!X1810</f>
        <v>NF 48211 1/3 - ALICIA</v>
      </c>
    </row>
    <row r="1408" customFormat="false" ht="12.75" hidden="false" customHeight="true" outlineLevel="0" collapsed="false">
      <c r="A1408" s="16" t="n">
        <f aca="false">Report!C1813</f>
        <v>46272</v>
      </c>
      <c r="B1408" s="1" t="str">
        <f aca="false">Report!E1813</f>
        <v>DUNORTE DISTRIBUIDORA DE PRODUTOS DE CONSUMO LTDA</v>
      </c>
      <c r="C1408" s="18" t="n">
        <f aca="false">Report!U1813</f>
        <v>949.63</v>
      </c>
      <c r="D1408" s="1" t="str">
        <f aca="false">Report!X1813</f>
        <v>NF 3229254 4/4 - ALICIA</v>
      </c>
    </row>
    <row r="1409" customFormat="false" ht="12.75" hidden="false" customHeight="true" outlineLevel="0" collapsed="false">
      <c r="A1409" s="16" t="n">
        <f aca="false">Report!C1814</f>
        <v>46272</v>
      </c>
      <c r="B1409" s="1" t="str">
        <f aca="false">Report!E1814</f>
        <v>GILBERTO SILVA NASCIMENTO</v>
      </c>
      <c r="C1409" s="18" t="n">
        <f aca="false">Report!U1814</f>
        <v>538.18</v>
      </c>
      <c r="D1409" s="1" t="str">
        <f aca="false">Report!X1814</f>
        <v>NF 846 4/4 - ALICIA</v>
      </c>
    </row>
    <row r="1410" customFormat="false" ht="12.75" hidden="false" customHeight="true" outlineLevel="0" collapsed="false">
      <c r="A1410" s="16" t="n">
        <f aca="false">Report!C1815</f>
        <v>46272</v>
      </c>
      <c r="B1410" s="1" t="str">
        <f aca="false">Report!E1815</f>
        <v>ADRIANA DISTRIBUIDORA DE PRODUTOS ALIMEN</v>
      </c>
      <c r="C1410" s="18" t="n">
        <f aca="false">Report!U1815</f>
        <v>710.92</v>
      </c>
      <c r="D1410" s="1" t="str">
        <f aca="false">Report!X1815</f>
        <v>NF 889382 1/3 - ALICIA</v>
      </c>
    </row>
    <row r="1411" customFormat="false" ht="12.75" hidden="false" customHeight="true" outlineLevel="0" collapsed="false">
      <c r="A1411" s="16" t="n">
        <f aca="false">Report!C1816</f>
        <v>46272</v>
      </c>
      <c r="B1411" s="1" t="str">
        <f aca="false">Report!E1816</f>
        <v>IRMÃOS LIMA  ATACADO  DE ALIMENTOS LTDA</v>
      </c>
      <c r="C1411" s="18" t="n">
        <f aca="false">Report!U1816</f>
        <v>1028.18</v>
      </c>
      <c r="D1411" s="1" t="str">
        <f aca="false">Report!X1816</f>
        <v>NF 297049 3/3 - ALICIA</v>
      </c>
    </row>
    <row r="1412" customFormat="false" ht="12.75" hidden="false" customHeight="true" outlineLevel="0" collapsed="false">
      <c r="A1412" s="16" t="n">
        <f aca="false">Report!C1817</f>
        <v>46272</v>
      </c>
      <c r="B1412" s="1" t="str">
        <f aca="false">Report!E1817</f>
        <v>ADRIANA DISTRIBUIDORA DE PRODUTOS ALIMEN</v>
      </c>
      <c r="C1412" s="18" t="n">
        <f aca="false">Report!U1817</f>
        <v>1265.74</v>
      </c>
      <c r="D1412" s="1" t="str">
        <f aca="false">Report!X1817</f>
        <v>NF 890827 2/3 - ALICIA</v>
      </c>
    </row>
    <row r="1413" customFormat="false" ht="12.75" hidden="false" customHeight="true" outlineLevel="0" collapsed="false">
      <c r="A1413" s="16" t="n">
        <f aca="false">Report!C1818</f>
        <v>46272</v>
      </c>
      <c r="B1413" s="1" t="str">
        <f aca="false">Report!E1818</f>
        <v>SL DISTRIBUIDORA COM. DE PROD. ALIMENTIC</v>
      </c>
      <c r="C1413" s="18" t="n">
        <f aca="false">Report!U1818</f>
        <v>427.28</v>
      </c>
      <c r="D1413" s="1" t="str">
        <f aca="false">Report!X1818</f>
        <v>NF 11361 2/2 - ALICIA</v>
      </c>
    </row>
    <row r="1414" customFormat="false" ht="12.75" hidden="false" customHeight="true" outlineLevel="0" collapsed="false">
      <c r="A1414" s="16" t="n">
        <f aca="false">Report!C1819</f>
        <v>46272</v>
      </c>
      <c r="B1414" s="1" t="str">
        <f aca="false">Report!E1819</f>
        <v>OESA COMERCIO E REPRESENTACOES S/A</v>
      </c>
      <c r="C1414" s="18" t="n">
        <f aca="false">Report!U1819</f>
        <v>273.52</v>
      </c>
      <c r="D1414" s="1" t="str">
        <f aca="false">Report!X1819</f>
        <v>NF 443784 2/3 - ALICIA</v>
      </c>
    </row>
    <row r="1415" customFormat="false" ht="12.75" hidden="false" customHeight="true" outlineLevel="0" collapsed="false">
      <c r="A1415" s="16" t="n">
        <f aca="false">Report!C1820</f>
        <v>46273</v>
      </c>
      <c r="B1415" s="1" t="str">
        <f aca="false">Report!E1820</f>
        <v>WKL COMERCIO ATACADISTA DE ARTIGOS DE AR</v>
      </c>
      <c r="C1415" s="18" t="n">
        <f aca="false">Report!U1820</f>
        <v>592.05</v>
      </c>
      <c r="D1415" s="1" t="str">
        <f aca="false">Report!X1820</f>
        <v>NF 1330 4/4 - ALICIA</v>
      </c>
    </row>
    <row r="1416" customFormat="false" ht="12.75" hidden="false" customHeight="true" outlineLevel="0" collapsed="false">
      <c r="A1416" s="16" t="n">
        <f aca="false">Report!C1821</f>
        <v>46273</v>
      </c>
      <c r="B1416" s="1" t="str">
        <f aca="false">Report!E1821</f>
        <v>ATIVA COM E REP</v>
      </c>
      <c r="C1416" s="18" t="n">
        <f aca="false">Report!U1821</f>
        <v>879.72</v>
      </c>
      <c r="D1416" s="1" t="str">
        <f aca="false">Report!X1821</f>
        <v>NF 26350 3/3 - ALICIA</v>
      </c>
    </row>
    <row r="1417" customFormat="false" ht="12.75" hidden="false" customHeight="true" outlineLevel="0" collapsed="false">
      <c r="A1417" s="16" t="n">
        <f aca="false">Report!C1822</f>
        <v>46273</v>
      </c>
      <c r="B1417" s="1" t="str">
        <f aca="false">Report!E1822</f>
        <v>DUNORTE DISTRIBUIDORA DE PRODUTOS DE CONSUMO LTDA</v>
      </c>
      <c r="C1417" s="18" t="n">
        <f aca="false">Report!U1822</f>
        <v>421.85</v>
      </c>
      <c r="D1417" s="1" t="str">
        <f aca="false">Report!X1822</f>
        <v>NF 3234933 3/3 - ALICIA</v>
      </c>
    </row>
    <row r="1418" customFormat="false" ht="12.75" hidden="false" customHeight="true" outlineLevel="0" collapsed="false">
      <c r="A1418" s="16" t="n">
        <f aca="false">Report!C1823</f>
        <v>46273</v>
      </c>
      <c r="B1418" s="1" t="str">
        <f aca="false">Report!E1823</f>
        <v>NESTLÉ BRASIL LTDA.</v>
      </c>
      <c r="C1418" s="18" t="n">
        <f aca="false">Report!U1823</f>
        <v>1060.48</v>
      </c>
      <c r="D1418" s="1" t="str">
        <f aca="false">Report!X1823</f>
        <v>NF 1439013 1/1 - ALICIA</v>
      </c>
    </row>
    <row r="1419" customFormat="false" ht="12.75" hidden="false" customHeight="true" outlineLevel="0" collapsed="false">
      <c r="A1419" s="16" t="n">
        <f aca="false">Report!C1824</f>
        <v>46273</v>
      </c>
      <c r="B1419" s="1" t="str">
        <f aca="false">Report!E1824</f>
        <v>SABIA COMERCIO DE COSMETICOS LTDA</v>
      </c>
      <c r="C1419" s="18" t="n">
        <f aca="false">Report!U1824</f>
        <v>842.3</v>
      </c>
      <c r="D1419" s="1" t="str">
        <f aca="false">Report!X1824</f>
        <v>NF 255147 1/5 - ALICIA</v>
      </c>
    </row>
    <row r="1420" customFormat="false" ht="12.75" hidden="false" customHeight="true" outlineLevel="0" collapsed="false">
      <c r="A1420" s="16" t="n">
        <f aca="false">Report!C1825</f>
        <v>46273</v>
      </c>
      <c r="B1420" s="1" t="str">
        <f aca="false">Report!E1825</f>
        <v>NESTLÉ BRASIL LTDA.</v>
      </c>
      <c r="C1420" s="18" t="n">
        <f aca="false">Report!U1825</f>
        <v>1052.36</v>
      </c>
      <c r="D1420" s="1" t="str">
        <f aca="false">Report!X1825</f>
        <v>NF 1439755 1/1 - ALICIA</v>
      </c>
    </row>
    <row r="1421" customFormat="false" ht="12.75" hidden="false" customHeight="true" outlineLevel="0" collapsed="false">
      <c r="A1421" s="16" t="n">
        <f aca="false">Report!C1826</f>
        <v>46273</v>
      </c>
      <c r="B1421" s="1" t="str">
        <f aca="false">Report!E1826</f>
        <v>OCIDENTAL COMERCIO DE FRIOS LTDA</v>
      </c>
      <c r="C1421" s="18" t="n">
        <f aca="false">Report!U1826</f>
        <v>888.75</v>
      </c>
      <c r="D1421" s="1" t="str">
        <f aca="false">Report!X1826</f>
        <v>NF 1260091 2/2 - ALICIA</v>
      </c>
    </row>
    <row r="1422" customFormat="false" ht="12.75" hidden="false" customHeight="true" outlineLevel="0" collapsed="false">
      <c r="A1422" s="16" t="n">
        <f aca="false">Report!C1827</f>
        <v>46273</v>
      </c>
      <c r="B1422" s="1" t="str">
        <f aca="false">Report!E1827</f>
        <v>NESTLÉ BRASIL LTDA.</v>
      </c>
      <c r="C1422" s="18" t="n">
        <f aca="false">Report!U1827</f>
        <v>437.25</v>
      </c>
      <c r="D1422" s="1" t="str">
        <f aca="false">Report!X1827</f>
        <v>NF 1440073 1/1 - ALICIA</v>
      </c>
    </row>
    <row r="1423" customFormat="false" ht="12.75" hidden="false" customHeight="true" outlineLevel="0" collapsed="false">
      <c r="A1423" s="16" t="n">
        <f aca="false">Report!C1828</f>
        <v>46273</v>
      </c>
      <c r="B1423" s="1" t="str">
        <f aca="false">Report!E1828</f>
        <v>DUNORTE DISTRIBUIDORA DE PRODUTOS DE CONSUMO LTDA</v>
      </c>
      <c r="C1423" s="18" t="n">
        <f aca="false">Report!U1828</f>
        <v>924.11</v>
      </c>
      <c r="D1423" s="1" t="str">
        <f aca="false">Report!X1828</f>
        <v>NF 3238686 2/4 - ALICIA</v>
      </c>
    </row>
    <row r="1424" customFormat="false" ht="12.75" hidden="false" customHeight="true" outlineLevel="0" collapsed="false">
      <c r="A1424" s="16" t="n">
        <f aca="false">Report!C1829</f>
        <v>46274</v>
      </c>
      <c r="B1424" s="1" t="str">
        <f aca="false">Report!E1829</f>
        <v>MARTINS COM SERV DISTR SA</v>
      </c>
      <c r="C1424" s="18" t="n">
        <f aca="false">Report!U1829</f>
        <v>1718.76</v>
      </c>
      <c r="D1424" s="1" t="str">
        <f aca="false">Report!X1829</f>
        <v>NF 1771475 3/4 - ALICIA</v>
      </c>
    </row>
    <row r="1425" customFormat="false" ht="12.75" hidden="false" customHeight="true" outlineLevel="0" collapsed="false">
      <c r="A1425" s="16" t="n">
        <f aca="false">Report!C1830</f>
        <v>46274</v>
      </c>
      <c r="B1425" s="1" t="str">
        <f aca="false">Report!E1830</f>
        <v>AGM COMERCIO E DISTRIBUIDORA DE MATERIAS DE PERFUMARIA E LIMPEZA LTDA</v>
      </c>
      <c r="C1425" s="18" t="n">
        <f aca="false">Report!U1830</f>
        <v>545.13</v>
      </c>
      <c r="D1425" s="1" t="str">
        <f aca="false">Report!X1830</f>
        <v>NF 163841 3/4 - ALICIA</v>
      </c>
    </row>
    <row r="1426" customFormat="false" ht="12.75" hidden="false" customHeight="true" outlineLevel="0" collapsed="false">
      <c r="A1426" s="16" t="n">
        <f aca="false">Report!C1831</f>
        <v>46274</v>
      </c>
      <c r="B1426" s="1" t="str">
        <f aca="false">Report!E1831</f>
        <v>OCIDENTAL COMERCIO DE FRIOS LTDA</v>
      </c>
      <c r="C1426" s="18" t="n">
        <f aca="false">Report!U1831</f>
        <v>871.13</v>
      </c>
      <c r="D1426" s="1" t="str">
        <f aca="false">Report!X1831</f>
        <v>NF 1260900 2/2 - ALICIA</v>
      </c>
    </row>
    <row r="1427" customFormat="false" ht="12.75" hidden="false" customHeight="true" outlineLevel="0" collapsed="false">
      <c r="A1427" s="16" t="n">
        <f aca="false">Report!C1837</f>
        <v>46275</v>
      </c>
      <c r="B1427" s="1" t="str">
        <f aca="false">Report!E1837</f>
        <v>L S M COMERCIO DE ALIMENTOS E NAVEGACAO</v>
      </c>
      <c r="C1427" s="18" t="n">
        <f aca="false">Report!U1837</f>
        <v>1384</v>
      </c>
      <c r="D1427" s="1" t="str">
        <f aca="false">Report!X1837</f>
        <v>NF 310741 3/3 - ALICIA</v>
      </c>
    </row>
    <row r="1428" customFormat="false" ht="12.75" hidden="false" customHeight="true" outlineLevel="0" collapsed="false">
      <c r="A1428" s="16" t="n">
        <f aca="false">Report!C1838</f>
        <v>46275</v>
      </c>
      <c r="B1428" s="1" t="str">
        <f aca="false">Report!E1838</f>
        <v>BF COMERCIO DE ALIMENTOS REPRESENTACAO L</v>
      </c>
      <c r="C1428" s="18" t="n">
        <f aca="false">Report!U1838</f>
        <v>355.95</v>
      </c>
      <c r="D1428" s="1" t="str">
        <f aca="false">Report!X1838</f>
        <v>NF 21254 3/3 - ALICIA</v>
      </c>
    </row>
    <row r="1429" customFormat="false" ht="12.75" hidden="false" customHeight="true" outlineLevel="0" collapsed="false">
      <c r="A1429" s="16" t="n">
        <f aca="false">Report!C1839</f>
        <v>46275</v>
      </c>
      <c r="B1429" s="1" t="str">
        <f aca="false">Report!E1839</f>
        <v>J G COMERCIO DE PRODUTOS ALIMENTICIOS LTDA</v>
      </c>
      <c r="C1429" s="18" t="n">
        <f aca="false">Report!U1839</f>
        <v>655.61</v>
      </c>
      <c r="D1429" s="1" t="str">
        <f aca="false">Report!X1839</f>
        <v>NF 398009 3/3 - ALICIA</v>
      </c>
    </row>
    <row r="1430" customFormat="false" ht="12.75" hidden="false" customHeight="true" outlineLevel="0" collapsed="false">
      <c r="A1430" s="16" t="n">
        <f aca="false">Report!C1841</f>
        <v>46276</v>
      </c>
      <c r="B1430" s="1" t="str">
        <f aca="false">Report!E1841</f>
        <v>FUNNY PET DISTRIBUIDORA DE ALIMENTOS PAR</v>
      </c>
      <c r="C1430" s="18" t="n">
        <f aca="false">Report!U1841</f>
        <v>245.49</v>
      </c>
      <c r="D1430" s="1" t="str">
        <f aca="false">Report!X1841</f>
        <v>NF 20469 1/1 - ALICIA</v>
      </c>
    </row>
    <row r="1431" customFormat="false" ht="12.75" hidden="false" customHeight="true" outlineLevel="0" collapsed="false">
      <c r="A1431" s="16" t="n">
        <f aca="false">Report!C1842</f>
        <v>46276</v>
      </c>
      <c r="B1431" s="1" t="str">
        <f aca="false">Report!E1842</f>
        <v>MARQUES &amp; MELO LTDA - FILIAL</v>
      </c>
      <c r="C1431" s="18" t="n">
        <f aca="false">Report!U1842</f>
        <v>300.54</v>
      </c>
      <c r="D1431" s="1" t="str">
        <f aca="false">Report!X1842</f>
        <v>NF 506838 3/3 - ALICIA</v>
      </c>
    </row>
    <row r="1432" customFormat="false" ht="12.75" hidden="false" customHeight="true" outlineLevel="0" collapsed="false">
      <c r="A1432" s="16" t="n">
        <f aca="false">Report!C1843</f>
        <v>46276</v>
      </c>
      <c r="B1432" s="1" t="str">
        <f aca="false">Report!E1843</f>
        <v>AGM INDUSTRIA COMERCIO E REPRESENTACAO LTDA</v>
      </c>
      <c r="C1432" s="18" t="n">
        <f aca="false">Report!U1843</f>
        <v>625.75</v>
      </c>
      <c r="D1432" s="1" t="str">
        <f aca="false">Report!X1843</f>
        <v>NF 48211 2/3 - ALICIA</v>
      </c>
    </row>
    <row r="1433" customFormat="false" ht="12.75" hidden="false" customHeight="true" outlineLevel="0" collapsed="false">
      <c r="A1433" s="16" t="n">
        <f aca="false">Report!C1844</f>
        <v>46277</v>
      </c>
      <c r="B1433" s="1" t="str">
        <f aca="false">Report!E1844</f>
        <v>FUNNY PET DISTRIBUIDORA DE ALIMENTOS PAR</v>
      </c>
      <c r="C1433" s="18" t="n">
        <f aca="false">Report!U1844</f>
        <v>1760.2</v>
      </c>
      <c r="D1433" s="1" t="str">
        <f aca="false">Report!X1844</f>
        <v>NF 21623 3/4 - ALICIA</v>
      </c>
    </row>
    <row r="1434" customFormat="false" ht="12.75" hidden="false" customHeight="true" outlineLevel="0" collapsed="false">
      <c r="A1434" s="16" t="n">
        <f aca="false">Report!C1845</f>
        <v>46279</v>
      </c>
      <c r="B1434" s="1" t="str">
        <f aca="false">Report!E1845</f>
        <v>ADRIANA DISTRIBUIDORA DE PRODUTOS ALIMEN</v>
      </c>
      <c r="C1434" s="18" t="n">
        <f aca="false">Report!U1845</f>
        <v>1265.74</v>
      </c>
      <c r="D1434" s="1" t="str">
        <f aca="false">Report!X1845</f>
        <v>NF 890827 3/3 - ALICIA</v>
      </c>
    </row>
    <row r="1435" customFormat="false" ht="12.75" hidden="false" customHeight="true" outlineLevel="0" collapsed="false">
      <c r="A1435" s="16" t="n">
        <f aca="false">Report!C1846</f>
        <v>46279</v>
      </c>
      <c r="B1435" s="1" t="str">
        <f aca="false">Report!E1846</f>
        <v>OESA COMERCIO E REPRESENTACOES S/A</v>
      </c>
      <c r="C1435" s="18" t="n">
        <f aca="false">Report!U1846</f>
        <v>273.52</v>
      </c>
      <c r="D1435" s="1" t="str">
        <f aca="false">Report!X1846</f>
        <v>NF 443784 3/3 - ALICIA</v>
      </c>
    </row>
    <row r="1436" customFormat="false" ht="12.75" hidden="false" customHeight="true" outlineLevel="0" collapsed="false">
      <c r="A1436" s="16" t="n">
        <f aca="false">Report!C1849</f>
        <v>46280</v>
      </c>
      <c r="B1436" s="1" t="str">
        <f aca="false">Report!E1849</f>
        <v>SABIA COMERCIO DE COSMETICOS LTDA</v>
      </c>
      <c r="C1436" s="18" t="n">
        <f aca="false">Report!U1849</f>
        <v>842.29</v>
      </c>
      <c r="D1436" s="1" t="str">
        <f aca="false">Report!X1849</f>
        <v>NF 255147 2/5 - ALICIA</v>
      </c>
    </row>
    <row r="1437" customFormat="false" ht="12.75" hidden="false" customHeight="true" outlineLevel="0" collapsed="false">
      <c r="A1437" s="16" t="n">
        <f aca="false">Report!C1850</f>
        <v>46280</v>
      </c>
      <c r="B1437" s="1" t="str">
        <f aca="false">Report!E1850</f>
        <v>DUNORTE DISTRIBUIDORA DE PRODUTOS DE CONSUMO LTDA</v>
      </c>
      <c r="C1437" s="18" t="n">
        <f aca="false">Report!U1850</f>
        <v>924.11</v>
      </c>
      <c r="D1437" s="1" t="str">
        <f aca="false">Report!X1850</f>
        <v>NF 3238686 3/4 - ALICIA</v>
      </c>
    </row>
    <row r="1438" customFormat="false" ht="12.75" hidden="false" customHeight="true" outlineLevel="0" collapsed="false">
      <c r="A1438" s="16" t="n">
        <f aca="false">Report!C1851</f>
        <v>46281</v>
      </c>
      <c r="B1438" s="1" t="str">
        <f aca="false">Report!E1851</f>
        <v>AGM COMERCIO E DISTRIBUIDORA DE MATERIAS DE PERFUMARIA E LIMPEZA LTDA</v>
      </c>
      <c r="C1438" s="18" t="n">
        <f aca="false">Report!U1851</f>
        <v>545.11</v>
      </c>
      <c r="D1438" s="1" t="str">
        <f aca="false">Report!X1851</f>
        <v>NF 163841 4/4 - ALICIA</v>
      </c>
    </row>
    <row r="1439" customFormat="false" ht="12.75" hidden="false" customHeight="true" outlineLevel="0" collapsed="false">
      <c r="A1439" s="16" t="n">
        <f aca="false">Report!C1859</f>
        <v>46283</v>
      </c>
      <c r="B1439" s="1" t="str">
        <f aca="false">Report!E1859</f>
        <v>AGM INDUSTRIA COMERCIO E REPRESENTACAO LTDA</v>
      </c>
      <c r="C1439" s="18" t="n">
        <f aca="false">Report!U1859</f>
        <v>625.75</v>
      </c>
      <c r="D1439" s="1" t="str">
        <f aca="false">Report!X1859</f>
        <v>NF 48211 3/3 - ALICIA</v>
      </c>
    </row>
    <row r="1440" customFormat="false" ht="12.75" hidden="false" customHeight="true" outlineLevel="0" collapsed="false">
      <c r="A1440" s="16" t="n">
        <f aca="false">Report!C1870</f>
        <v>46287</v>
      </c>
      <c r="B1440" s="1" t="str">
        <f aca="false">Report!E1870</f>
        <v>ADRIANA DISTRIBUIDORA DE PRODUTOS ALIMEN</v>
      </c>
      <c r="C1440" s="18" t="n">
        <f aca="false">Report!U1870</f>
        <v>710.92</v>
      </c>
      <c r="D1440" s="1" t="str">
        <f aca="false">Report!X1870</f>
        <v>NF 889382 2/3 - ALICIA</v>
      </c>
    </row>
    <row r="1441" customFormat="false" ht="12.75" hidden="false" customHeight="true" outlineLevel="0" collapsed="false">
      <c r="A1441" s="16" t="n">
        <f aca="false">Report!C1871</f>
        <v>46287</v>
      </c>
      <c r="B1441" s="1" t="str">
        <f aca="false">Report!E1871</f>
        <v>FUNNY PET DISTRIBUIDORA DE ALIMENTOS PAR</v>
      </c>
      <c r="C1441" s="18" t="n">
        <f aca="false">Report!U1871</f>
        <v>1760.2</v>
      </c>
      <c r="D1441" s="1" t="str">
        <f aca="false">Report!X1871</f>
        <v>NF 21623 4/4 - ALICIA</v>
      </c>
    </row>
    <row r="1442" customFormat="false" ht="12.75" hidden="false" customHeight="true" outlineLevel="0" collapsed="false">
      <c r="A1442" s="16" t="n">
        <f aca="false">Report!C1872</f>
        <v>46287</v>
      </c>
      <c r="B1442" s="1" t="str">
        <f aca="false">Report!E1872</f>
        <v>SABIA COMERCIO DE COSMETICOS LTDA</v>
      </c>
      <c r="C1442" s="18" t="n">
        <f aca="false">Report!U1872</f>
        <v>842.29</v>
      </c>
      <c r="D1442" s="1" t="str">
        <f aca="false">Report!X1872</f>
        <v>NF 255147 3/5 - ALICIA</v>
      </c>
    </row>
    <row r="1443" customFormat="false" ht="12.75" hidden="false" customHeight="true" outlineLevel="0" collapsed="false">
      <c r="A1443" s="16" t="n">
        <f aca="false">Report!C1873</f>
        <v>46287</v>
      </c>
      <c r="B1443" s="1" t="str">
        <f aca="false">Report!E1873</f>
        <v>DUNORTE DISTRIBUIDORA DE PRODUTOS DE CONSUMO LTDA</v>
      </c>
      <c r="C1443" s="18" t="n">
        <f aca="false">Report!U1873</f>
        <v>924.11</v>
      </c>
      <c r="D1443" s="1" t="str">
        <f aca="false">Report!X1873</f>
        <v>NF 3238686 4/4 - ALICIA</v>
      </c>
    </row>
    <row r="1444" customFormat="false" ht="12.75" hidden="false" customHeight="true" outlineLevel="0" collapsed="false">
      <c r="A1444" s="16" t="n">
        <f aca="false">Report!C1878</f>
        <v>46290</v>
      </c>
      <c r="B1444" s="1" t="str">
        <f aca="false">Report!E1878</f>
        <v>CLEVERSON BARBOSA DA SILVA - ME</v>
      </c>
      <c r="C1444" s="18" t="n">
        <f aca="false">Report!U1878</f>
        <v>93.33</v>
      </c>
      <c r="D1444" s="1" t="str">
        <f aca="false">Report!X1878</f>
        <v>RECIBO- 3/3 COMPRA DE GAS E FILTRO P/ AR-CONDICIONADO-ALICIA</v>
      </c>
    </row>
    <row r="1445" customFormat="false" ht="12.75" hidden="false" customHeight="true" outlineLevel="0" collapsed="false">
      <c r="A1445" s="16" t="n">
        <f aca="false">Report!C1879</f>
        <v>46290</v>
      </c>
      <c r="B1445" s="1" t="str">
        <f aca="false">Report!E1879</f>
        <v>A. CORREA JUNIOR</v>
      </c>
      <c r="C1445" s="18" t="n">
        <f aca="false">Report!U1879</f>
        <v>1615.17</v>
      </c>
      <c r="D1445" s="1" t="str">
        <f aca="false">Report!X1879</f>
        <v>NF 1887 COMPRAS ELETRONICOS - ALICIA</v>
      </c>
    </row>
    <row r="1446" customFormat="false" ht="12.75" hidden="false" customHeight="true" outlineLevel="0" collapsed="false">
      <c r="A1446" s="16" t="n">
        <f aca="false">Report!C1881</f>
        <v>46294</v>
      </c>
      <c r="B1446" s="1" t="str">
        <f aca="false">Report!E1881</f>
        <v>SABIA COMERCIO DE COSMETICOS LTDA</v>
      </c>
      <c r="C1446" s="18" t="n">
        <f aca="false">Report!U1881</f>
        <v>842.29</v>
      </c>
      <c r="D1446" s="1" t="str">
        <f aca="false">Report!X1881</f>
        <v>NF 255147 4/5 - ALICIA</v>
      </c>
    </row>
    <row r="1447" customFormat="false" ht="12.75" hidden="false" customHeight="true" outlineLevel="0" collapsed="false">
      <c r="A1447" s="16" t="n">
        <f aca="false">Report!C1889</f>
        <v>46301</v>
      </c>
      <c r="B1447" s="1" t="str">
        <f aca="false">Report!E1889</f>
        <v>SABIA COMERCIO DE COSMETICOS LTDA</v>
      </c>
      <c r="C1447" s="18" t="n">
        <f aca="false">Report!U1889</f>
        <v>842.29</v>
      </c>
      <c r="D1447" s="1" t="str">
        <f aca="false">Report!X1889</f>
        <v>NF 255147 5/5 - ALICIA</v>
      </c>
    </row>
    <row r="1448" customFormat="false" ht="12.75" hidden="false" customHeight="true" outlineLevel="0" collapsed="false">
      <c r="A1448" s="16" t="n">
        <f aca="false">Report!C1890</f>
        <v>46302</v>
      </c>
      <c r="B1448" s="1" t="str">
        <f aca="false">Report!E1890</f>
        <v>ADRIANA DISTRIBUIDORA DE PRODUTOS ALIMEN</v>
      </c>
      <c r="C1448" s="18" t="n">
        <f aca="false">Report!U1890</f>
        <v>710.92</v>
      </c>
      <c r="D1448" s="1" t="str">
        <f aca="false">Report!X1890</f>
        <v>NF 889382 3/3 - ALICIA</v>
      </c>
    </row>
    <row r="1449" customFormat="false" ht="12.75" hidden="false" customHeight="true" outlineLevel="0" collapsed="false">
      <c r="A1449" s="16" t="n">
        <f aca="false">Report!C1891</f>
        <v>46304</v>
      </c>
      <c r="B1449" s="1" t="str">
        <f aca="false">Report!E1891</f>
        <v>MARTINS COM SERV DISTR SA</v>
      </c>
      <c r="C1449" s="18" t="n">
        <f aca="false">Report!U1891</f>
        <v>1718.76</v>
      </c>
      <c r="D1449" s="1" t="str">
        <f aca="false">Report!X1891</f>
        <v>NF 1771475 4/4 - ALICIA</v>
      </c>
    </row>
    <row r="1450" customFormat="false" ht="12.75" hidden="false" customHeight="true" outlineLevel="0" collapsed="false">
      <c r="A1450" s="16" t="n">
        <f aca="false">Report!C1914</f>
        <v>46320</v>
      </c>
      <c r="B1450" s="1" t="str">
        <f aca="false">Report!E1914</f>
        <v>A. CORREA JUNIOR</v>
      </c>
      <c r="C1450" s="18" t="n">
        <f aca="false">Report!U1914</f>
        <v>1615.17</v>
      </c>
      <c r="D1450" s="1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1879</v>
      </c>
      <c r="B1" s="26" t="s">
        <v>1880</v>
      </c>
      <c r="C1" s="26" t="s">
        <v>1881</v>
      </c>
      <c r="D1" s="26" t="s">
        <v>1882</v>
      </c>
    </row>
    <row r="2" customFormat="false" ht="12.75" hidden="false" customHeight="true" outlineLevel="0" collapsed="false">
      <c r="A2" s="27" t="s">
        <v>1883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1884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1885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1886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1887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1888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1889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1890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320711.99</v>
      </c>
      <c r="D9" s="18" t="n">
        <f aca="false">B9+C9</f>
        <v>429401.93</v>
      </c>
    </row>
    <row r="10" customFormat="false" ht="12.75" hidden="false" customHeight="true" outlineLevel="0" collapsed="false">
      <c r="A10" s="27" t="s">
        <v>1891</v>
      </c>
      <c r="B10" s="18" t="n">
        <f aca="false">SUMIFS(Report!$U:$U,Report!$T:$T,"&lt;&gt;"&amp;"MERCADORIAS P/REVENDA",Report!$AA:$AA,"SIM",Report!$C:$C,"&gt;="&amp;DATE(2026,9,1),Report!$C:$C,"&lt;="&amp;DATE(2026,9,30))</f>
        <v>43042.47</v>
      </c>
      <c r="C10" s="18" t="n">
        <f aca="false">SUMIFS(Report!$U:$U,Report!$T:$T,"MERCADORIAS P/REVENDA",Report!$AA:$AA,"SIM",Report!$C:$C,"&gt;="&amp;DATE(2026,9,1),Report!$C:$C,"&lt;="&amp;DATE(2026,9,30))</f>
        <v>55631.43</v>
      </c>
      <c r="D10" s="18" t="n">
        <f aca="false">B10+C10</f>
        <v>98673.9</v>
      </c>
    </row>
    <row r="11" customFormat="false" ht="12.75" hidden="false" customHeight="true" outlineLevel="0" collapsed="false">
      <c r="A11" s="27" t="s">
        <v>1892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4887.14</v>
      </c>
      <c r="D11" s="18" t="n">
        <f aca="false">B11+C11</f>
        <v>45841.36</v>
      </c>
    </row>
    <row r="12" customFormat="false" ht="12.75" hidden="false" customHeight="true" outlineLevel="0" collapsed="false">
      <c r="A12" s="27" t="s">
        <v>1893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1894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1895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1896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1897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1898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1899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1900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1901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1902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1903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1904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1905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1906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1907</v>
      </c>
      <c r="B26" s="30" t="n">
        <f aca="false">SUM(B2:B25)</f>
        <v>463530.12</v>
      </c>
      <c r="C26" s="30" t="n">
        <f aca="false">SUM(C2:C25)</f>
        <v>1264863.28</v>
      </c>
      <c r="D26" s="30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1908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1882</v>
      </c>
      <c r="AA2" s="32"/>
      <c r="AB2" s="33" t="s">
        <v>1909</v>
      </c>
      <c r="AC2" s="33" t="s">
        <v>1910</v>
      </c>
      <c r="AE2" s="33" t="s">
        <v>1911</v>
      </c>
    </row>
    <row r="3" customFormat="false" ht="12.75" hidden="false" customHeight="true" outlineLevel="0" collapsed="false">
      <c r="A3" s="34" t="s">
        <v>1912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429401.93</v>
      </c>
      <c r="J3" s="30" t="n">
        <f aca="false">SUMIFS(Report!$U:$U,Report!$AA:$AA,"SIM",Report!$C:$C,"&gt;="&amp;DATE(2026,9,1),Report!$C:$C,"&lt;="&amp;DATE(2026,9,30))</f>
        <v>98673.9</v>
      </c>
      <c r="K3" s="30" t="n">
        <f aca="false">SUMIFS(Report!$U:$U,Report!$AA:$AA,"SIM",Report!$C:$C,"&gt;="&amp;DATE(2026,10,1),Report!$C:$C,"&lt;="&amp;DATE(2026,10,31))</f>
        <v>45841.36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1728393.4</v>
      </c>
      <c r="AB3" s="1" t="s">
        <v>118</v>
      </c>
      <c r="AC3" s="1" t="s">
        <v>1913</v>
      </c>
      <c r="AE3" s="1" t="s">
        <v>1534</v>
      </c>
    </row>
    <row r="4" customFormat="false" ht="12.75" hidden="false" customHeight="true" outlineLevel="0" collapsed="false">
      <c r="A4" s="1" t="s">
        <v>1913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20618.17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193541.77</v>
      </c>
      <c r="AB4" s="1" t="s">
        <v>89</v>
      </c>
      <c r="AC4" s="1" t="s">
        <v>1913</v>
      </c>
    </row>
    <row r="5" customFormat="false" ht="12.75" hidden="false" customHeight="true" outlineLevel="0" collapsed="false">
      <c r="A5" s="1" t="s">
        <v>1914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1913</v>
      </c>
    </row>
    <row r="6" customFormat="false" ht="12.75" hidden="false" customHeight="true" outlineLevel="0" collapsed="false">
      <c r="A6" s="1" t="s">
        <v>1915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1913</v>
      </c>
    </row>
    <row r="7" customFormat="false" ht="12.75" hidden="false" customHeight="true" outlineLevel="0" collapsed="false">
      <c r="A7" s="1" t="s">
        <v>1916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320711.99</v>
      </c>
      <c r="J7" s="18" t="n">
        <f aca="false">SUMIFS(Report!$U:$U,Report!$Z:$Z,"Mercadoria",Report!$AA:$AA,"SIM",Report!$C:$C,"&gt;="&amp;DATE(2026,9,1),Report!$C:$C,"&lt;="&amp;DATE(2026,9,30))</f>
        <v>55631.43</v>
      </c>
      <c r="K7" s="18" t="n">
        <f aca="false">SUMIFS(Report!$U:$U,Report!$Z:$Z,"Mercadoria",Report!$AA:$AA,"SIM",Report!$C:$C,"&gt;="&amp;DATE(2026,10,1),Report!$C:$C,"&lt;="&amp;DATE(2026,10,31))</f>
        <v>4887.14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1264863.28</v>
      </c>
      <c r="AB7" s="1" t="s">
        <v>74</v>
      </c>
      <c r="AC7" s="1" t="s">
        <v>1917</v>
      </c>
    </row>
    <row r="8" customFormat="false" ht="12.75" hidden="false" customHeight="true" outlineLevel="0" collapsed="false">
      <c r="A8" s="1" t="s">
        <v>1918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1913</v>
      </c>
    </row>
    <row r="9" customFormat="false" ht="12.75" hidden="false" customHeight="true" outlineLevel="0" collapsed="false">
      <c r="A9" s="1" t="s">
        <v>1917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1913</v>
      </c>
    </row>
    <row r="10" customFormat="false" ht="12.75" hidden="false" customHeight="true" outlineLevel="0" collapsed="false">
      <c r="A10" s="34" t="s">
        <v>1919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1913</v>
      </c>
    </row>
    <row r="11" customFormat="false" ht="12.75" hidden="false" customHeight="true" outlineLevel="0" collapsed="false">
      <c r="AB11" s="1" t="s">
        <v>1082</v>
      </c>
      <c r="AC11" s="1" t="s">
        <v>1913</v>
      </c>
    </row>
    <row r="12" customFormat="false" ht="12.75" hidden="false" customHeight="true" outlineLevel="0" collapsed="false">
      <c r="A12" s="1" t="s">
        <v>1920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1913</v>
      </c>
    </row>
    <row r="13" customFormat="false" ht="12.75" hidden="false" customHeight="true" outlineLevel="0" collapsed="false">
      <c r="A13" s="1" t="s">
        <v>1921</v>
      </c>
      <c r="AB13" s="1" t="s">
        <v>197</v>
      </c>
      <c r="AC13" s="1" t="s">
        <v>1913</v>
      </c>
    </row>
    <row r="14" customFormat="false" ht="12.75" hidden="false" customHeight="true" outlineLevel="0" collapsed="false">
      <c r="AB14" s="1" t="s">
        <v>141</v>
      </c>
      <c r="AC14" s="1" t="s">
        <v>1914</v>
      </c>
    </row>
    <row r="15" customFormat="false" ht="12.75" hidden="false" customHeight="true" outlineLevel="0" collapsed="false">
      <c r="AB15" s="1" t="s">
        <v>247</v>
      </c>
      <c r="AC15" s="1" t="s">
        <v>1914</v>
      </c>
    </row>
    <row r="16" customFormat="false" ht="12.75" hidden="false" customHeight="true" outlineLevel="0" collapsed="false">
      <c r="AB16" s="1" t="s">
        <v>65</v>
      </c>
      <c r="AC16" s="1" t="s">
        <v>1913</v>
      </c>
    </row>
    <row r="17" customFormat="false" ht="12.75" hidden="false" customHeight="true" outlineLevel="0" collapsed="false">
      <c r="AB17" s="1" t="s">
        <v>728</v>
      </c>
      <c r="AC17" s="1" t="s">
        <v>1917</v>
      </c>
    </row>
    <row r="18" customFormat="false" ht="12.75" hidden="false" customHeight="true" outlineLevel="0" collapsed="false">
      <c r="AB18" s="1" t="s">
        <v>521</v>
      </c>
      <c r="AC18" s="1" t="s">
        <v>1915</v>
      </c>
    </row>
    <row r="19" customFormat="false" ht="12.75" hidden="false" customHeight="true" outlineLevel="0" collapsed="false">
      <c r="AB19" s="1" t="s">
        <v>44</v>
      </c>
      <c r="AC19" s="1" t="s">
        <v>1913</v>
      </c>
    </row>
    <row r="20" customFormat="false" ht="12.75" hidden="false" customHeight="true" outlineLevel="0" collapsed="false">
      <c r="AB20" s="1" t="s">
        <v>383</v>
      </c>
      <c r="AC20" s="1" t="s">
        <v>1913</v>
      </c>
    </row>
    <row r="21" customFormat="false" ht="12.75" hidden="false" customHeight="true" outlineLevel="0" collapsed="false">
      <c r="AB21" s="1" t="s">
        <v>820</v>
      </c>
      <c r="AC21" s="1" t="s">
        <v>1913</v>
      </c>
    </row>
    <row r="22" customFormat="false" ht="12.75" hidden="false" customHeight="true" outlineLevel="0" collapsed="false">
      <c r="AB22" s="1" t="s">
        <v>571</v>
      </c>
      <c r="AC22" s="1" t="s">
        <v>1915</v>
      </c>
    </row>
    <row r="23" customFormat="false" ht="12.75" hidden="false" customHeight="true" outlineLevel="0" collapsed="false">
      <c r="AB23" s="1" t="s">
        <v>1922</v>
      </c>
      <c r="AC23" s="1" t="s">
        <v>1915</v>
      </c>
    </row>
    <row r="24" customFormat="false" ht="12.75" hidden="false" customHeight="true" outlineLevel="0" collapsed="false">
      <c r="AB24" s="1" t="s">
        <v>1382</v>
      </c>
      <c r="AC24" s="1" t="s">
        <v>1913</v>
      </c>
    </row>
    <row r="25" customFormat="false" ht="12.75" hidden="false" customHeight="true" outlineLevel="0" collapsed="false">
      <c r="AB25" s="1" t="s">
        <v>523</v>
      </c>
      <c r="AC25" s="1" t="s">
        <v>1915</v>
      </c>
    </row>
    <row r="26" customFormat="false" ht="12.75" hidden="false" customHeight="true" outlineLevel="0" collapsed="false">
      <c r="AB26" s="1" t="s">
        <v>440</v>
      </c>
      <c r="AC26" s="1" t="s">
        <v>1913</v>
      </c>
    </row>
    <row r="27" customFormat="false" ht="12.75" hidden="false" customHeight="true" outlineLevel="0" collapsed="false">
      <c r="AB27" s="1" t="s">
        <v>145</v>
      </c>
      <c r="AC27" s="1" t="s">
        <v>1913</v>
      </c>
    </row>
    <row r="28" customFormat="false" ht="12.75" hidden="false" customHeight="true" outlineLevel="0" collapsed="false">
      <c r="AB28" s="1" t="s">
        <v>429</v>
      </c>
      <c r="AC28" s="1" t="s">
        <v>1915</v>
      </c>
    </row>
    <row r="29" customFormat="false" ht="12.75" hidden="false" customHeight="true" outlineLevel="0" collapsed="false">
      <c r="AB29" s="1" t="s">
        <v>742</v>
      </c>
      <c r="AC29" s="1" t="s">
        <v>1913</v>
      </c>
    </row>
    <row r="30" customFormat="false" ht="12.75" hidden="false" customHeight="true" outlineLevel="0" collapsed="false">
      <c r="AB30" s="1" t="s">
        <v>87</v>
      </c>
      <c r="AC30" s="1" t="s">
        <v>1913</v>
      </c>
    </row>
    <row r="31" customFormat="false" ht="12.75" hidden="false" customHeight="true" outlineLevel="0" collapsed="false">
      <c r="AB31" s="1" t="s">
        <v>188</v>
      </c>
      <c r="AC31" s="1" t="s">
        <v>1914</v>
      </c>
    </row>
    <row r="32" customFormat="false" ht="12.75" hidden="false" customHeight="true" outlineLevel="0" collapsed="false">
      <c r="AB32" s="1" t="s">
        <v>617</v>
      </c>
      <c r="AC32" s="1" t="s">
        <v>1913</v>
      </c>
    </row>
    <row r="33" customFormat="false" ht="12.75" hidden="false" customHeight="true" outlineLevel="0" collapsed="false">
      <c r="AB33" s="1" t="s">
        <v>666</v>
      </c>
      <c r="AC33" s="1" t="s">
        <v>1913</v>
      </c>
    </row>
    <row r="34" customFormat="false" ht="12.75" hidden="false" customHeight="true" outlineLevel="0" collapsed="false">
      <c r="AB34" s="1" t="s">
        <v>659</v>
      </c>
      <c r="AC34" s="1" t="s">
        <v>1913</v>
      </c>
    </row>
    <row r="35" customFormat="false" ht="12.75" hidden="false" customHeight="true" outlineLevel="0" collapsed="false">
      <c r="AB35" s="1" t="s">
        <v>1277</v>
      </c>
      <c r="AC35" s="1" t="s">
        <v>1913</v>
      </c>
    </row>
    <row r="36" customFormat="false" ht="12.75" hidden="false" customHeight="true" outlineLevel="0" collapsed="false">
      <c r="AB36" s="1" t="s">
        <v>48</v>
      </c>
      <c r="AC36" s="1" t="s">
        <v>1916</v>
      </c>
    </row>
    <row r="37" customFormat="false" ht="12.75" hidden="false" customHeight="true" outlineLevel="0" collapsed="false">
      <c r="AB37" s="1" t="s">
        <v>206</v>
      </c>
      <c r="AC37" s="1" t="s">
        <v>1918</v>
      </c>
    </row>
    <row r="38" customFormat="false" ht="12.75" hidden="false" customHeight="true" outlineLevel="0" collapsed="false">
      <c r="AB38" s="1" t="s">
        <v>1313</v>
      </c>
      <c r="AC38" s="1" t="s">
        <v>1913</v>
      </c>
    </row>
    <row r="39" customFormat="false" ht="12.75" hidden="false" customHeight="true" outlineLevel="0" collapsed="false">
      <c r="AB39" s="1" t="s">
        <v>1534</v>
      </c>
      <c r="AC39" s="1" t="s">
        <v>1914</v>
      </c>
    </row>
    <row r="40" customFormat="false" ht="12.75" hidden="false" customHeight="true" outlineLevel="0" collapsed="false">
      <c r="AB40" s="1" t="s">
        <v>532</v>
      </c>
      <c r="AC40" s="1" t="s">
        <v>1913</v>
      </c>
    </row>
    <row r="41" customFormat="false" ht="12.75" hidden="false" customHeight="true" outlineLevel="0" collapsed="false">
      <c r="AB41" s="1" t="s">
        <v>744</v>
      </c>
      <c r="AC41" s="1" t="s">
        <v>1915</v>
      </c>
    </row>
    <row r="42" customFormat="false" ht="12.75" hidden="false" customHeight="true" outlineLevel="0" collapsed="false">
      <c r="AB42" s="1" t="s">
        <v>1215</v>
      </c>
      <c r="AC42" s="1" t="s">
        <v>1917</v>
      </c>
    </row>
    <row r="43" customFormat="false" ht="12.75" hidden="false" customHeight="true" outlineLevel="0" collapsed="false">
      <c r="AB43" s="1" t="s">
        <v>232</v>
      </c>
      <c r="AC43" s="1" t="s">
        <v>1917</v>
      </c>
    </row>
    <row r="44" customFormat="false" ht="12.75" hidden="false" customHeight="true" outlineLevel="0" collapsed="false">
      <c r="AB44" s="1" t="s">
        <v>218</v>
      </c>
      <c r="AC44" s="1" t="s">
        <v>1913</v>
      </c>
    </row>
    <row r="45" customFormat="false" ht="12.75" hidden="false" customHeight="true" outlineLevel="0" collapsed="false">
      <c r="AB45" s="1" t="s">
        <v>40</v>
      </c>
      <c r="AC45" s="1" t="s">
        <v>1913</v>
      </c>
    </row>
    <row r="46" customFormat="false" ht="12.75" hidden="false" customHeight="true" outlineLevel="0" collapsed="false">
      <c r="AB46" s="1" t="s">
        <v>568</v>
      </c>
      <c r="AC46" s="1" t="s">
        <v>1915</v>
      </c>
    </row>
    <row r="47" customFormat="false" ht="12.75" hidden="false" customHeight="true" outlineLevel="0" collapsed="false">
      <c r="AB47" s="1" t="s">
        <v>111</v>
      </c>
      <c r="AC47" s="1" t="s">
        <v>1913</v>
      </c>
    </row>
    <row r="48" customFormat="false" ht="12.75" hidden="false" customHeight="true" outlineLevel="0" collapsed="false">
      <c r="AB48" s="1" t="s">
        <v>488</v>
      </c>
      <c r="AC48" s="1" t="s">
        <v>1913</v>
      </c>
    </row>
    <row r="49" customFormat="false" ht="12.75" hidden="false" customHeight="true" outlineLevel="0" collapsed="false">
      <c r="AB49" s="1" t="s">
        <v>445</v>
      </c>
      <c r="AC49" s="1" t="s">
        <v>1913</v>
      </c>
    </row>
    <row r="50" customFormat="false" ht="12.75" hidden="false" customHeight="true" outlineLevel="0" collapsed="false">
      <c r="AB50" s="1" t="s">
        <v>1097</v>
      </c>
      <c r="AC50" s="1" t="s">
        <v>1913</v>
      </c>
    </row>
    <row r="51" customFormat="false" ht="12.75" hidden="false" customHeight="true" outlineLevel="0" collapsed="false">
      <c r="AB51" s="1" t="s">
        <v>104</v>
      </c>
      <c r="AC51" s="1" t="s">
        <v>1917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1923</v>
      </c>
      <c r="B1" s="25" t="s">
        <v>1908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1882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3127.45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14150.39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1922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320711.99</v>
      </c>
      <c r="K35" s="18" t="n">
        <f aca="false">SUMIFS(Report!$U:$U,Report!$T:$T,$A35,Report!$C:$C,"&gt;="&amp;DATE(2026,9,1),Report!$C:$C,"&lt;="&amp;DATE(2026,9,30))</f>
        <v>55631.43</v>
      </c>
      <c r="L35" s="18" t="n">
        <f aca="false">SUMIFS(Report!$U:$U,Report!$T:$T,$A35,Report!$C:$C,"&gt;="&amp;DATE(2026,10,1),Report!$C:$C,"&lt;="&amp;DATE(2026,10,31))</f>
        <v>4887.14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1264863.28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1907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429401.93</v>
      </c>
      <c r="K50" s="30" t="n">
        <f aca="false">SUM(K2:K49)</f>
        <v>98673.9</v>
      </c>
      <c r="L50" s="30" t="n">
        <f aca="false">SUM(L2:L49)</f>
        <v>45841.36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1924</v>
      </c>
      <c r="B1" s="37" t="n">
        <f aca="false">SUMIFS(Report!$U:$U,Report!$T:$T,"&lt;&gt;"&amp;"MERCADORIAS P/REVENDA",Report!$AA:$AA,"SIM",Report!$C:$C,"&gt;="&amp;DATE(2026,1,1),Report!$C:$C,"&lt;="&amp;DATE(2027,12,31))</f>
        <v>463530.12</v>
      </c>
      <c r="C1" s="37" t="n">
        <f aca="false">SUMIFS(Report!$U:$U,Report!$T:$T,"MERCADORIAS P/REVENDA",Report!$AA:$AA,"SIM",Report!$C:$C,"&gt;="&amp;DATE(2026,1,1),Report!$C:$C,"&lt;="&amp;DATE(2027,12,31))</f>
        <v>1264863.28</v>
      </c>
      <c r="D1" s="38" t="s">
        <v>1925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1728393.4</v>
      </c>
      <c r="I1" s="18"/>
    </row>
    <row r="2" customFormat="false" ht="12.75" hidden="false" customHeight="true" outlineLevel="0" collapsed="false">
      <c r="A2" s="24" t="s">
        <v>1926</v>
      </c>
      <c r="B2" s="26" t="s">
        <v>1880</v>
      </c>
      <c r="C2" s="26" t="s">
        <v>1881</v>
      </c>
      <c r="D2" s="38" t="s">
        <v>1927</v>
      </c>
      <c r="E2" s="37" t="n">
        <f aca="false">F1+E1</f>
        <v>2203393.4</v>
      </c>
      <c r="F2" s="26" t="s">
        <v>1928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12176.2</v>
      </c>
      <c r="F267" s="18" t="n">
        <f aca="false">B267+C267</f>
        <v>28787.11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20003.48</v>
      </c>
      <c r="F268" s="18" t="n">
        <f aca="false">B268+C268</f>
        <v>20003.48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77538.52</v>
      </c>
      <c r="D272" s="34"/>
      <c r="E272" s="34"/>
      <c r="F272" s="30" t="n">
        <f aca="false">B272+C272</f>
        <v>110016.87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18230.53</v>
      </c>
      <c r="F273" s="18" t="n">
        <f aca="false">B273+C273</f>
        <v>19784.44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11371.96</v>
      </c>
      <c r="F275" s="18" t="n">
        <f aca="false">B275+C275</f>
        <v>11371.96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7101.36</v>
      </c>
      <c r="F276" s="18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53927.43</v>
      </c>
      <c r="D280" s="34"/>
      <c r="E280" s="34"/>
      <c r="F280" s="30" t="n">
        <f aca="false">B280+C280</f>
        <v>58749.71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8593.16</v>
      </c>
      <c r="F282" s="18" t="n">
        <f aca="false">B282+C282</f>
        <v>18767.74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5024.7</v>
      </c>
      <c r="F283" s="18" t="n">
        <f aca="false">B283+C283</f>
        <v>5024.7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3068.72</v>
      </c>
      <c r="F284" s="18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11880.26</v>
      </c>
      <c r="C288" s="30" t="n">
        <f aca="false">SUM(C281:C287)</f>
        <v>28805.17</v>
      </c>
      <c r="D288" s="34"/>
      <c r="E288" s="34"/>
      <c r="F288" s="30" t="n">
        <f aca="false">B288+C288</f>
        <v>40685.43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7098.87</v>
      </c>
      <c r="F289" s="18" t="n">
        <f aca="false">B289+C289</f>
        <v>7098.87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3135.02</v>
      </c>
      <c r="F290" s="18" t="n">
        <f aca="false">B290+C290</f>
        <v>3135.02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2395.56</v>
      </c>
      <c r="F291" s="18" t="n">
        <f aca="false">B291+C291</f>
        <v>10455.48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1171.78</v>
      </c>
      <c r="F292" s="18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8059.92</v>
      </c>
      <c r="C296" s="30" t="n">
        <f aca="false">SUM(C289:C295)</f>
        <v>17100.69</v>
      </c>
      <c r="D296" s="34"/>
      <c r="E296" s="34"/>
      <c r="F296" s="30" t="n">
        <f aca="false">B296+C296</f>
        <v>25160.61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1766.4</v>
      </c>
      <c r="F297" s="18" t="n">
        <f aca="false">B297+C297</f>
        <v>2169.25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545.11</v>
      </c>
      <c r="F298" s="18" t="n">
        <f aca="false">B298+C298</f>
        <v>623.11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0</v>
      </c>
      <c r="F299" s="18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625.75</v>
      </c>
      <c r="F300" s="18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11341.11</v>
      </c>
      <c r="C304" s="30" t="n">
        <f aca="false">SUM(C297:C303)</f>
        <v>2937.26</v>
      </c>
      <c r="D304" s="34"/>
      <c r="E304" s="34"/>
      <c r="F304" s="30" t="n">
        <f aca="false">B304+C304</f>
        <v>14278.37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842.29</v>
      </c>
      <c r="D320" s="34"/>
      <c r="E320" s="34"/>
      <c r="F320" s="30" t="n">
        <f aca="false">B320+C320</f>
        <v>12117.19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1929</v>
      </c>
      <c r="B1" s="43"/>
      <c r="C1" s="43"/>
      <c r="D1" s="43"/>
    </row>
    <row r="2" customFormat="false" ht="12.75" hidden="false" customHeight="true" outlineLevel="0" collapsed="false">
      <c r="A2" s="44" t="s">
        <v>1930</v>
      </c>
      <c r="B2" s="44"/>
      <c r="C2" s="44"/>
      <c r="D2" s="44"/>
    </row>
    <row r="4" customFormat="false" ht="24.75" hidden="false" customHeight="true" outlineLevel="0" collapsed="false">
      <c r="A4" s="45" t="s">
        <v>1879</v>
      </c>
      <c r="B4" s="45" t="s">
        <v>1931</v>
      </c>
      <c r="C4" s="45" t="s">
        <v>1932</v>
      </c>
    </row>
    <row r="5" customFormat="false" ht="12.75" hidden="false" customHeight="true" outlineLevel="0" collapsed="false">
      <c r="A5" s="46" t="s">
        <v>1883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1884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1885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1886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1887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1888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1889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1890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1891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1892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1893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1894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1933</v>
      </c>
      <c r="B18" s="49"/>
      <c r="C18" s="50" t="n">
        <v>46254</v>
      </c>
    </row>
    <row r="20" customFormat="false" ht="12.75" hidden="false" customHeight="true" outlineLevel="0" collapsed="false">
      <c r="A20" s="44" t="s">
        <v>1934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1935</v>
      </c>
    </row>
    <row r="3" customFormat="false" ht="12.75" hidden="false" customHeight="true" outlineLevel="0" collapsed="false">
      <c r="A3" s="27" t="s">
        <v>1936</v>
      </c>
      <c r="E3" s="52" t="n">
        <v>0.7</v>
      </c>
      <c r="F3" s="1" t="s">
        <v>1937</v>
      </c>
    </row>
    <row r="6" customFormat="false" ht="12.75" hidden="false" customHeight="true" outlineLevel="0" collapsed="false">
      <c r="A6" s="53" t="s">
        <v>1879</v>
      </c>
      <c r="B6" s="32" t="s">
        <v>1938</v>
      </c>
      <c r="C6" s="32" t="s">
        <v>1939</v>
      </c>
      <c r="D6" s="32" t="s">
        <v>1940</v>
      </c>
      <c r="E6" s="32" t="s">
        <v>1941</v>
      </c>
      <c r="F6" s="32" t="s">
        <v>1942</v>
      </c>
    </row>
    <row r="7" customFormat="false" ht="12.75" hidden="false" customHeight="true" outlineLevel="0" collapsed="false">
      <c r="A7" s="27" t="s">
        <v>1883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18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1884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18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1885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18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1886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18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1887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18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1888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18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1889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18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1890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320711.99</v>
      </c>
      <c r="E14" s="18" t="n">
        <f aca="false">IF(AND(ISNUMBER(C14),D14&gt;0),D14-C14,"")</f>
        <v>-39378.818</v>
      </c>
      <c r="F14" s="18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1891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55631.43</v>
      </c>
      <c r="E15" s="18" t="n">
        <f aca="false">IF(AND(ISNUMBER(C15),D15&gt;0),D15-C15,"")</f>
        <v>-164059.293</v>
      </c>
      <c r="F15" s="18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1892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4887.14</v>
      </c>
      <c r="E16" s="18" t="n">
        <f aca="false">IF(AND(ISNUMBER(C16),D16&gt;0),D16-C16,"")</f>
        <v>4887.14</v>
      </c>
      <c r="F16" s="18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1893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1894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1907</v>
      </c>
      <c r="B19" s="35" t="n">
        <f aca="false">SUM(B7:B18)</f>
        <v>4088898.92</v>
      </c>
      <c r="C19" s="35" t="n">
        <f aca="false">SUM(C7:C18)</f>
        <v>2862229.244</v>
      </c>
      <c r="D19" s="35" t="n">
        <f aca="false">SUM(D7:D18)</f>
        <v>1264863.28</v>
      </c>
      <c r="E19" s="35" t="n">
        <f aca="false">IF(COUNT(E7:E18)=0,"sem dados comparaveis ainda",SUM(E7:E18))</f>
        <v>-114748.107</v>
      </c>
      <c r="F19" s="35" t="n">
        <f aca="false">SUM(F7:F18)</f>
        <v>1087937.08</v>
      </c>
    </row>
    <row r="21" customFormat="false" ht="12.75" hidden="false" customHeight="true" outlineLevel="0" collapsed="false">
      <c r="A21" s="27" t="s">
        <v>1943</v>
      </c>
    </row>
    <row r="23" customFormat="false" ht="12.75" hidden="false" customHeight="true" outlineLevel="0" collapsed="false">
      <c r="A23" s="27" t="s">
        <v>1944</v>
      </c>
    </row>
    <row r="25" customFormat="false" ht="12.75" hidden="false" customHeight="true" outlineLevel="0" collapsed="false">
      <c r="A25" s="27" t="s">
        <v>1945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1946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54" width="11.89"/>
    <col collapsed="false" customWidth="true" hidden="false" outlineLevel="0" max="14" min="14" style="1" width="16.33"/>
    <col collapsed="false" customWidth="true" hidden="false" outlineLevel="0" max="15" min="15" style="54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1947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  <c r="G1" s="1" t="s">
        <v>1953</v>
      </c>
      <c r="H1" s="1" t="s">
        <v>1954</v>
      </c>
      <c r="I1" s="1" t="s">
        <v>1955</v>
      </c>
      <c r="J1" s="1" t="s">
        <v>1956</v>
      </c>
      <c r="K1" s="54" t="s">
        <v>1957</v>
      </c>
      <c r="N1" s="55" t="s">
        <v>1926</v>
      </c>
      <c r="O1" s="56" t="s">
        <v>1958</v>
      </c>
      <c r="P1" s="55" t="s">
        <v>1959</v>
      </c>
      <c r="Q1" s="55" t="s">
        <v>1960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1961</v>
      </c>
      <c r="D2" s="1" t="s">
        <v>1962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1963</v>
      </c>
      <c r="K2" s="54" t="n">
        <v>1454.09</v>
      </c>
      <c r="N2" s="16" t="n">
        <v>46174</v>
      </c>
      <c r="O2" s="54" t="n">
        <f aca="false">SUMIFS($K:$K,$E:$E,N2)</f>
        <v>5554.44</v>
      </c>
      <c r="P2" s="1" t="n">
        <v>5</v>
      </c>
      <c r="Q2" s="57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1964</v>
      </c>
      <c r="D3" s="1" t="s">
        <v>1962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1963</v>
      </c>
      <c r="K3" s="54" t="n">
        <v>3078.35</v>
      </c>
      <c r="N3" s="16" t="n">
        <v>46175</v>
      </c>
      <c r="O3" s="54" t="n">
        <f aca="false">SUMIFS($K:$K,$E:$E,N3)</f>
        <v>3394</v>
      </c>
      <c r="P3" s="1" t="n">
        <v>6</v>
      </c>
      <c r="Q3" s="57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1965</v>
      </c>
      <c r="D4" s="1" t="s">
        <v>1966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1963</v>
      </c>
      <c r="K4" s="54" t="n">
        <v>131</v>
      </c>
      <c r="N4" s="16" t="n">
        <v>46176</v>
      </c>
      <c r="O4" s="54" t="n">
        <f aca="false">SUMIFS($K:$K,$E:$E,N4)</f>
        <v>33129.79</v>
      </c>
      <c r="P4" s="1" t="n">
        <v>7</v>
      </c>
      <c r="Q4" s="57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1965</v>
      </c>
      <c r="D5" s="1" t="s">
        <v>1966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1963</v>
      </c>
      <c r="K5" s="54" t="n">
        <v>120</v>
      </c>
      <c r="N5" s="16" t="n">
        <v>46177</v>
      </c>
      <c r="O5" s="54" t="n">
        <f aca="false">SUMIFS($K:$K,$E:$E,N5)</f>
        <v>0</v>
      </c>
      <c r="P5" s="1" t="n">
        <v>8</v>
      </c>
      <c r="Q5" s="57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1965</v>
      </c>
      <c r="D6" s="1" t="s">
        <v>1966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1963</v>
      </c>
      <c r="K6" s="54" t="n">
        <v>260</v>
      </c>
      <c r="N6" s="16" t="n">
        <v>46178</v>
      </c>
      <c r="O6" s="54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1965</v>
      </c>
      <c r="D7" s="1" t="s">
        <v>1966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1963</v>
      </c>
      <c r="K7" s="54" t="n">
        <v>131</v>
      </c>
      <c r="N7" s="16" t="n">
        <v>46179</v>
      </c>
      <c r="O7" s="54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1965</v>
      </c>
      <c r="D8" s="1" t="s">
        <v>1966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1963</v>
      </c>
      <c r="K8" s="54" t="n">
        <v>120</v>
      </c>
      <c r="N8" s="16" t="n">
        <v>46180</v>
      </c>
      <c r="O8" s="54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1965</v>
      </c>
      <c r="D9" s="1" t="s">
        <v>1966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1963</v>
      </c>
      <c r="K9" s="54" t="n">
        <v>260</v>
      </c>
      <c r="N9" s="16" t="n">
        <v>46181</v>
      </c>
      <c r="O9" s="54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1965</v>
      </c>
      <c r="D10" s="1" t="s">
        <v>1967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1963</v>
      </c>
      <c r="K10" s="54" t="n">
        <v>270</v>
      </c>
      <c r="N10" s="16" t="n">
        <v>46182</v>
      </c>
      <c r="O10" s="54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1965</v>
      </c>
      <c r="D11" s="1" t="s">
        <v>1968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1963</v>
      </c>
      <c r="K11" s="54" t="n">
        <v>140</v>
      </c>
      <c r="N11" s="16" t="n">
        <v>46183</v>
      </c>
      <c r="O11" s="54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1965</v>
      </c>
      <c r="D12" s="1" t="s">
        <v>1966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1963</v>
      </c>
      <c r="K12" s="54" t="n">
        <v>205</v>
      </c>
      <c r="N12" s="16" t="n">
        <v>46184</v>
      </c>
      <c r="O12" s="54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1965</v>
      </c>
      <c r="D13" s="1" t="s">
        <v>1966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1963</v>
      </c>
      <c r="K13" s="54" t="n">
        <v>1287</v>
      </c>
      <c r="N13" s="16" t="n">
        <v>46185</v>
      </c>
      <c r="O13" s="54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1965</v>
      </c>
      <c r="D14" s="1" t="s">
        <v>1966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1963</v>
      </c>
      <c r="K14" s="54" t="n">
        <v>205</v>
      </c>
      <c r="N14" s="16" t="n">
        <v>46186</v>
      </c>
      <c r="O14" s="54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1965</v>
      </c>
      <c r="D15" s="1" t="s">
        <v>1966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1963</v>
      </c>
      <c r="K15" s="54" t="n">
        <v>1287</v>
      </c>
      <c r="N15" s="16" t="n">
        <v>46187</v>
      </c>
      <c r="O15" s="54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1965</v>
      </c>
      <c r="D16" s="1" t="s">
        <v>1969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1963</v>
      </c>
      <c r="K16" s="54" t="n">
        <v>1303.45</v>
      </c>
      <c r="N16" s="16" t="n">
        <v>46188</v>
      </c>
      <c r="O16" s="54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1970</v>
      </c>
      <c r="D17" s="1" t="s">
        <v>1971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1963</v>
      </c>
      <c r="K17" s="54" t="n">
        <v>680.29</v>
      </c>
      <c r="N17" s="16" t="n">
        <v>46189</v>
      </c>
      <c r="O17" s="54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1965</v>
      </c>
      <c r="D18" s="1" t="s">
        <v>1972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1963</v>
      </c>
      <c r="K18" s="54" t="n">
        <v>5604</v>
      </c>
      <c r="N18" s="16" t="n">
        <v>46190</v>
      </c>
      <c r="O18" s="54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1965</v>
      </c>
      <c r="D19" s="1" t="s">
        <v>1972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1963</v>
      </c>
      <c r="K19" s="54" t="n">
        <v>4151.7</v>
      </c>
      <c r="N19" s="16" t="n">
        <v>46191</v>
      </c>
      <c r="O19" s="54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1965</v>
      </c>
      <c r="D20" s="1" t="s">
        <v>1972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1963</v>
      </c>
      <c r="K20" s="54" t="n">
        <v>6255.2</v>
      </c>
      <c r="N20" s="16" t="n">
        <v>46192</v>
      </c>
      <c r="O20" s="54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1965</v>
      </c>
      <c r="D21" s="1" t="s">
        <v>1973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1963</v>
      </c>
      <c r="K21" s="54" t="n">
        <v>2734.13</v>
      </c>
      <c r="N21" s="16" t="n">
        <v>46193</v>
      </c>
      <c r="O21" s="54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1974</v>
      </c>
      <c r="D22" s="1" t="s">
        <v>1975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1963</v>
      </c>
      <c r="K22" s="54" t="n">
        <v>1203.14</v>
      </c>
      <c r="N22" s="16" t="n">
        <v>46194</v>
      </c>
      <c r="O22" s="54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1970</v>
      </c>
      <c r="D23" s="1" t="s">
        <v>1976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1963</v>
      </c>
      <c r="K23" s="54" t="n">
        <v>445</v>
      </c>
      <c r="N23" s="16" t="n">
        <v>46195</v>
      </c>
      <c r="O23" s="54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1965</v>
      </c>
      <c r="D24" s="1" t="s">
        <v>1977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1963</v>
      </c>
      <c r="K24" s="54" t="n">
        <v>4474.35</v>
      </c>
      <c r="N24" s="16" t="n">
        <v>46196</v>
      </c>
      <c r="O24" s="54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1970</v>
      </c>
      <c r="D25" s="1" t="s">
        <v>1978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1963</v>
      </c>
      <c r="K25" s="54" t="n">
        <v>180</v>
      </c>
      <c r="N25" s="16" t="n">
        <v>46197</v>
      </c>
      <c r="O25" s="54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1965</v>
      </c>
      <c r="D26" s="1" t="s">
        <v>1979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1963</v>
      </c>
      <c r="K26" s="54" t="n">
        <v>1190.5</v>
      </c>
      <c r="N26" s="16" t="n">
        <v>46198</v>
      </c>
      <c r="O26" s="54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1965</v>
      </c>
      <c r="D27" s="1" t="s">
        <v>1980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1963</v>
      </c>
      <c r="K27" s="54" t="n">
        <v>2228.8</v>
      </c>
      <c r="N27" s="16" t="n">
        <v>46199</v>
      </c>
      <c r="O27" s="54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1965</v>
      </c>
      <c r="D28" s="1" t="s">
        <v>1966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1963</v>
      </c>
      <c r="K28" s="54" t="n">
        <v>135</v>
      </c>
      <c r="N28" s="16" t="n">
        <v>46200</v>
      </c>
      <c r="O28" s="54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1965</v>
      </c>
      <c r="D29" s="1" t="s">
        <v>1966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1963</v>
      </c>
      <c r="K29" s="54" t="n">
        <v>135</v>
      </c>
      <c r="N29" s="16" t="n">
        <v>46201</v>
      </c>
      <c r="O29" s="54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1974</v>
      </c>
      <c r="D30" s="1" t="s">
        <v>1981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1963</v>
      </c>
      <c r="K30" s="54" t="n">
        <v>916.62</v>
      </c>
      <c r="N30" s="16" t="n">
        <v>46202</v>
      </c>
      <c r="O30" s="54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1965</v>
      </c>
      <c r="D31" s="1" t="s">
        <v>1982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1963</v>
      </c>
      <c r="K31" s="54" t="n">
        <v>302</v>
      </c>
      <c r="N31" s="16" t="n">
        <v>46203</v>
      </c>
      <c r="O31" s="54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1965</v>
      </c>
      <c r="D32" s="1" t="s">
        <v>1983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1963</v>
      </c>
      <c r="K32" s="54" t="n">
        <v>510.86</v>
      </c>
      <c r="N32" s="16" t="n">
        <v>46204</v>
      </c>
      <c r="O32" s="54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1965</v>
      </c>
      <c r="D33" s="1" t="s">
        <v>1983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1963</v>
      </c>
      <c r="K33" s="54" t="n">
        <v>679.75</v>
      </c>
      <c r="N33" s="16" t="n">
        <v>46205</v>
      </c>
      <c r="O33" s="54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1965</v>
      </c>
      <c r="D34" s="1" t="s">
        <v>1984</v>
      </c>
      <c r="E34" s="16" t="n">
        <v>46178</v>
      </c>
      <c r="F34" s="16" t="n">
        <v>46178</v>
      </c>
      <c r="G34" s="1" t="s">
        <v>1985</v>
      </c>
      <c r="H34" s="1" t="n">
        <v>1210771</v>
      </c>
      <c r="I34" s="1" t="n">
        <v>1</v>
      </c>
      <c r="J34" s="1" t="s">
        <v>1963</v>
      </c>
      <c r="K34" s="54" t="n">
        <v>768</v>
      </c>
      <c r="N34" s="16" t="n">
        <v>46206</v>
      </c>
      <c r="O34" s="54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1970</v>
      </c>
      <c r="D35" s="1" t="s">
        <v>1986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1963</v>
      </c>
      <c r="K35" s="54" t="n">
        <v>196.02</v>
      </c>
      <c r="N35" s="16" t="n">
        <v>46207</v>
      </c>
      <c r="O35" s="54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1965</v>
      </c>
      <c r="D36" s="1" t="s">
        <v>1987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1963</v>
      </c>
      <c r="K36" s="54" t="n">
        <v>590.66</v>
      </c>
      <c r="N36" s="16" t="n">
        <v>46208</v>
      </c>
      <c r="O36" s="54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1965</v>
      </c>
      <c r="D37" s="1" t="s">
        <v>1972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1963</v>
      </c>
      <c r="K37" s="54" t="n">
        <v>3170</v>
      </c>
      <c r="N37" s="16" t="n">
        <v>46209</v>
      </c>
      <c r="O37" s="54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1965</v>
      </c>
      <c r="D38" s="1" t="s">
        <v>1972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1963</v>
      </c>
      <c r="K38" s="54" t="n">
        <v>1348.2</v>
      </c>
      <c r="N38" s="16" t="n">
        <v>46210</v>
      </c>
      <c r="O38" s="54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1965</v>
      </c>
      <c r="D39" s="1" t="s">
        <v>1972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1963</v>
      </c>
      <c r="K39" s="54" t="n">
        <v>2872.8</v>
      </c>
      <c r="N39" s="16" t="n">
        <v>46211</v>
      </c>
      <c r="O39" s="54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1965</v>
      </c>
      <c r="D40" s="1" t="s">
        <v>1988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1963</v>
      </c>
      <c r="K40" s="54" t="n">
        <v>2136.33</v>
      </c>
      <c r="N40" s="16" t="n">
        <v>46212</v>
      </c>
      <c r="O40" s="54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1965</v>
      </c>
      <c r="D41" s="1" t="s">
        <v>1989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1963</v>
      </c>
      <c r="K41" s="54" t="n">
        <v>333</v>
      </c>
      <c r="N41" s="16" t="n">
        <v>46213</v>
      </c>
      <c r="O41" s="54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1965</v>
      </c>
      <c r="D42" s="1" t="s">
        <v>1990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1963</v>
      </c>
      <c r="K42" s="54" t="n">
        <v>2267.72</v>
      </c>
      <c r="N42" s="16" t="n">
        <v>46214</v>
      </c>
      <c r="O42" s="54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1965</v>
      </c>
      <c r="D43" s="1" t="s">
        <v>1980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1963</v>
      </c>
      <c r="K43" s="54" t="n">
        <v>287.05</v>
      </c>
      <c r="N43" s="16" t="n">
        <v>46215</v>
      </c>
      <c r="O43" s="54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1965</v>
      </c>
      <c r="D44" s="1" t="s">
        <v>1966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1963</v>
      </c>
      <c r="K44" s="54" t="n">
        <v>140</v>
      </c>
      <c r="N44" s="16" t="n">
        <v>46216</v>
      </c>
      <c r="O44" s="54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1965</v>
      </c>
      <c r="D45" s="1" t="s">
        <v>1966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1963</v>
      </c>
      <c r="K45" s="54" t="n">
        <v>260</v>
      </c>
      <c r="N45" s="16" t="n">
        <v>46217</v>
      </c>
      <c r="O45" s="54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1965</v>
      </c>
      <c r="D46" s="1" t="s">
        <v>1966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1963</v>
      </c>
      <c r="K46" s="54" t="n">
        <v>165</v>
      </c>
      <c r="N46" s="16" t="n">
        <v>46218</v>
      </c>
      <c r="O46" s="54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1965</v>
      </c>
      <c r="D47" s="1" t="s">
        <v>1966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1963</v>
      </c>
      <c r="K47" s="54" t="n">
        <v>120</v>
      </c>
      <c r="N47" s="16" t="n">
        <v>46219</v>
      </c>
      <c r="O47" s="54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1965</v>
      </c>
      <c r="D48" s="1" t="s">
        <v>1966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1963</v>
      </c>
      <c r="K48" s="54" t="n">
        <v>120</v>
      </c>
      <c r="N48" s="16" t="n">
        <v>46220</v>
      </c>
      <c r="O48" s="54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1965</v>
      </c>
      <c r="D49" s="1" t="s">
        <v>1966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1963</v>
      </c>
      <c r="K49" s="54" t="n">
        <v>1772</v>
      </c>
      <c r="N49" s="16" t="n">
        <v>46221</v>
      </c>
      <c r="O49" s="54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1965</v>
      </c>
      <c r="D50" s="1" t="s">
        <v>1966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1963</v>
      </c>
      <c r="K50" s="54" t="n">
        <v>140</v>
      </c>
      <c r="N50" s="16" t="n">
        <v>46222</v>
      </c>
      <c r="O50" s="54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1965</v>
      </c>
      <c r="D51" s="1" t="s">
        <v>1966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1963</v>
      </c>
      <c r="K51" s="54" t="n">
        <v>260</v>
      </c>
      <c r="N51" s="16" t="n">
        <v>46223</v>
      </c>
      <c r="O51" s="54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1965</v>
      </c>
      <c r="D52" s="1" t="s">
        <v>1966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1963</v>
      </c>
      <c r="K52" s="54" t="n">
        <v>165</v>
      </c>
      <c r="N52" s="16" t="n">
        <v>46224</v>
      </c>
      <c r="O52" s="54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1965</v>
      </c>
      <c r="D53" s="1" t="s">
        <v>1966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1963</v>
      </c>
      <c r="K53" s="54" t="n">
        <v>120</v>
      </c>
      <c r="N53" s="16" t="n">
        <v>46225</v>
      </c>
      <c r="O53" s="54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1965</v>
      </c>
      <c r="D54" s="1" t="s">
        <v>1966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1963</v>
      </c>
      <c r="K54" s="54" t="n">
        <v>120</v>
      </c>
      <c r="N54" s="16" t="n">
        <v>46226</v>
      </c>
      <c r="O54" s="54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1965</v>
      </c>
      <c r="D55" s="1" t="s">
        <v>1966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1963</v>
      </c>
      <c r="K55" s="54" t="n">
        <v>1772</v>
      </c>
      <c r="N55" s="16" t="n">
        <v>46227</v>
      </c>
      <c r="O55" s="54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1965</v>
      </c>
      <c r="D56" s="1" t="s">
        <v>1991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1963</v>
      </c>
      <c r="K56" s="54" t="n">
        <v>694</v>
      </c>
      <c r="N56" s="16" t="n">
        <v>46228</v>
      </c>
      <c r="O56" s="54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1965</v>
      </c>
      <c r="D57" s="1" t="s">
        <v>1992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1963</v>
      </c>
      <c r="K57" s="54" t="n">
        <v>228</v>
      </c>
      <c r="N57" s="16" t="n">
        <v>46229</v>
      </c>
      <c r="O57" s="54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1965</v>
      </c>
      <c r="D58" s="1" t="s">
        <v>1967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1963</v>
      </c>
      <c r="K58" s="54" t="n">
        <v>270</v>
      </c>
      <c r="N58" s="16" t="n">
        <v>46230</v>
      </c>
      <c r="O58" s="54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1993</v>
      </c>
      <c r="D59" s="1" t="s">
        <v>1994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1963</v>
      </c>
      <c r="K59" s="54" t="n">
        <v>3845.86</v>
      </c>
      <c r="N59" s="16" t="n">
        <v>46231</v>
      </c>
      <c r="O59" s="54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1970</v>
      </c>
      <c r="D60" s="1" t="s">
        <v>1995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1963</v>
      </c>
      <c r="K60" s="54" t="n">
        <v>1387.2</v>
      </c>
      <c r="N60" s="16" t="n">
        <v>46232</v>
      </c>
      <c r="O60" s="54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1996</v>
      </c>
      <c r="D61" s="1" t="s">
        <v>1997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1963</v>
      </c>
      <c r="K61" s="54" t="n">
        <v>1860</v>
      </c>
      <c r="N61" s="16" t="n">
        <v>46233</v>
      </c>
      <c r="O61" s="54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1965</v>
      </c>
      <c r="D62" s="1" t="s">
        <v>1998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1963</v>
      </c>
      <c r="K62" s="54" t="n">
        <v>1050</v>
      </c>
      <c r="N62" s="16" t="n">
        <v>46234</v>
      </c>
      <c r="O62" s="54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1965</v>
      </c>
      <c r="D63" s="1" t="s">
        <v>1999</v>
      </c>
      <c r="E63" s="16" t="n">
        <v>46179</v>
      </c>
      <c r="F63" s="16" t="n">
        <v>46177</v>
      </c>
      <c r="G63" s="1" t="s">
        <v>2000</v>
      </c>
      <c r="H63" s="1" t="n">
        <v>1210603</v>
      </c>
      <c r="I63" s="1" t="n">
        <v>1</v>
      </c>
      <c r="J63" s="1" t="s">
        <v>1963</v>
      </c>
      <c r="K63" s="54" t="n">
        <v>707.65</v>
      </c>
      <c r="N63" s="16" t="n">
        <v>46235</v>
      </c>
      <c r="O63" s="54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1965</v>
      </c>
      <c r="D64" s="1" t="s">
        <v>1966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1963</v>
      </c>
      <c r="K64" s="54" t="n">
        <v>311</v>
      </c>
      <c r="N64" s="16" t="n">
        <v>46236</v>
      </c>
      <c r="O64" s="54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1965</v>
      </c>
      <c r="D65" s="1" t="s">
        <v>1966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1963</v>
      </c>
      <c r="K65" s="54" t="n">
        <v>240</v>
      </c>
      <c r="N65" s="16" t="n">
        <v>46237</v>
      </c>
      <c r="O65" s="54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1965</v>
      </c>
      <c r="D66" s="1" t="s">
        <v>1966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1963</v>
      </c>
      <c r="K66" s="54" t="n">
        <v>240</v>
      </c>
      <c r="N66" s="16" t="n">
        <v>46238</v>
      </c>
      <c r="O66" s="54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1965</v>
      </c>
      <c r="D67" s="1" t="s">
        <v>1966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1963</v>
      </c>
      <c r="K67" s="54" t="n">
        <v>311</v>
      </c>
      <c r="N67" s="16" t="n">
        <v>46239</v>
      </c>
      <c r="O67" s="54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1965</v>
      </c>
      <c r="D68" s="1" t="s">
        <v>1982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1963</v>
      </c>
      <c r="K68" s="54" t="n">
        <v>300.5</v>
      </c>
      <c r="N68" s="16" t="n">
        <v>46240</v>
      </c>
      <c r="O68" s="54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1965</v>
      </c>
      <c r="D69" s="1" t="s">
        <v>2001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1963</v>
      </c>
      <c r="K69" s="54" t="n">
        <v>240</v>
      </c>
      <c r="N69" s="16" t="n">
        <v>46241</v>
      </c>
      <c r="O69" s="54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1965</v>
      </c>
      <c r="D70" s="1" t="s">
        <v>2002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1963</v>
      </c>
      <c r="K70" s="54" t="n">
        <v>863.1</v>
      </c>
      <c r="N70" s="16" t="n">
        <v>46242</v>
      </c>
      <c r="O70" s="54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1965</v>
      </c>
      <c r="D71" s="1" t="s">
        <v>1972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1963</v>
      </c>
      <c r="K71" s="54" t="n">
        <v>8627.3</v>
      </c>
      <c r="N71" s="16" t="n">
        <v>46243</v>
      </c>
      <c r="O71" s="54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1965</v>
      </c>
      <c r="D72" s="1" t="s">
        <v>1968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1963</v>
      </c>
      <c r="K72" s="54" t="n">
        <v>450</v>
      </c>
      <c r="N72" s="16" t="n">
        <v>46244</v>
      </c>
      <c r="O72" s="54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1965</v>
      </c>
      <c r="D73" s="1" t="s">
        <v>1973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1963</v>
      </c>
      <c r="K73" s="54" t="n">
        <v>1943.5</v>
      </c>
      <c r="N73" s="16" t="n">
        <v>46245</v>
      </c>
      <c r="O73" s="54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1965</v>
      </c>
      <c r="D74" s="1" t="s">
        <v>1988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1963</v>
      </c>
      <c r="K74" s="54" t="n">
        <v>3405.71</v>
      </c>
      <c r="N74" s="16" t="n">
        <v>46246</v>
      </c>
      <c r="O74" s="54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1965</v>
      </c>
      <c r="D75" s="1" t="s">
        <v>2003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1963</v>
      </c>
      <c r="K75" s="54" t="n">
        <v>198.5</v>
      </c>
      <c r="N75" s="16" t="n">
        <v>46247</v>
      </c>
      <c r="O75" s="54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1965</v>
      </c>
      <c r="D76" s="1" t="s">
        <v>1977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1963</v>
      </c>
      <c r="K76" s="54" t="n">
        <v>2118.6</v>
      </c>
      <c r="N76" s="16" t="n">
        <v>46248</v>
      </c>
      <c r="O76" s="54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1965</v>
      </c>
      <c r="D77" s="1" t="s">
        <v>2004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1963</v>
      </c>
      <c r="K77" s="54" t="n">
        <v>210</v>
      </c>
      <c r="N77" s="16" t="n">
        <v>46249</v>
      </c>
      <c r="O77" s="54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1970</v>
      </c>
      <c r="D78" s="1" t="s">
        <v>1978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1963</v>
      </c>
      <c r="K78" s="54" t="n">
        <v>240</v>
      </c>
      <c r="N78" s="16" t="n">
        <v>46250</v>
      </c>
      <c r="O78" s="54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1965</v>
      </c>
      <c r="D79" s="1" t="s">
        <v>1979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1963</v>
      </c>
      <c r="K79" s="54" t="n">
        <v>1261.5</v>
      </c>
      <c r="N79" s="16" t="n">
        <v>46251</v>
      </c>
      <c r="O79" s="54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1974</v>
      </c>
      <c r="D80" s="1" t="s">
        <v>2005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1963</v>
      </c>
      <c r="K80" s="54" t="n">
        <v>1189.5</v>
      </c>
      <c r="N80" s="16" t="n">
        <v>46252</v>
      </c>
      <c r="O80" s="54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1965</v>
      </c>
      <c r="D81" s="1" t="s">
        <v>2006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1963</v>
      </c>
      <c r="K81" s="54" t="n">
        <v>668.05</v>
      </c>
      <c r="N81" s="16" t="n">
        <v>46253</v>
      </c>
      <c r="O81" s="54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1965</v>
      </c>
      <c r="D82" s="1" t="s">
        <v>2006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1963</v>
      </c>
      <c r="K82" s="54" t="n">
        <v>547.22</v>
      </c>
      <c r="N82" s="16" t="n">
        <v>46254</v>
      </c>
      <c r="O82" s="54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1965</v>
      </c>
      <c r="D83" s="1" t="s">
        <v>2006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1963</v>
      </c>
      <c r="K83" s="54" t="n">
        <v>554.53</v>
      </c>
      <c r="N83" s="16" t="n">
        <v>46255</v>
      </c>
      <c r="O83" s="54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1965</v>
      </c>
      <c r="D84" s="1" t="s">
        <v>2006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1963</v>
      </c>
      <c r="K84" s="54" t="n">
        <v>220.73</v>
      </c>
      <c r="N84" s="16" t="n">
        <v>46256</v>
      </c>
      <c r="O84" s="54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1965</v>
      </c>
      <c r="D85" s="1" t="s">
        <v>2006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1963</v>
      </c>
      <c r="K85" s="54" t="n">
        <v>453.6</v>
      </c>
      <c r="N85" s="16" t="n">
        <v>46257</v>
      </c>
      <c r="O85" s="54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1965</v>
      </c>
      <c r="D86" s="1" t="s">
        <v>1966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1963</v>
      </c>
      <c r="K86" s="54" t="n">
        <v>161</v>
      </c>
      <c r="N86" s="16" t="n">
        <v>46258</v>
      </c>
      <c r="O86" s="54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1965</v>
      </c>
      <c r="D87" s="1" t="s">
        <v>1966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1963</v>
      </c>
      <c r="K87" s="54" t="n">
        <v>260</v>
      </c>
      <c r="N87" s="16" t="n">
        <v>46259</v>
      </c>
      <c r="O87" s="54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1965</v>
      </c>
      <c r="D88" s="1" t="s">
        <v>1966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1963</v>
      </c>
      <c r="K88" s="54" t="n">
        <v>120</v>
      </c>
      <c r="N88" s="16" t="n">
        <v>46260</v>
      </c>
      <c r="O88" s="54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1965</v>
      </c>
      <c r="D89" s="1" t="s">
        <v>1966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1963</v>
      </c>
      <c r="K89" s="54" t="n">
        <v>161</v>
      </c>
      <c r="N89" s="16" t="n">
        <v>46261</v>
      </c>
      <c r="O89" s="54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1965</v>
      </c>
      <c r="D90" s="1" t="s">
        <v>1966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1963</v>
      </c>
      <c r="K90" s="54" t="n">
        <v>260</v>
      </c>
      <c r="N90" s="16" t="n">
        <v>46262</v>
      </c>
      <c r="O90" s="54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1965</v>
      </c>
      <c r="D91" s="1" t="s">
        <v>1966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1963</v>
      </c>
      <c r="K91" s="54" t="n">
        <v>120</v>
      </c>
      <c r="N91" s="16" t="n">
        <v>46263</v>
      </c>
      <c r="O91" s="54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1965</v>
      </c>
      <c r="D92" s="1" t="s">
        <v>2007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1963</v>
      </c>
      <c r="K92" s="54" t="n">
        <v>1496</v>
      </c>
      <c r="N92" s="16" t="n">
        <v>46264</v>
      </c>
      <c r="O92" s="54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2008</v>
      </c>
      <c r="D93" s="1" t="s">
        <v>2009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1963</v>
      </c>
      <c r="K93" s="54" t="n">
        <v>5009.82</v>
      </c>
      <c r="N93" s="16" t="n">
        <v>46265</v>
      </c>
      <c r="O93" s="54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1965</v>
      </c>
      <c r="D94" s="1" t="s">
        <v>2002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1963</v>
      </c>
      <c r="K94" s="54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1965</v>
      </c>
      <c r="D95" s="1" t="s">
        <v>2010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1963</v>
      </c>
      <c r="K95" s="54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1965</v>
      </c>
      <c r="D96" s="1" t="s">
        <v>1968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1963</v>
      </c>
      <c r="K96" s="54" t="n">
        <v>250</v>
      </c>
      <c r="N96" s="33" t="s">
        <v>2011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1965</v>
      </c>
      <c r="D97" s="1" t="s">
        <v>2012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1963</v>
      </c>
      <c r="K97" s="54" t="n">
        <v>1298.98</v>
      </c>
      <c r="N97" s="55" t="s">
        <v>1879</v>
      </c>
      <c r="O97" s="56" t="s">
        <v>2013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1965</v>
      </c>
      <c r="D98" s="1" t="s">
        <v>2014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1963</v>
      </c>
      <c r="K98" s="54" t="n">
        <v>263.27</v>
      </c>
      <c r="N98" s="1" t="s">
        <v>1888</v>
      </c>
      <c r="O98" s="54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1965</v>
      </c>
      <c r="D99" s="1" t="s">
        <v>2015</v>
      </c>
      <c r="E99" s="16" t="n">
        <v>46182</v>
      </c>
      <c r="F99" s="16" t="n">
        <v>46122</v>
      </c>
      <c r="G99" s="1" t="s">
        <v>2016</v>
      </c>
      <c r="H99" s="1" t="n">
        <v>1226361</v>
      </c>
      <c r="I99" s="1" t="n">
        <v>11</v>
      </c>
      <c r="J99" s="1" t="s">
        <v>1963</v>
      </c>
      <c r="K99" s="54" t="n">
        <v>436.01</v>
      </c>
      <c r="N99" s="1" t="s">
        <v>1889</v>
      </c>
      <c r="O99" s="54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1965</v>
      </c>
      <c r="D100" s="1" t="s">
        <v>2017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1963</v>
      </c>
      <c r="K100" s="54" t="n">
        <v>500</v>
      </c>
      <c r="N100" s="1" t="s">
        <v>1890</v>
      </c>
      <c r="O100" s="54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1965</v>
      </c>
      <c r="D101" s="1" t="s">
        <v>1966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1963</v>
      </c>
      <c r="K101" s="54" t="n">
        <v>155</v>
      </c>
      <c r="N101" s="58" t="s">
        <v>1907</v>
      </c>
      <c r="O101" s="54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1965</v>
      </c>
      <c r="D102" s="1" t="s">
        <v>1966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1963</v>
      </c>
      <c r="K102" s="54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1965</v>
      </c>
      <c r="D103" s="1" t="s">
        <v>1966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1963</v>
      </c>
      <c r="K103" s="54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1965</v>
      </c>
      <c r="D104" s="1" t="s">
        <v>1966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1963</v>
      </c>
      <c r="K104" s="54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1965</v>
      </c>
      <c r="D105" s="1" t="s">
        <v>1966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1963</v>
      </c>
      <c r="K105" s="54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1965</v>
      </c>
      <c r="D106" s="1" t="s">
        <v>1966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1963</v>
      </c>
      <c r="K106" s="54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1965</v>
      </c>
      <c r="D107" s="1" t="s">
        <v>1966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1963</v>
      </c>
      <c r="K107" s="54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1965</v>
      </c>
      <c r="D108" s="1" t="s">
        <v>1966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1963</v>
      </c>
      <c r="K108" s="54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1965</v>
      </c>
      <c r="D109" s="1" t="s">
        <v>1967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1963</v>
      </c>
      <c r="K109" s="54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1965</v>
      </c>
      <c r="D110" s="1" t="s">
        <v>1972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1963</v>
      </c>
      <c r="K110" s="54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2018</v>
      </c>
      <c r="D111" s="1" t="s">
        <v>2019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1963</v>
      </c>
      <c r="K111" s="54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2018</v>
      </c>
      <c r="D112" s="1" t="s">
        <v>2019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1963</v>
      </c>
      <c r="K112" s="54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1970</v>
      </c>
      <c r="D113" s="1" t="s">
        <v>1978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1963</v>
      </c>
      <c r="K113" s="54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1965</v>
      </c>
      <c r="D114" s="1" t="s">
        <v>1979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1963</v>
      </c>
      <c r="K114" s="54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2020</v>
      </c>
      <c r="D115" s="1" t="s">
        <v>2021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1963</v>
      </c>
      <c r="K115" s="54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2020</v>
      </c>
      <c r="D116" s="1" t="s">
        <v>2022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1963</v>
      </c>
      <c r="K116" s="54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1965</v>
      </c>
      <c r="D117" s="1" t="s">
        <v>1980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1963</v>
      </c>
      <c r="K117" s="54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1965</v>
      </c>
      <c r="D118" s="1" t="s">
        <v>1980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1963</v>
      </c>
      <c r="K118" s="54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1965</v>
      </c>
      <c r="D119" s="1" t="s">
        <v>1966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1963</v>
      </c>
      <c r="K119" s="54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1965</v>
      </c>
      <c r="D120" s="1" t="s">
        <v>1966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1963</v>
      </c>
      <c r="K120" s="54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1965</v>
      </c>
      <c r="D121" s="1" t="s">
        <v>1966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1963</v>
      </c>
      <c r="K121" s="54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1965</v>
      </c>
      <c r="D122" s="1" t="s">
        <v>1966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1963</v>
      </c>
      <c r="K122" s="54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1965</v>
      </c>
      <c r="D123" s="1" t="s">
        <v>1983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1963</v>
      </c>
      <c r="K123" s="54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1965</v>
      </c>
      <c r="D124" s="1" t="s">
        <v>1983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1963</v>
      </c>
      <c r="K124" s="54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1970</v>
      </c>
      <c r="D125" s="1" t="s">
        <v>1986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1963</v>
      </c>
      <c r="K125" s="54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1970</v>
      </c>
      <c r="D126" s="1" t="s">
        <v>1971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1963</v>
      </c>
      <c r="K126" s="54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1965</v>
      </c>
      <c r="D127" s="1" t="s">
        <v>1987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1963</v>
      </c>
      <c r="K127" s="54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1965</v>
      </c>
      <c r="D128" s="1" t="s">
        <v>2023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1963</v>
      </c>
      <c r="K128" s="54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1965</v>
      </c>
      <c r="D129" s="1" t="s">
        <v>2024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1963</v>
      </c>
      <c r="K129" s="54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1965</v>
      </c>
      <c r="D130" s="1" t="s">
        <v>2025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1963</v>
      </c>
      <c r="K130" s="54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1965</v>
      </c>
      <c r="D131" s="1" t="s">
        <v>1977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1963</v>
      </c>
      <c r="K131" s="54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1965</v>
      </c>
      <c r="D132" s="1" t="s">
        <v>2026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1963</v>
      </c>
      <c r="K132" s="54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1965</v>
      </c>
      <c r="D133" s="1" t="s">
        <v>2027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1963</v>
      </c>
      <c r="K133" s="54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1965</v>
      </c>
      <c r="D134" s="1" t="s">
        <v>1966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1963</v>
      </c>
      <c r="K134" s="54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1965</v>
      </c>
      <c r="D135" s="1" t="s">
        <v>1966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1963</v>
      </c>
      <c r="K135" s="54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1965</v>
      </c>
      <c r="D136" s="1" t="s">
        <v>1966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1963</v>
      </c>
      <c r="K136" s="54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1965</v>
      </c>
      <c r="D137" s="1" t="s">
        <v>1966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1963</v>
      </c>
      <c r="K137" s="54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1974</v>
      </c>
      <c r="D138" s="1" t="s">
        <v>1981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1963</v>
      </c>
      <c r="K138" s="54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1965</v>
      </c>
      <c r="D139" s="1" t="s">
        <v>2007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1963</v>
      </c>
      <c r="K139" s="54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1965</v>
      </c>
      <c r="D140" s="1" t="s">
        <v>2028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1963</v>
      </c>
      <c r="K140" s="54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1970</v>
      </c>
      <c r="D141" s="1" t="s">
        <v>2029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1963</v>
      </c>
      <c r="K141" s="54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1965</v>
      </c>
      <c r="D142" s="1" t="s">
        <v>1984</v>
      </c>
      <c r="E142" s="16" t="n">
        <v>46185</v>
      </c>
      <c r="F142" s="16" t="n">
        <v>46185</v>
      </c>
      <c r="G142" s="1" t="s">
        <v>1985</v>
      </c>
      <c r="H142" s="1" t="n">
        <v>1243882</v>
      </c>
      <c r="I142" s="1" t="n">
        <v>1</v>
      </c>
      <c r="J142" s="1" t="s">
        <v>1963</v>
      </c>
      <c r="K142" s="54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1965</v>
      </c>
      <c r="D143" s="1" t="s">
        <v>1969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1963</v>
      </c>
      <c r="K143" s="54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1961</v>
      </c>
      <c r="D144" s="1" t="s">
        <v>1962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1963</v>
      </c>
      <c r="K144" s="54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1964</v>
      </c>
      <c r="D145" s="1" t="s">
        <v>1962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1963</v>
      </c>
      <c r="K145" s="54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1965</v>
      </c>
      <c r="D146" s="1" t="s">
        <v>2023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1963</v>
      </c>
      <c r="K146" s="54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1965</v>
      </c>
      <c r="D147" s="1" t="s">
        <v>2024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1963</v>
      </c>
      <c r="K147" s="54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1965</v>
      </c>
      <c r="D148" s="1" t="s">
        <v>1968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1963</v>
      </c>
      <c r="K148" s="54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1996</v>
      </c>
      <c r="D149" s="1" t="s">
        <v>1997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1963</v>
      </c>
      <c r="K149" s="54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1965</v>
      </c>
      <c r="D150" s="1" t="s">
        <v>1979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1963</v>
      </c>
      <c r="K150" s="54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1965</v>
      </c>
      <c r="D151" s="1" t="s">
        <v>1966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1963</v>
      </c>
      <c r="K151" s="54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1965</v>
      </c>
      <c r="D152" s="1" t="s">
        <v>1966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1963</v>
      </c>
      <c r="K152" s="54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1965</v>
      </c>
      <c r="D153" s="1" t="s">
        <v>1966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1963</v>
      </c>
      <c r="K153" s="54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1965</v>
      </c>
      <c r="D154" s="1" t="s">
        <v>1966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1963</v>
      </c>
      <c r="K154" s="54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1965</v>
      </c>
      <c r="D155" s="1" t="s">
        <v>1966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1963</v>
      </c>
      <c r="K155" s="54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1965</v>
      </c>
      <c r="D156" s="1" t="s">
        <v>1966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1963</v>
      </c>
      <c r="K156" s="54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1965</v>
      </c>
      <c r="D157" s="1" t="s">
        <v>1966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1963</v>
      </c>
      <c r="K157" s="54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1965</v>
      </c>
      <c r="D158" s="1" t="s">
        <v>1966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1963</v>
      </c>
      <c r="K158" s="54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1970</v>
      </c>
      <c r="D159" s="1" t="s">
        <v>1978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1963</v>
      </c>
      <c r="K159" s="54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1965</v>
      </c>
      <c r="D160" s="1" t="s">
        <v>1966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1963</v>
      </c>
      <c r="K160" s="54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1965</v>
      </c>
      <c r="D161" s="1" t="s">
        <v>1966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1963</v>
      </c>
      <c r="K161" s="54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1965</v>
      </c>
      <c r="D162" s="1" t="s">
        <v>1966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1963</v>
      </c>
      <c r="K162" s="54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1965</v>
      </c>
      <c r="D163" s="1" t="s">
        <v>1966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1963</v>
      </c>
      <c r="K163" s="54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1974</v>
      </c>
      <c r="D164" s="1" t="s">
        <v>1981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1963</v>
      </c>
      <c r="K164" s="54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1965</v>
      </c>
      <c r="D165" s="1" t="s">
        <v>1967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1963</v>
      </c>
      <c r="K165" s="54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1965</v>
      </c>
      <c r="D166" s="1" t="s">
        <v>2001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1963</v>
      </c>
      <c r="K166" s="54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1965</v>
      </c>
      <c r="D167" s="1" t="s">
        <v>2030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1963</v>
      </c>
      <c r="K167" s="54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1965</v>
      </c>
      <c r="D168" s="1" t="s">
        <v>2031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1963</v>
      </c>
      <c r="K168" s="54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1965</v>
      </c>
      <c r="D169" s="1" t="s">
        <v>2032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1963</v>
      </c>
      <c r="K169" s="54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1965</v>
      </c>
      <c r="D170" s="1" t="s">
        <v>2033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1963</v>
      </c>
      <c r="K170" s="54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1965</v>
      </c>
      <c r="D171" s="1" t="s">
        <v>1972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1963</v>
      </c>
      <c r="K171" s="54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1965</v>
      </c>
      <c r="D172" s="1" t="s">
        <v>1972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1963</v>
      </c>
      <c r="K172" s="54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1965</v>
      </c>
      <c r="D173" s="1" t="s">
        <v>1972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1963</v>
      </c>
      <c r="K173" s="54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1965</v>
      </c>
      <c r="D174" s="1" t="s">
        <v>1972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1963</v>
      </c>
      <c r="K174" s="54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1993</v>
      </c>
      <c r="D175" s="1" t="s">
        <v>1994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1963</v>
      </c>
      <c r="K175" s="54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2020</v>
      </c>
      <c r="D176" s="1" t="s">
        <v>2021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1963</v>
      </c>
      <c r="K176" s="54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1965</v>
      </c>
      <c r="D177" s="1" t="s">
        <v>2006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1963</v>
      </c>
      <c r="K177" s="54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1965</v>
      </c>
      <c r="D178" s="1" t="s">
        <v>1966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1963</v>
      </c>
      <c r="K178" s="54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1965</v>
      </c>
      <c r="D179" s="1" t="s">
        <v>1966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1963</v>
      </c>
      <c r="K179" s="54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1965</v>
      </c>
      <c r="D180" s="1" t="s">
        <v>1966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1963</v>
      </c>
      <c r="K180" s="54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1965</v>
      </c>
      <c r="D181" s="1" t="s">
        <v>1966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1963</v>
      </c>
      <c r="K181" s="54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1970</v>
      </c>
      <c r="D182" s="1" t="s">
        <v>2034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1963</v>
      </c>
      <c r="K182" s="54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1965</v>
      </c>
      <c r="D183" s="1" t="s">
        <v>2002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1963</v>
      </c>
      <c r="K183" s="54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1965</v>
      </c>
      <c r="D184" s="1" t="s">
        <v>2002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1963</v>
      </c>
      <c r="K184" s="54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2018</v>
      </c>
      <c r="D185" s="1" t="s">
        <v>2035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1963</v>
      </c>
      <c r="K185" s="54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1961</v>
      </c>
      <c r="D186" s="1" t="s">
        <v>1962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1963</v>
      </c>
      <c r="K186" s="54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1964</v>
      </c>
      <c r="D187" s="1" t="s">
        <v>1962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1963</v>
      </c>
      <c r="K187" s="54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1965</v>
      </c>
      <c r="D188" s="1" t="s">
        <v>1972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1963</v>
      </c>
      <c r="K188" s="54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1965</v>
      </c>
      <c r="D189" s="1" t="s">
        <v>1968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1963</v>
      </c>
      <c r="K189" s="54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1965</v>
      </c>
      <c r="D190" s="1" t="s">
        <v>2036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1963</v>
      </c>
      <c r="K190" s="54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1970</v>
      </c>
      <c r="D191" s="1" t="s">
        <v>1976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1963</v>
      </c>
      <c r="K191" s="54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1974</v>
      </c>
      <c r="D192" s="1" t="s">
        <v>2003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1963</v>
      </c>
      <c r="K192" s="54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1965</v>
      </c>
      <c r="D193" s="1" t="s">
        <v>2003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1963</v>
      </c>
      <c r="K193" s="54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1965</v>
      </c>
      <c r="D194" s="1" t="s">
        <v>2037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1963</v>
      </c>
      <c r="K194" s="54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1965</v>
      </c>
      <c r="D195" s="1" t="s">
        <v>1979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1963</v>
      </c>
      <c r="K195" s="54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1965</v>
      </c>
      <c r="D196" s="1" t="s">
        <v>1980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1963</v>
      </c>
      <c r="K196" s="54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1965</v>
      </c>
      <c r="D197" s="1" t="s">
        <v>1980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1963</v>
      </c>
      <c r="K197" s="54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1965</v>
      </c>
      <c r="D198" s="1" t="s">
        <v>1966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1963</v>
      </c>
      <c r="K198" s="54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1965</v>
      </c>
      <c r="D199" s="1" t="s">
        <v>1966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1963</v>
      </c>
      <c r="K199" s="54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1965</v>
      </c>
      <c r="D200" s="1" t="s">
        <v>1966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1963</v>
      </c>
      <c r="K200" s="54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1965</v>
      </c>
      <c r="D201" s="1" t="s">
        <v>1966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1963</v>
      </c>
      <c r="K201" s="54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1970</v>
      </c>
      <c r="D202" s="1" t="s">
        <v>1966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1963</v>
      </c>
      <c r="K202" s="54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1965</v>
      </c>
      <c r="D203" s="1" t="s">
        <v>1966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1963</v>
      </c>
      <c r="K203" s="54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1974</v>
      </c>
      <c r="D204" s="1" t="s">
        <v>2038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1963</v>
      </c>
      <c r="K204" s="54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2039</v>
      </c>
      <c r="D205" s="1" t="s">
        <v>2040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1963</v>
      </c>
      <c r="K205" s="54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1965</v>
      </c>
      <c r="D206" s="1" t="s">
        <v>1982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1963</v>
      </c>
      <c r="K206" s="54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1965</v>
      </c>
      <c r="D207" s="1" t="s">
        <v>1982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1963</v>
      </c>
      <c r="K207" s="54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1970</v>
      </c>
      <c r="D208" s="1" t="s">
        <v>2041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1963</v>
      </c>
      <c r="K208" s="54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1965</v>
      </c>
      <c r="D209" s="1" t="s">
        <v>2042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1963</v>
      </c>
      <c r="K209" s="54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1961</v>
      </c>
      <c r="D210" s="1" t="s">
        <v>1962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1963</v>
      </c>
      <c r="K210" s="54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1964</v>
      </c>
      <c r="D211" s="1" t="s">
        <v>1962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1963</v>
      </c>
      <c r="K211" s="54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1965</v>
      </c>
      <c r="D212" s="1" t="s">
        <v>2012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1963</v>
      </c>
      <c r="K212" s="54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1974</v>
      </c>
      <c r="D213" s="1" t="s">
        <v>1975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1963</v>
      </c>
      <c r="K213" s="54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1965</v>
      </c>
      <c r="D214" s="1" t="s">
        <v>2043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1963</v>
      </c>
      <c r="K214" s="54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1965</v>
      </c>
      <c r="D215" s="1" t="s">
        <v>2044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1963</v>
      </c>
      <c r="K215" s="54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1965</v>
      </c>
      <c r="D216" s="1" t="s">
        <v>1977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1963</v>
      </c>
      <c r="K216" s="54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1965</v>
      </c>
      <c r="D217" s="1" t="s">
        <v>1979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1963</v>
      </c>
      <c r="K217" s="54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1965</v>
      </c>
      <c r="D218" s="1" t="s">
        <v>1980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1963</v>
      </c>
      <c r="K218" s="54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1965</v>
      </c>
      <c r="D219" s="1" t="s">
        <v>1966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1963</v>
      </c>
      <c r="K219" s="54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1965</v>
      </c>
      <c r="D220" s="1" t="s">
        <v>1966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1963</v>
      </c>
      <c r="K220" s="54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1965</v>
      </c>
      <c r="D221" s="1" t="s">
        <v>2007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1963</v>
      </c>
      <c r="K221" s="54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1965</v>
      </c>
      <c r="D222" s="1" t="s">
        <v>1983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1963</v>
      </c>
      <c r="K222" s="54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1965</v>
      </c>
      <c r="D223" s="1" t="s">
        <v>1983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1963</v>
      </c>
      <c r="K223" s="54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1970</v>
      </c>
      <c r="D224" s="1" t="s">
        <v>1986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1963</v>
      </c>
      <c r="K224" s="54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1965</v>
      </c>
      <c r="D225" s="1" t="s">
        <v>2033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1963</v>
      </c>
      <c r="K225" s="54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1965</v>
      </c>
      <c r="D226" s="1" t="s">
        <v>1987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1963</v>
      </c>
      <c r="K226" s="54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1965</v>
      </c>
      <c r="D227" s="1" t="s">
        <v>1999</v>
      </c>
      <c r="E227" s="16" t="n">
        <v>46191</v>
      </c>
      <c r="F227" s="16" t="n">
        <v>46191</v>
      </c>
      <c r="G227" s="1" t="s">
        <v>2000</v>
      </c>
      <c r="H227" s="1" t="n">
        <v>1270052</v>
      </c>
      <c r="I227" s="1" t="n">
        <v>1</v>
      </c>
      <c r="J227" s="1" t="s">
        <v>1963</v>
      </c>
      <c r="K227" s="54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1965</v>
      </c>
      <c r="D228" s="1" t="s">
        <v>1966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1963</v>
      </c>
      <c r="K228" s="54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1965</v>
      </c>
      <c r="D229" s="1" t="s">
        <v>1966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1963</v>
      </c>
      <c r="K229" s="54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1965</v>
      </c>
      <c r="D230" s="1" t="s">
        <v>1966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1963</v>
      </c>
      <c r="K230" s="54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1965</v>
      </c>
      <c r="D231" s="1" t="s">
        <v>1966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1963</v>
      </c>
      <c r="K231" s="54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1965</v>
      </c>
      <c r="D232" s="1" t="s">
        <v>1966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1963</v>
      </c>
      <c r="K232" s="54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1965</v>
      </c>
      <c r="D233" s="1" t="s">
        <v>1966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1963</v>
      </c>
      <c r="K233" s="54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1965</v>
      </c>
      <c r="D234" s="1" t="s">
        <v>2045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1963</v>
      </c>
      <c r="K234" s="54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1965</v>
      </c>
      <c r="D235" s="1" t="s">
        <v>2046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1963</v>
      </c>
      <c r="K235" s="54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1965</v>
      </c>
      <c r="D236" s="1" t="s">
        <v>1984</v>
      </c>
      <c r="E236" s="16" t="n">
        <v>46192</v>
      </c>
      <c r="F236" s="16" t="n">
        <v>46192</v>
      </c>
      <c r="G236" s="1" t="s">
        <v>1985</v>
      </c>
      <c r="H236" s="1" t="n">
        <v>1279589</v>
      </c>
      <c r="I236" s="1" t="n">
        <v>1</v>
      </c>
      <c r="J236" s="1" t="s">
        <v>1963</v>
      </c>
      <c r="K236" s="54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1965</v>
      </c>
      <c r="D237" s="1" t="s">
        <v>2024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1963</v>
      </c>
      <c r="K237" s="54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1965</v>
      </c>
      <c r="D238" s="1" t="s">
        <v>1972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1963</v>
      </c>
      <c r="K238" s="54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1965</v>
      </c>
      <c r="D239" s="1" t="s">
        <v>1972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1963</v>
      </c>
      <c r="K239" s="54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1965</v>
      </c>
      <c r="D240" s="1" t="s">
        <v>1968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1963</v>
      </c>
      <c r="K240" s="54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1965</v>
      </c>
      <c r="D241" s="1" t="s">
        <v>2012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1963</v>
      </c>
      <c r="K241" s="54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1965</v>
      </c>
      <c r="D242" s="1" t="s">
        <v>2012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1963</v>
      </c>
      <c r="K242" s="54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1965</v>
      </c>
      <c r="D243" s="1" t="s">
        <v>2012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1963</v>
      </c>
      <c r="K243" s="54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1965</v>
      </c>
      <c r="D244" s="1" t="s">
        <v>2012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1963</v>
      </c>
      <c r="K244" s="54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1996</v>
      </c>
      <c r="D245" s="1" t="s">
        <v>1997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1963</v>
      </c>
      <c r="K245" s="54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2018</v>
      </c>
      <c r="D246" s="1" t="s">
        <v>2019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1963</v>
      </c>
      <c r="K246" s="54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1965</v>
      </c>
      <c r="D247" s="1" t="s">
        <v>2027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1963</v>
      </c>
      <c r="K247" s="54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2020</v>
      </c>
      <c r="D248" s="1" t="s">
        <v>2021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1963</v>
      </c>
      <c r="K248" s="54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1965</v>
      </c>
      <c r="D249" s="1" t="s">
        <v>1966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1963</v>
      </c>
      <c r="K249" s="54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1965</v>
      </c>
      <c r="D250" s="1" t="s">
        <v>1966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1963</v>
      </c>
      <c r="K250" s="54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1965</v>
      </c>
      <c r="D251" s="1" t="s">
        <v>1966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1963</v>
      </c>
      <c r="K251" s="54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1965</v>
      </c>
      <c r="D252" s="1" t="s">
        <v>1966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1963</v>
      </c>
      <c r="K252" s="54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1965</v>
      </c>
      <c r="D253" s="1" t="s">
        <v>1982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1963</v>
      </c>
      <c r="K253" s="54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2008</v>
      </c>
      <c r="D254" s="1" t="s">
        <v>2009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1963</v>
      </c>
      <c r="K254" s="54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1993</v>
      </c>
      <c r="D255" s="1" t="s">
        <v>1994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1963</v>
      </c>
      <c r="K255" s="54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1965</v>
      </c>
      <c r="D256" s="1" t="s">
        <v>2003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1963</v>
      </c>
      <c r="K256" s="54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1965</v>
      </c>
      <c r="D257" s="1" t="s">
        <v>2047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1963</v>
      </c>
      <c r="K257" s="54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1965</v>
      </c>
      <c r="D258" s="1" t="s">
        <v>2048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1963</v>
      </c>
      <c r="K258" s="54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1965</v>
      </c>
      <c r="D259" s="1" t="s">
        <v>1966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1963</v>
      </c>
      <c r="K259" s="54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1965</v>
      </c>
      <c r="D260" s="1" t="s">
        <v>1966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1963</v>
      </c>
      <c r="K260" s="54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1965</v>
      </c>
      <c r="D261" s="1" t="s">
        <v>1966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1963</v>
      </c>
      <c r="K261" s="54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1965</v>
      </c>
      <c r="D262" s="1" t="s">
        <v>1966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1963</v>
      </c>
      <c r="K262" s="54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1965</v>
      </c>
      <c r="D263" s="1" t="s">
        <v>2001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1963</v>
      </c>
      <c r="K263" s="54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2018</v>
      </c>
      <c r="D264" s="1" t="s">
        <v>2035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1963</v>
      </c>
      <c r="K264" s="54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1974</v>
      </c>
      <c r="D265" s="1" t="s">
        <v>2049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1963</v>
      </c>
      <c r="K265" s="54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1965</v>
      </c>
      <c r="D266" s="1" t="s">
        <v>1972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1963</v>
      </c>
      <c r="K266" s="54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1993</v>
      </c>
      <c r="D267" s="1" t="s">
        <v>1994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1963</v>
      </c>
      <c r="K267" s="54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1965</v>
      </c>
      <c r="D268" s="1" t="s">
        <v>2012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1963</v>
      </c>
      <c r="K268" s="54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1965</v>
      </c>
      <c r="D269" s="1" t="s">
        <v>2050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1963</v>
      </c>
      <c r="K269" s="54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1965</v>
      </c>
      <c r="D270" s="1" t="s">
        <v>2006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1963</v>
      </c>
      <c r="K270" s="54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1965</v>
      </c>
      <c r="D271" s="1" t="s">
        <v>2006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1963</v>
      </c>
      <c r="K271" s="54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1965</v>
      </c>
      <c r="D272" s="1" t="s">
        <v>1966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1963</v>
      </c>
      <c r="K272" s="54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1965</v>
      </c>
      <c r="D273" s="1" t="s">
        <v>1966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1963</v>
      </c>
      <c r="K273" s="54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1965</v>
      </c>
      <c r="D274" s="1" t="s">
        <v>1966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1963</v>
      </c>
      <c r="K274" s="54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1965</v>
      </c>
      <c r="D275" s="1" t="s">
        <v>1966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1963</v>
      </c>
      <c r="K275" s="54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1965</v>
      </c>
      <c r="D276" s="1" t="s">
        <v>1966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1963</v>
      </c>
      <c r="K276" s="54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1965</v>
      </c>
      <c r="D277" s="1" t="s">
        <v>1991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1963</v>
      </c>
      <c r="K277" s="54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2018</v>
      </c>
      <c r="D278" s="1" t="s">
        <v>2051</v>
      </c>
      <c r="E278" s="16" t="n">
        <v>46195</v>
      </c>
      <c r="F278" s="16" t="n">
        <v>46179</v>
      </c>
      <c r="G278" s="1" t="s">
        <v>2052</v>
      </c>
      <c r="H278" s="1" t="n">
        <v>1289649</v>
      </c>
      <c r="I278" s="1" t="n">
        <v>11</v>
      </c>
      <c r="J278" s="1" t="s">
        <v>1963</v>
      </c>
      <c r="K278" s="54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2018</v>
      </c>
      <c r="D279" s="1" t="s">
        <v>2051</v>
      </c>
      <c r="E279" s="16" t="n">
        <v>46195</v>
      </c>
      <c r="F279" s="16" t="n">
        <v>46186</v>
      </c>
      <c r="G279" s="1" t="s">
        <v>2052</v>
      </c>
      <c r="H279" s="1" t="n">
        <v>1289650</v>
      </c>
      <c r="I279" s="1" t="n">
        <v>11</v>
      </c>
      <c r="J279" s="1" t="s">
        <v>1963</v>
      </c>
      <c r="K279" s="54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2018</v>
      </c>
      <c r="D280" s="1" t="s">
        <v>2051</v>
      </c>
      <c r="E280" s="16" t="n">
        <v>46195</v>
      </c>
      <c r="F280" s="16" t="n">
        <v>46193</v>
      </c>
      <c r="G280" s="1" t="s">
        <v>2052</v>
      </c>
      <c r="H280" s="1" t="n">
        <v>1289657</v>
      </c>
      <c r="I280" s="1" t="n">
        <v>11</v>
      </c>
      <c r="J280" s="1" t="s">
        <v>1963</v>
      </c>
      <c r="K280" s="54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2018</v>
      </c>
      <c r="D281" s="1" t="s">
        <v>2051</v>
      </c>
      <c r="E281" s="16" t="n">
        <v>46195</v>
      </c>
      <c r="F281" s="16" t="n">
        <v>46194</v>
      </c>
      <c r="G281" s="1" t="s">
        <v>2052</v>
      </c>
      <c r="H281" s="1" t="n">
        <v>1289655</v>
      </c>
      <c r="I281" s="1" t="n">
        <v>11</v>
      </c>
      <c r="J281" s="1" t="s">
        <v>1963</v>
      </c>
      <c r="K281" s="54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1965</v>
      </c>
      <c r="D282" s="1" t="s">
        <v>1967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1963</v>
      </c>
      <c r="K282" s="54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2018</v>
      </c>
      <c r="D283" s="1" t="s">
        <v>2053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1963</v>
      </c>
      <c r="K283" s="54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1965</v>
      </c>
      <c r="D284" s="1" t="s">
        <v>1988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1963</v>
      </c>
      <c r="K284" s="54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1965</v>
      </c>
      <c r="D285" s="1" t="s">
        <v>2048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1963</v>
      </c>
      <c r="K285" s="54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1965</v>
      </c>
      <c r="D286" s="1" t="s">
        <v>2026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1963</v>
      </c>
      <c r="K286" s="54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1965</v>
      </c>
      <c r="D287" s="1" t="s">
        <v>1966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1963</v>
      </c>
      <c r="K287" s="54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1965</v>
      </c>
      <c r="D288" s="1" t="s">
        <v>1966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1963</v>
      </c>
      <c r="K288" s="54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1965</v>
      </c>
      <c r="D289" s="1" t="s">
        <v>1966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1963</v>
      </c>
      <c r="K289" s="54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1965</v>
      </c>
      <c r="D290" s="1" t="s">
        <v>1966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1963</v>
      </c>
      <c r="K290" s="54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1965</v>
      </c>
      <c r="D291" s="1" t="s">
        <v>1966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1963</v>
      </c>
      <c r="K291" s="54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1965</v>
      </c>
      <c r="D292" s="1" t="s">
        <v>1966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1963</v>
      </c>
      <c r="K292" s="54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1965</v>
      </c>
      <c r="D293" s="1" t="s">
        <v>1966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1963</v>
      </c>
      <c r="K293" s="54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1965</v>
      </c>
      <c r="D294" s="1" t="s">
        <v>1966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1963</v>
      </c>
      <c r="K294" s="54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1965</v>
      </c>
      <c r="D295" s="1" t="s">
        <v>2054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1963</v>
      </c>
      <c r="K295" s="54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1965</v>
      </c>
      <c r="D296" s="1" t="s">
        <v>2054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1963</v>
      </c>
      <c r="K296" s="54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1965</v>
      </c>
      <c r="D297" s="1" t="s">
        <v>2055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1963</v>
      </c>
      <c r="K297" s="54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1970</v>
      </c>
      <c r="D298" s="1" t="s">
        <v>1986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1963</v>
      </c>
      <c r="K298" s="54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1961</v>
      </c>
      <c r="D299" s="1" t="s">
        <v>1962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1963</v>
      </c>
      <c r="K299" s="54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1964</v>
      </c>
      <c r="D300" s="1" t="s">
        <v>1962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1963</v>
      </c>
      <c r="K300" s="54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1970</v>
      </c>
      <c r="D301" s="1" t="s">
        <v>2056</v>
      </c>
      <c r="E301" s="16" t="n">
        <v>46197</v>
      </c>
      <c r="F301" s="16" t="n">
        <v>46190</v>
      </c>
      <c r="G301" s="1" t="s">
        <v>2057</v>
      </c>
      <c r="H301" s="1" t="n">
        <v>1299871</v>
      </c>
      <c r="I301" s="1" t="n">
        <v>39</v>
      </c>
      <c r="J301" s="1" t="s">
        <v>1963</v>
      </c>
      <c r="K301" s="54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2020</v>
      </c>
      <c r="D302" s="1" t="s">
        <v>2058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1963</v>
      </c>
      <c r="K302" s="54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1965</v>
      </c>
      <c r="D303" s="1" t="s">
        <v>1988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1963</v>
      </c>
      <c r="K303" s="54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1965</v>
      </c>
      <c r="D304" s="1" t="s">
        <v>1988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1963</v>
      </c>
      <c r="K304" s="54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1965</v>
      </c>
      <c r="D305" s="1" t="s">
        <v>1979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1963</v>
      </c>
      <c r="K305" s="54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1965</v>
      </c>
      <c r="D306" s="1" t="s">
        <v>2059</v>
      </c>
      <c r="E306" s="16" t="n">
        <v>46197</v>
      </c>
      <c r="F306" s="16" t="n">
        <v>46114</v>
      </c>
      <c r="G306" s="1" t="s">
        <v>2060</v>
      </c>
      <c r="H306" s="1" t="n">
        <v>1392258</v>
      </c>
      <c r="I306" s="1" t="n">
        <v>11</v>
      </c>
      <c r="J306" s="1" t="s">
        <v>1963</v>
      </c>
      <c r="K306" s="54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1965</v>
      </c>
      <c r="D307" s="1" t="s">
        <v>1966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1963</v>
      </c>
      <c r="K307" s="54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1965</v>
      </c>
      <c r="D308" s="1" t="s">
        <v>1966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1963</v>
      </c>
      <c r="K308" s="54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1965</v>
      </c>
      <c r="D309" s="1" t="s">
        <v>1966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1963</v>
      </c>
      <c r="K309" s="54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1965</v>
      </c>
      <c r="D310" s="1" t="s">
        <v>1966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1963</v>
      </c>
      <c r="K310" s="54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1965</v>
      </c>
      <c r="D311" s="1" t="s">
        <v>1966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1963</v>
      </c>
      <c r="K311" s="54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1974</v>
      </c>
      <c r="D312" s="1" t="s">
        <v>1981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1963</v>
      </c>
      <c r="K312" s="54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1965</v>
      </c>
      <c r="D313" s="1" t="s">
        <v>1992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1963</v>
      </c>
      <c r="K313" s="54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1965</v>
      </c>
      <c r="D314" s="1" t="s">
        <v>2061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1963</v>
      </c>
      <c r="K314" s="54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1965</v>
      </c>
      <c r="D315" s="1" t="s">
        <v>1969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1963</v>
      </c>
      <c r="K315" s="54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1965</v>
      </c>
      <c r="D316" s="1" t="s">
        <v>2062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1963</v>
      </c>
      <c r="K316" s="54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1965</v>
      </c>
      <c r="D317" s="1" t="s">
        <v>1987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1963</v>
      </c>
      <c r="K317" s="54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1965</v>
      </c>
      <c r="D318" s="1" t="s">
        <v>2063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1963</v>
      </c>
      <c r="K318" s="54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1965</v>
      </c>
      <c r="D319" s="1" t="s">
        <v>1977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1963</v>
      </c>
      <c r="K319" s="54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1965</v>
      </c>
      <c r="D320" s="1" t="s">
        <v>1980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1963</v>
      </c>
      <c r="K320" s="54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1965</v>
      </c>
      <c r="D321" s="1" t="s">
        <v>1966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1963</v>
      </c>
      <c r="K321" s="54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1965</v>
      </c>
      <c r="D322" s="1" t="s">
        <v>1966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1963</v>
      </c>
      <c r="K322" s="54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2018</v>
      </c>
      <c r="D323" s="1" t="s">
        <v>2051</v>
      </c>
      <c r="E323" s="16" t="n">
        <v>46198</v>
      </c>
      <c r="F323" s="16" t="n">
        <v>46142</v>
      </c>
      <c r="G323" s="1" t="s">
        <v>2052</v>
      </c>
      <c r="H323" s="1" t="n">
        <v>1392270</v>
      </c>
      <c r="I323" s="1" t="n">
        <v>11</v>
      </c>
      <c r="J323" s="1" t="s">
        <v>1963</v>
      </c>
      <c r="K323" s="54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1965</v>
      </c>
      <c r="D324" s="1" t="s">
        <v>1982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1963</v>
      </c>
      <c r="K324" s="54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1965</v>
      </c>
      <c r="D325" s="1" t="s">
        <v>1983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1963</v>
      </c>
      <c r="K325" s="54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1965</v>
      </c>
      <c r="D326" s="1" t="s">
        <v>1983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1963</v>
      </c>
      <c r="K326" s="54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1974</v>
      </c>
      <c r="D327" s="1" t="s">
        <v>2064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1963</v>
      </c>
      <c r="K327" s="54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1965</v>
      </c>
      <c r="D328" s="1" t="s">
        <v>1984</v>
      </c>
      <c r="E328" s="16" t="n">
        <v>46199</v>
      </c>
      <c r="F328" s="16" t="n">
        <v>46199</v>
      </c>
      <c r="G328" s="1" t="s">
        <v>1985</v>
      </c>
      <c r="H328" s="1" t="n">
        <v>1312429</v>
      </c>
      <c r="I328" s="1" t="n">
        <v>1</v>
      </c>
      <c r="J328" s="1" t="s">
        <v>1963</v>
      </c>
      <c r="K328" s="54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1965</v>
      </c>
      <c r="D329" s="1" t="s">
        <v>1968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1963</v>
      </c>
      <c r="K329" s="54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1965</v>
      </c>
      <c r="D330" s="1" t="s">
        <v>1966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1963</v>
      </c>
      <c r="K330" s="54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1965</v>
      </c>
      <c r="D331" s="1" t="s">
        <v>1966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1963</v>
      </c>
      <c r="K331" s="54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1965</v>
      </c>
      <c r="D332" s="1" t="s">
        <v>1966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1963</v>
      </c>
      <c r="K332" s="54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1965</v>
      </c>
      <c r="D333" s="1" t="s">
        <v>1966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1963</v>
      </c>
      <c r="K333" s="54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1965</v>
      </c>
      <c r="D334" s="1" t="s">
        <v>1966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1963</v>
      </c>
      <c r="K334" s="54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1965</v>
      </c>
      <c r="D335" s="1" t="s">
        <v>1966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1963</v>
      </c>
      <c r="K335" s="54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1965</v>
      </c>
      <c r="D336" s="1" t="s">
        <v>2054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1963</v>
      </c>
      <c r="K336" s="54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1965</v>
      </c>
      <c r="D337" s="1" t="s">
        <v>2024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1963</v>
      </c>
      <c r="K337" s="54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1965</v>
      </c>
      <c r="D338" s="1" t="s">
        <v>2065</v>
      </c>
      <c r="E338" s="16" t="n">
        <v>46200</v>
      </c>
      <c r="F338" s="16" t="n">
        <v>46197</v>
      </c>
      <c r="G338" s="1" t="s">
        <v>1010</v>
      </c>
      <c r="H338" s="1" t="n">
        <v>1312510</v>
      </c>
      <c r="I338" s="1" t="n">
        <v>11</v>
      </c>
      <c r="J338" s="1" t="s">
        <v>1963</v>
      </c>
      <c r="K338" s="54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1974</v>
      </c>
      <c r="D339" s="1" t="s">
        <v>2003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1963</v>
      </c>
      <c r="K339" s="54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1965</v>
      </c>
      <c r="D340" s="1" t="s">
        <v>2003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1963</v>
      </c>
      <c r="K340" s="54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1965</v>
      </c>
      <c r="D341" s="1" t="s">
        <v>2066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1963</v>
      </c>
      <c r="K341" s="54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1965</v>
      </c>
      <c r="D342" s="1" t="s">
        <v>1979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1963</v>
      </c>
      <c r="K342" s="54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1974</v>
      </c>
      <c r="D343" s="1" t="s">
        <v>2067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1963</v>
      </c>
      <c r="K343" s="54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1965</v>
      </c>
      <c r="D344" s="1" t="s">
        <v>1966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1963</v>
      </c>
      <c r="K344" s="54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1965</v>
      </c>
      <c r="D345" s="1" t="s">
        <v>1966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1963</v>
      </c>
      <c r="K345" s="54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1965</v>
      </c>
      <c r="D346" s="1" t="s">
        <v>1966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1963</v>
      </c>
      <c r="K346" s="54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1965</v>
      </c>
      <c r="D347" s="1" t="s">
        <v>1966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1963</v>
      </c>
      <c r="K347" s="54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1965</v>
      </c>
      <c r="D348" s="1" t="s">
        <v>2001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1963</v>
      </c>
      <c r="K348" s="54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1965</v>
      </c>
      <c r="D349" s="1" t="s">
        <v>1972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1963</v>
      </c>
      <c r="K349" s="54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1965</v>
      </c>
      <c r="D350" s="1" t="s">
        <v>1972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1963</v>
      </c>
      <c r="K350" s="54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1965</v>
      </c>
      <c r="D351" s="1" t="s">
        <v>1972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1963</v>
      </c>
      <c r="K351" s="54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1965</v>
      </c>
      <c r="D352" s="1" t="s">
        <v>1972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1963</v>
      </c>
      <c r="K352" s="54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1965</v>
      </c>
      <c r="D353" s="1" t="s">
        <v>2036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1963</v>
      </c>
      <c r="K353" s="54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2039</v>
      </c>
      <c r="D354" s="1" t="s">
        <v>2068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1963</v>
      </c>
      <c r="K354" s="54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1873</v>
      </c>
      <c r="D355" s="1" t="s">
        <v>2068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1963</v>
      </c>
      <c r="K355" s="54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1965</v>
      </c>
      <c r="D356" s="1" t="s">
        <v>1999</v>
      </c>
      <c r="E356" s="16" t="n">
        <v>46202</v>
      </c>
      <c r="F356" s="16" t="n">
        <v>46200</v>
      </c>
      <c r="G356" s="1" t="s">
        <v>2000</v>
      </c>
      <c r="H356" s="1" t="n">
        <v>1322109</v>
      </c>
      <c r="I356" s="1" t="n">
        <v>1</v>
      </c>
      <c r="J356" s="1" t="s">
        <v>1963</v>
      </c>
      <c r="K356" s="54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1965</v>
      </c>
      <c r="D357" s="1" t="s">
        <v>2027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1963</v>
      </c>
      <c r="K357" s="54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1965</v>
      </c>
      <c r="D358" s="1" t="s">
        <v>1966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1963</v>
      </c>
      <c r="K358" s="54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1965</v>
      </c>
      <c r="D359" s="1" t="s">
        <v>1966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1963</v>
      </c>
      <c r="K359" s="54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1965</v>
      </c>
      <c r="D360" s="1" t="s">
        <v>1966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1963</v>
      </c>
      <c r="K360" s="54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1965</v>
      </c>
      <c r="D361" s="1" t="s">
        <v>1966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1963</v>
      </c>
      <c r="K361" s="54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1965</v>
      </c>
      <c r="D362" s="1" t="s">
        <v>1966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1963</v>
      </c>
      <c r="K362" s="54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1965</v>
      </c>
      <c r="D363" s="1" t="s">
        <v>1966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1963</v>
      </c>
      <c r="K363" s="54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1965</v>
      </c>
      <c r="D364" s="1" t="s">
        <v>1967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1963</v>
      </c>
      <c r="K364" s="54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1961</v>
      </c>
      <c r="D365" s="1" t="s">
        <v>1962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1963</v>
      </c>
      <c r="K365" s="54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1964</v>
      </c>
      <c r="D366" s="1" t="s">
        <v>1962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1963</v>
      </c>
      <c r="K366" s="54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1965</v>
      </c>
      <c r="D367" s="1" t="s">
        <v>2033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1963</v>
      </c>
      <c r="K367" s="54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1965</v>
      </c>
      <c r="D368" s="1" t="s">
        <v>1972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1963</v>
      </c>
      <c r="K368" s="54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1965</v>
      </c>
      <c r="D369" s="1" t="s">
        <v>1968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1963</v>
      </c>
      <c r="K369" s="54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1965</v>
      </c>
      <c r="D370" s="1" t="s">
        <v>2069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1963</v>
      </c>
      <c r="K370" s="54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1970</v>
      </c>
      <c r="D371" s="1" t="s">
        <v>1976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1963</v>
      </c>
      <c r="K371" s="54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1974</v>
      </c>
      <c r="D372" s="1" t="s">
        <v>2070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1963</v>
      </c>
      <c r="K372" s="54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1965</v>
      </c>
      <c r="D373" s="1" t="s">
        <v>2004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1963</v>
      </c>
      <c r="K373" s="54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2020</v>
      </c>
      <c r="D374" s="1" t="s">
        <v>2022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1963</v>
      </c>
      <c r="K374" s="54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1965</v>
      </c>
      <c r="D375" s="1" t="s">
        <v>1966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1963</v>
      </c>
      <c r="K375" s="54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1965</v>
      </c>
      <c r="D376" s="1" t="s">
        <v>1966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1963</v>
      </c>
      <c r="K376" s="54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1965</v>
      </c>
      <c r="D377" s="1" t="s">
        <v>1966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1963</v>
      </c>
      <c r="K377" s="54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1965</v>
      </c>
      <c r="D378" s="1" t="s">
        <v>1966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1963</v>
      </c>
      <c r="K378" s="54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1965</v>
      </c>
      <c r="D379" s="1" t="s">
        <v>1966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1963</v>
      </c>
      <c r="K379" s="54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1965</v>
      </c>
      <c r="D380" s="1" t="s">
        <v>1966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1963</v>
      </c>
      <c r="K380" s="54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1965</v>
      </c>
      <c r="D381" s="1" t="s">
        <v>1966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1963</v>
      </c>
      <c r="K381" s="54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1965</v>
      </c>
      <c r="D382" s="1" t="s">
        <v>1966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1963</v>
      </c>
      <c r="K382" s="54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1974</v>
      </c>
      <c r="D383" s="1" t="s">
        <v>2071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1963</v>
      </c>
      <c r="K383" s="54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2018</v>
      </c>
      <c r="D384" s="1" t="s">
        <v>2051</v>
      </c>
      <c r="E384" s="16" t="n">
        <v>46203</v>
      </c>
      <c r="F384" s="16" t="n">
        <v>46203</v>
      </c>
      <c r="G384" s="1" t="s">
        <v>2052</v>
      </c>
      <c r="H384" s="1" t="n">
        <v>1334186</v>
      </c>
      <c r="I384" s="1" t="n">
        <v>11</v>
      </c>
      <c r="J384" s="1" t="s">
        <v>1963</v>
      </c>
      <c r="K384" s="54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1965</v>
      </c>
      <c r="D385" s="1" t="s">
        <v>2007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1963</v>
      </c>
      <c r="K385" s="54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1965</v>
      </c>
      <c r="D386" s="1" t="s">
        <v>2007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1963</v>
      </c>
      <c r="K386" s="54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1965</v>
      </c>
      <c r="D387" s="1" t="s">
        <v>2061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1963</v>
      </c>
      <c r="K387" s="54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1970</v>
      </c>
      <c r="D388" s="1" t="s">
        <v>1986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1963</v>
      </c>
      <c r="K388" s="54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1965</v>
      </c>
      <c r="D389" s="1" t="s">
        <v>1972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1963</v>
      </c>
      <c r="K389" s="54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2020</v>
      </c>
      <c r="D390" s="1" t="s">
        <v>2072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1963</v>
      </c>
      <c r="K390" s="54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1965</v>
      </c>
      <c r="D391" s="1" t="s">
        <v>1980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1963</v>
      </c>
      <c r="K391" s="54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1965</v>
      </c>
      <c r="D392" s="1" t="s">
        <v>1980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1963</v>
      </c>
      <c r="K392" s="54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1965</v>
      </c>
      <c r="D393" s="1" t="s">
        <v>1980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1963</v>
      </c>
      <c r="K393" s="54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1965</v>
      </c>
      <c r="D394" s="1" t="s">
        <v>1966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1963</v>
      </c>
      <c r="K394" s="54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1965</v>
      </c>
      <c r="D395" s="1" t="s">
        <v>1966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1963</v>
      </c>
      <c r="K395" s="54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1965</v>
      </c>
      <c r="D396" s="1" t="s">
        <v>1983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1963</v>
      </c>
      <c r="K396" s="54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1965</v>
      </c>
      <c r="D397" s="1" t="s">
        <v>1983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1963</v>
      </c>
      <c r="K397" s="54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1965</v>
      </c>
      <c r="D398" s="1" t="s">
        <v>1987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1963</v>
      </c>
      <c r="K398" s="54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1965</v>
      </c>
      <c r="D399" s="1" t="s">
        <v>1972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1963</v>
      </c>
      <c r="K399" s="54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1965</v>
      </c>
      <c r="D400" s="1" t="s">
        <v>2025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1963</v>
      </c>
      <c r="K400" s="54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1996</v>
      </c>
      <c r="D401" s="1" t="s">
        <v>2073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1963</v>
      </c>
      <c r="K401" s="54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1965</v>
      </c>
      <c r="D402" s="1" t="s">
        <v>1966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1963</v>
      </c>
      <c r="K402" s="54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1965</v>
      </c>
      <c r="D403" s="1" t="s">
        <v>1966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1963</v>
      </c>
      <c r="K403" s="54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1965</v>
      </c>
      <c r="D404" s="1" t="s">
        <v>1966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1963</v>
      </c>
      <c r="K404" s="54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1965</v>
      </c>
      <c r="D405" s="1" t="s">
        <v>1966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1963</v>
      </c>
      <c r="K405" s="54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1965</v>
      </c>
      <c r="D406" s="1" t="s">
        <v>1966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1963</v>
      </c>
      <c r="K406" s="54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1965</v>
      </c>
      <c r="D407" s="1" t="s">
        <v>1966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1963</v>
      </c>
      <c r="K407" s="54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1965</v>
      </c>
      <c r="D408" s="1" t="s">
        <v>1966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1963</v>
      </c>
      <c r="K408" s="54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1965</v>
      </c>
      <c r="D409" s="1" t="s">
        <v>1966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1963</v>
      </c>
      <c r="K409" s="54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1974</v>
      </c>
      <c r="D410" s="1" t="s">
        <v>2038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1963</v>
      </c>
      <c r="K410" s="54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1965</v>
      </c>
      <c r="D411" s="1" t="s">
        <v>2074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1963</v>
      </c>
      <c r="K411" s="54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2008</v>
      </c>
      <c r="D412" s="1" t="s">
        <v>2009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1963</v>
      </c>
      <c r="K412" s="54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1965</v>
      </c>
      <c r="D413" s="1" t="s">
        <v>1984</v>
      </c>
      <c r="E413" s="16" t="n">
        <v>46206</v>
      </c>
      <c r="F413" s="16" t="n">
        <v>46206</v>
      </c>
      <c r="G413" s="1" t="s">
        <v>1985</v>
      </c>
      <c r="H413" s="1" t="n">
        <v>1348284</v>
      </c>
      <c r="I413" s="1" t="n">
        <v>1</v>
      </c>
      <c r="J413" s="1" t="s">
        <v>1963</v>
      </c>
      <c r="K413" s="54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1965</v>
      </c>
      <c r="D414" s="1" t="s">
        <v>2075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1963</v>
      </c>
      <c r="K414" s="54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1965</v>
      </c>
      <c r="D415" s="1" t="s">
        <v>2024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1963</v>
      </c>
      <c r="K415" s="54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1965</v>
      </c>
      <c r="D416" s="1" t="s">
        <v>1968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1963</v>
      </c>
      <c r="K416" s="54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1996</v>
      </c>
      <c r="D417" s="1" t="s">
        <v>1997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1963</v>
      </c>
      <c r="K417" s="54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1974</v>
      </c>
      <c r="D418" s="1" t="s">
        <v>2003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1963</v>
      </c>
      <c r="K418" s="54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1965</v>
      </c>
      <c r="D419" s="1" t="s">
        <v>2003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1963</v>
      </c>
      <c r="K419" s="54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1965</v>
      </c>
      <c r="D420" s="1" t="s">
        <v>2003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1963</v>
      </c>
      <c r="K420" s="54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2020</v>
      </c>
      <c r="D421" s="1" t="s">
        <v>2076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1963</v>
      </c>
      <c r="K421" s="54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1965</v>
      </c>
      <c r="D422" s="1" t="s">
        <v>1966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1963</v>
      </c>
      <c r="K422" s="54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1965</v>
      </c>
      <c r="D423" s="1" t="s">
        <v>1966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1963</v>
      </c>
      <c r="K423" s="54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1965</v>
      </c>
      <c r="D424" s="1" t="s">
        <v>1966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1963</v>
      </c>
      <c r="K424" s="54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1965</v>
      </c>
      <c r="D425" s="1" t="s">
        <v>1966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1963</v>
      </c>
      <c r="K425" s="54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1965</v>
      </c>
      <c r="D426" s="1" t="s">
        <v>1966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1963</v>
      </c>
      <c r="K426" s="54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1965</v>
      </c>
      <c r="D427" s="1" t="s">
        <v>1966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1963</v>
      </c>
      <c r="K427" s="54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1965</v>
      </c>
      <c r="D428" s="1" t="s">
        <v>2007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1963</v>
      </c>
      <c r="K428" s="54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1965</v>
      </c>
      <c r="D429" s="1" t="s">
        <v>1972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1963</v>
      </c>
      <c r="K429" s="54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1974</v>
      </c>
      <c r="D430" s="1" t="s">
        <v>1975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1963</v>
      </c>
      <c r="K430" s="54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1965</v>
      </c>
      <c r="D431" s="1" t="s">
        <v>2006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1963</v>
      </c>
      <c r="K431" s="54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1965</v>
      </c>
      <c r="D432" s="1" t="s">
        <v>2006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1963</v>
      </c>
      <c r="K432" s="54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1965</v>
      </c>
      <c r="D433" s="1" t="s">
        <v>1966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1963</v>
      </c>
      <c r="K433" s="54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1965</v>
      </c>
      <c r="D434" s="1" t="s">
        <v>1966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1963</v>
      </c>
      <c r="K434" s="54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1965</v>
      </c>
      <c r="D435" s="1" t="s">
        <v>1982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1963</v>
      </c>
      <c r="K435" s="54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1965</v>
      </c>
      <c r="D436" s="1" t="s">
        <v>1984</v>
      </c>
      <c r="E436" s="16" t="n">
        <v>46209</v>
      </c>
      <c r="F436" s="16" t="n">
        <v>46207</v>
      </c>
      <c r="G436" s="1" t="s">
        <v>1985</v>
      </c>
      <c r="H436" s="1" t="n">
        <v>1364295</v>
      </c>
      <c r="I436" s="1" t="n">
        <v>1</v>
      </c>
      <c r="J436" s="1" t="s">
        <v>1963</v>
      </c>
      <c r="K436" s="54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1965</v>
      </c>
      <c r="D437" s="1" t="s">
        <v>2001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1963</v>
      </c>
      <c r="K437" s="54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1965</v>
      </c>
      <c r="D438" s="1" t="s">
        <v>2002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1963</v>
      </c>
      <c r="K438" s="54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1965</v>
      </c>
      <c r="D439" s="1" t="s">
        <v>1972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1963</v>
      </c>
      <c r="K439" s="54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1965</v>
      </c>
      <c r="D440" s="1" t="s">
        <v>1972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1963</v>
      </c>
      <c r="K440" s="54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1993</v>
      </c>
      <c r="D441" s="1" t="s">
        <v>1994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1963</v>
      </c>
      <c r="K441" s="54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1965</v>
      </c>
      <c r="D442" s="1" t="s">
        <v>1966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1963</v>
      </c>
      <c r="K442" s="54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1965</v>
      </c>
      <c r="D443" s="1" t="s">
        <v>1966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1963</v>
      </c>
      <c r="K443" s="54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1965</v>
      </c>
      <c r="D444" s="1" t="s">
        <v>1966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1963</v>
      </c>
      <c r="K444" s="54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1965</v>
      </c>
      <c r="D445" s="1" t="s">
        <v>1966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1963</v>
      </c>
      <c r="K445" s="54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1974</v>
      </c>
      <c r="D446" s="1" t="s">
        <v>2077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1963</v>
      </c>
      <c r="K446" s="54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2018</v>
      </c>
      <c r="D447" s="1" t="s">
        <v>2051</v>
      </c>
      <c r="E447" s="16" t="n">
        <v>46209</v>
      </c>
      <c r="F447" s="16" t="n">
        <v>46207</v>
      </c>
      <c r="G447" s="1" t="s">
        <v>2052</v>
      </c>
      <c r="H447" s="1" t="n">
        <v>1361453</v>
      </c>
      <c r="I447" s="1" t="n">
        <v>11</v>
      </c>
      <c r="J447" s="1" t="s">
        <v>1963</v>
      </c>
      <c r="K447" s="54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1965</v>
      </c>
      <c r="D448" s="1" t="s">
        <v>1967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1963</v>
      </c>
      <c r="K448" s="54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1965</v>
      </c>
      <c r="D449" s="1" t="s">
        <v>1968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1963</v>
      </c>
      <c r="K449" s="54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1965</v>
      </c>
      <c r="D450" s="1" t="s">
        <v>1998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1963</v>
      </c>
      <c r="K450" s="54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1965</v>
      </c>
      <c r="D451" s="1" t="s">
        <v>1977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1963</v>
      </c>
      <c r="K451" s="54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1965</v>
      </c>
      <c r="D452" s="1" t="s">
        <v>1966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1963</v>
      </c>
      <c r="K452" s="54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1965</v>
      </c>
      <c r="D453" s="1" t="s">
        <v>1966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1963</v>
      </c>
      <c r="K453" s="54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1965</v>
      </c>
      <c r="D454" s="1" t="s">
        <v>1966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1963</v>
      </c>
      <c r="K454" s="54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1965</v>
      </c>
      <c r="D455" s="1" t="s">
        <v>1966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1963</v>
      </c>
      <c r="K455" s="54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1965</v>
      </c>
      <c r="D456" s="1" t="s">
        <v>1966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1963</v>
      </c>
      <c r="K456" s="54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1965</v>
      </c>
      <c r="D457" s="1" t="s">
        <v>1966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1963</v>
      </c>
      <c r="K457" s="54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2039</v>
      </c>
      <c r="D458" s="1" t="s">
        <v>2040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1963</v>
      </c>
      <c r="K458" s="54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1965</v>
      </c>
      <c r="D459" s="1" t="s">
        <v>1979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1963</v>
      </c>
      <c r="K459" s="54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1965</v>
      </c>
      <c r="D460" s="1" t="s">
        <v>1966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1963</v>
      </c>
      <c r="K460" s="54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1965</v>
      </c>
      <c r="D461" s="1" t="s">
        <v>1966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1963</v>
      </c>
      <c r="K461" s="54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1965</v>
      </c>
      <c r="D462" s="1" t="s">
        <v>1966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1963</v>
      </c>
      <c r="K462" s="54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1965</v>
      </c>
      <c r="D463" s="1" t="s">
        <v>1966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1963</v>
      </c>
      <c r="K463" s="54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1965</v>
      </c>
      <c r="D464" s="1" t="s">
        <v>1966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1963</v>
      </c>
      <c r="K464" s="54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1965</v>
      </c>
      <c r="D465" s="1" t="s">
        <v>1966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1963</v>
      </c>
      <c r="K465" s="54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1965</v>
      </c>
      <c r="D466" s="1" t="s">
        <v>1982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1963</v>
      </c>
      <c r="K466" s="54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1970</v>
      </c>
      <c r="D467" s="1" t="s">
        <v>1986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1963</v>
      </c>
      <c r="K467" s="54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1961</v>
      </c>
      <c r="D468" s="1" t="s">
        <v>1962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1963</v>
      </c>
      <c r="K468" s="54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1961</v>
      </c>
      <c r="D469" s="1" t="s">
        <v>1962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1963</v>
      </c>
      <c r="K469" s="54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1961</v>
      </c>
      <c r="D470" s="1" t="s">
        <v>1962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1963</v>
      </c>
      <c r="K470" s="54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1961</v>
      </c>
      <c r="D471" s="1" t="s">
        <v>1962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1963</v>
      </c>
      <c r="K471" s="54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1964</v>
      </c>
      <c r="D472" s="1" t="s">
        <v>1962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1963</v>
      </c>
      <c r="K472" s="54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1965</v>
      </c>
      <c r="D473" s="1" t="s">
        <v>1987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1963</v>
      </c>
      <c r="K473" s="54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1974</v>
      </c>
      <c r="D474" s="1" t="s">
        <v>2049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1963</v>
      </c>
      <c r="K474" s="54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1965</v>
      </c>
      <c r="D475" s="1" t="s">
        <v>1972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1963</v>
      </c>
      <c r="K475" s="54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1965</v>
      </c>
      <c r="D476" s="1" t="s">
        <v>1972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1963</v>
      </c>
      <c r="K476" s="54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1965</v>
      </c>
      <c r="D477" s="1" t="s">
        <v>1973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1963</v>
      </c>
      <c r="K477" s="54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1965</v>
      </c>
      <c r="D478" s="1" t="s">
        <v>2003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1963</v>
      </c>
      <c r="K478" s="54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1965</v>
      </c>
      <c r="D479" s="1" t="s">
        <v>2004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1963</v>
      </c>
      <c r="K479" s="54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1965</v>
      </c>
      <c r="D480" s="1" t="s">
        <v>1980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1963</v>
      </c>
      <c r="K480" s="54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1974</v>
      </c>
      <c r="D481" s="1" t="s">
        <v>2067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1963</v>
      </c>
      <c r="K481" s="54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1965</v>
      </c>
      <c r="D482" s="1" t="s">
        <v>1966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1963</v>
      </c>
      <c r="K482" s="54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1974</v>
      </c>
      <c r="D483" s="1" t="s">
        <v>1981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1963</v>
      </c>
      <c r="K483" s="54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1965</v>
      </c>
      <c r="D484" s="1" t="s">
        <v>2028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1963</v>
      </c>
      <c r="K484" s="54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1965</v>
      </c>
      <c r="D485" s="1" t="s">
        <v>1983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1963</v>
      </c>
      <c r="K485" s="54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1965</v>
      </c>
      <c r="D486" s="1" t="s">
        <v>1983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1963</v>
      </c>
      <c r="K486" s="54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1965</v>
      </c>
      <c r="D487" s="1" t="s">
        <v>1984</v>
      </c>
      <c r="E487" s="16" t="n">
        <v>46213</v>
      </c>
      <c r="F487" s="16" t="n">
        <v>46213</v>
      </c>
      <c r="G487" s="1" t="s">
        <v>1985</v>
      </c>
      <c r="H487" s="1" t="n">
        <v>1381927</v>
      </c>
      <c r="I487" s="1" t="n">
        <v>1</v>
      </c>
      <c r="J487" s="1" t="s">
        <v>1963</v>
      </c>
      <c r="K487" s="54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1965</v>
      </c>
      <c r="D488" s="1" t="s">
        <v>2024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1963</v>
      </c>
      <c r="K488" s="54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1965</v>
      </c>
      <c r="D489" s="1" t="s">
        <v>1968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1963</v>
      </c>
      <c r="K489" s="54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1996</v>
      </c>
      <c r="D490" s="1" t="s">
        <v>1997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1963</v>
      </c>
      <c r="K490" s="54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1965</v>
      </c>
      <c r="D491" s="1" t="s">
        <v>2014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1963</v>
      </c>
      <c r="K491" s="54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1965</v>
      </c>
      <c r="D492" s="1" t="s">
        <v>1999</v>
      </c>
      <c r="E492" s="16" t="n">
        <v>46213</v>
      </c>
      <c r="F492" s="16" t="n">
        <v>46213</v>
      </c>
      <c r="G492" s="1" t="s">
        <v>2000</v>
      </c>
      <c r="H492" s="1" t="n">
        <v>1377144</v>
      </c>
      <c r="I492" s="1" t="n">
        <v>1</v>
      </c>
      <c r="J492" s="1" t="s">
        <v>1963</v>
      </c>
      <c r="K492" s="54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1965</v>
      </c>
      <c r="D493" s="1" t="s">
        <v>1966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1963</v>
      </c>
      <c r="K493" s="54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1965</v>
      </c>
      <c r="D494" s="1" t="s">
        <v>1966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1963</v>
      </c>
      <c r="K494" s="54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1970</v>
      </c>
      <c r="D495" s="1" t="s">
        <v>2078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1963</v>
      </c>
      <c r="K495" s="54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2008</v>
      </c>
      <c r="D496" s="1" t="s">
        <v>2009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1963</v>
      </c>
      <c r="K496" s="54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1970</v>
      </c>
      <c r="D497" s="1" t="s">
        <v>2034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1963</v>
      </c>
      <c r="K497" s="54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1974</v>
      </c>
      <c r="D498" s="1" t="s">
        <v>2079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1963</v>
      </c>
      <c r="K498" s="54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1965</v>
      </c>
      <c r="D499" s="1" t="s">
        <v>1966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1963</v>
      </c>
      <c r="K499" s="54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1965</v>
      </c>
      <c r="D500" s="1" t="s">
        <v>1966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1963</v>
      </c>
      <c r="K500" s="54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1965</v>
      </c>
      <c r="D501" s="1" t="s">
        <v>1966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1963</v>
      </c>
      <c r="K501" s="54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1965</v>
      </c>
      <c r="D502" s="1" t="s">
        <v>1966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1963</v>
      </c>
      <c r="K502" s="54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1965</v>
      </c>
      <c r="D503" s="1" t="s">
        <v>1982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1963</v>
      </c>
      <c r="K503" s="54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1965</v>
      </c>
      <c r="D504" s="1" t="s">
        <v>2001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1963</v>
      </c>
      <c r="K504" s="54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1965</v>
      </c>
      <c r="D505" s="1" t="s">
        <v>2010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1963</v>
      </c>
      <c r="K505" s="54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1961</v>
      </c>
      <c r="D506" s="1" t="s">
        <v>1962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1963</v>
      </c>
      <c r="K506" s="54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1964</v>
      </c>
      <c r="D507" s="1" t="s">
        <v>1962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1963</v>
      </c>
      <c r="K507" s="54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1965</v>
      </c>
      <c r="D508" s="1" t="s">
        <v>1972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1963</v>
      </c>
      <c r="K508" s="54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1965</v>
      </c>
      <c r="D509" s="1" t="s">
        <v>1972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1963</v>
      </c>
      <c r="K509" s="54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1965</v>
      </c>
      <c r="D510" s="1" t="s">
        <v>2080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1963</v>
      </c>
      <c r="K510" s="54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1970</v>
      </c>
      <c r="D511" s="1" t="s">
        <v>1976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1963</v>
      </c>
      <c r="K511" s="54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1965</v>
      </c>
      <c r="D512" s="1" t="s">
        <v>2037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1963</v>
      </c>
      <c r="K512" s="54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1965</v>
      </c>
      <c r="D513" s="1" t="s">
        <v>1966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1963</v>
      </c>
      <c r="K513" s="54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1965</v>
      </c>
      <c r="D514" s="1" t="s">
        <v>1966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1963</v>
      </c>
      <c r="K514" s="54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1965</v>
      </c>
      <c r="D515" s="1" t="s">
        <v>1967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1963</v>
      </c>
      <c r="K515" s="54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1965</v>
      </c>
      <c r="D516" s="1" t="s">
        <v>1966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1963</v>
      </c>
      <c r="K516" s="54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1965</v>
      </c>
      <c r="D517" s="1" t="s">
        <v>1966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1963</v>
      </c>
      <c r="K517" s="54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1970</v>
      </c>
      <c r="D518" s="1" t="s">
        <v>1986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1963</v>
      </c>
      <c r="K518" s="54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1965</v>
      </c>
      <c r="D519" s="1" t="s">
        <v>2006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1963</v>
      </c>
      <c r="K519" s="54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1965</v>
      </c>
      <c r="D520" s="1" t="s">
        <v>2006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1963</v>
      </c>
      <c r="K520" s="54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1965</v>
      </c>
      <c r="D521" s="1" t="s">
        <v>1980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1963</v>
      </c>
      <c r="K521" s="54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1965</v>
      </c>
      <c r="D522" s="1" t="s">
        <v>1980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1963</v>
      </c>
      <c r="K522" s="54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1965</v>
      </c>
      <c r="D523" s="1" t="s">
        <v>1966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1963</v>
      </c>
      <c r="K523" s="54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1965</v>
      </c>
      <c r="D524" s="1" t="s">
        <v>1966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1963</v>
      </c>
      <c r="K524" s="54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1965</v>
      </c>
      <c r="D525" s="1" t="s">
        <v>1982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1963</v>
      </c>
      <c r="K525" s="54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1965</v>
      </c>
      <c r="D526" s="1" t="s">
        <v>1987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1963</v>
      </c>
      <c r="K526" s="54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1965</v>
      </c>
      <c r="D527" s="1" t="s">
        <v>1966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1963</v>
      </c>
      <c r="K527" s="54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1965</v>
      </c>
      <c r="D528" s="1" t="s">
        <v>1966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1963</v>
      </c>
      <c r="K528" s="54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1965</v>
      </c>
      <c r="D529" s="1" t="s">
        <v>1966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1963</v>
      </c>
      <c r="K529" s="54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1965</v>
      </c>
      <c r="D530" s="1" t="s">
        <v>1966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1963</v>
      </c>
      <c r="K530" s="54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1965</v>
      </c>
      <c r="D531" s="1" t="s">
        <v>2081</v>
      </c>
      <c r="E531" s="16" t="n">
        <v>46219</v>
      </c>
      <c r="F531" s="16" t="n">
        <v>46216</v>
      </c>
      <c r="G531" s="1" t="s">
        <v>1248</v>
      </c>
      <c r="H531" s="1" t="n">
        <v>1407079</v>
      </c>
      <c r="I531" s="1" t="n">
        <v>11</v>
      </c>
      <c r="J531" s="1" t="s">
        <v>1963</v>
      </c>
      <c r="K531" s="54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1965</v>
      </c>
      <c r="D532" s="1" t="s">
        <v>1984</v>
      </c>
      <c r="E532" s="16" t="n">
        <v>46220</v>
      </c>
      <c r="F532" s="16" t="n">
        <v>46220</v>
      </c>
      <c r="G532" s="1" t="s">
        <v>1985</v>
      </c>
      <c r="H532" s="1" t="n">
        <v>1424243</v>
      </c>
      <c r="I532" s="1" t="n">
        <v>1</v>
      </c>
      <c r="J532" s="1" t="s">
        <v>1963</v>
      </c>
      <c r="K532" s="54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1965</v>
      </c>
      <c r="D533" s="1" t="s">
        <v>2055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1963</v>
      </c>
      <c r="K533" s="54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2018</v>
      </c>
      <c r="D534" s="1" t="s">
        <v>2035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1963</v>
      </c>
      <c r="K534" s="54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1961</v>
      </c>
      <c r="D535" s="1" t="s">
        <v>1962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1963</v>
      </c>
      <c r="K535" s="54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1964</v>
      </c>
      <c r="D536" s="1" t="s">
        <v>1962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1963</v>
      </c>
      <c r="K536" s="54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1965</v>
      </c>
      <c r="D537" s="1" t="s">
        <v>1968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1963</v>
      </c>
      <c r="K537" s="54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1974</v>
      </c>
      <c r="D538" s="1" t="s">
        <v>1975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1963</v>
      </c>
      <c r="K538" s="54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1965</v>
      </c>
      <c r="D539" s="1" t="s">
        <v>2082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1963</v>
      </c>
      <c r="K539" s="54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1965</v>
      </c>
      <c r="D540" s="1" t="s">
        <v>1966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1963</v>
      </c>
      <c r="K540" s="54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1965</v>
      </c>
      <c r="D541" s="1" t="s">
        <v>1966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1963</v>
      </c>
      <c r="K541" s="54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1965</v>
      </c>
      <c r="D542" s="1" t="s">
        <v>2083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1963</v>
      </c>
      <c r="K542" s="54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1965</v>
      </c>
      <c r="D543" s="1" t="s">
        <v>1984</v>
      </c>
      <c r="E543" s="16" t="n">
        <v>46221</v>
      </c>
      <c r="F543" s="16" t="n">
        <v>46221</v>
      </c>
      <c r="G543" s="1" t="s">
        <v>1985</v>
      </c>
      <c r="H543" s="1" t="n">
        <v>1423876</v>
      </c>
      <c r="I543" s="1" t="n">
        <v>1</v>
      </c>
      <c r="J543" s="1" t="s">
        <v>1963</v>
      </c>
      <c r="K543" s="54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1965</v>
      </c>
      <c r="D544" s="1" t="s">
        <v>1972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1963</v>
      </c>
      <c r="K544" s="54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1965</v>
      </c>
      <c r="D545" s="1" t="s">
        <v>1972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1963</v>
      </c>
      <c r="K545" s="54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1993</v>
      </c>
      <c r="D546" s="1" t="s">
        <v>1994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1963</v>
      </c>
      <c r="K546" s="54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2020</v>
      </c>
      <c r="D547" s="1" t="s">
        <v>2084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1963</v>
      </c>
      <c r="K547" s="54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2085</v>
      </c>
      <c r="D548" s="1" t="s">
        <v>2086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1963</v>
      </c>
      <c r="K548" s="54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1965</v>
      </c>
      <c r="D549" s="1" t="s">
        <v>1966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1963</v>
      </c>
      <c r="K549" s="54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1965</v>
      </c>
      <c r="D550" s="1" t="s">
        <v>1966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1963</v>
      </c>
      <c r="K550" s="54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1965</v>
      </c>
      <c r="D551" s="1" t="s">
        <v>1982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1963</v>
      </c>
      <c r="K551" s="54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1965</v>
      </c>
      <c r="D552" s="1" t="s">
        <v>1967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1963</v>
      </c>
      <c r="K552" s="54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1965</v>
      </c>
      <c r="D553" s="1" t="s">
        <v>2001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1963</v>
      </c>
      <c r="K553" s="54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1965</v>
      </c>
      <c r="D554" s="1" t="s">
        <v>2024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1963</v>
      </c>
      <c r="K554" s="54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2020</v>
      </c>
      <c r="D555" s="1" t="s">
        <v>2058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1963</v>
      </c>
      <c r="K555" s="54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2020</v>
      </c>
      <c r="D556" s="1" t="s">
        <v>2058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1963</v>
      </c>
      <c r="K556" s="54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1965</v>
      </c>
      <c r="D557" s="1" t="s">
        <v>2012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1963</v>
      </c>
      <c r="K557" s="54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1965</v>
      </c>
      <c r="D558" s="1" t="s">
        <v>2048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1963</v>
      </c>
      <c r="K558" s="54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1965</v>
      </c>
      <c r="D559" s="1" t="s">
        <v>1966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1963</v>
      </c>
      <c r="K559" s="54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1965</v>
      </c>
      <c r="D560" s="1" t="s">
        <v>1966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1963</v>
      </c>
      <c r="K560" s="54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1965</v>
      </c>
      <c r="D561" s="1" t="s">
        <v>2087</v>
      </c>
      <c r="E561" s="16" t="n">
        <v>46223</v>
      </c>
      <c r="F561" s="16" t="n">
        <v>46216</v>
      </c>
      <c r="G561" s="1" t="s">
        <v>1246</v>
      </c>
      <c r="H561" s="1" t="n">
        <v>1424885</v>
      </c>
      <c r="I561" s="1" t="n">
        <v>11</v>
      </c>
      <c r="J561" s="1" t="s">
        <v>1963</v>
      </c>
      <c r="K561" s="54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1961</v>
      </c>
      <c r="D562" s="1" t="s">
        <v>1962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1963</v>
      </c>
      <c r="K562" s="54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1964</v>
      </c>
      <c r="D563" s="1" t="s">
        <v>1962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1963</v>
      </c>
      <c r="K563" s="54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1965</v>
      </c>
      <c r="D564" s="1" t="s">
        <v>1972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1963</v>
      </c>
      <c r="K564" s="54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1965</v>
      </c>
      <c r="D565" s="1" t="s">
        <v>2050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1963</v>
      </c>
      <c r="K565" s="54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1965</v>
      </c>
      <c r="D566" s="1" t="s">
        <v>1966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1963</v>
      </c>
      <c r="K566" s="54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1965</v>
      </c>
      <c r="D567" s="1" t="s">
        <v>1966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1963</v>
      </c>
      <c r="K567" s="54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1965</v>
      </c>
      <c r="D568" s="1" t="s">
        <v>1966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1963</v>
      </c>
      <c r="K568" s="54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1965</v>
      </c>
      <c r="D569" s="1" t="s">
        <v>1966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1963</v>
      </c>
      <c r="K569" s="54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1970</v>
      </c>
      <c r="D570" s="1" t="s">
        <v>1986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1963</v>
      </c>
      <c r="K570" s="54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1965</v>
      </c>
      <c r="D571" s="1" t="s">
        <v>2042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1963</v>
      </c>
      <c r="K571" s="54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1965</v>
      </c>
      <c r="D572" s="1" t="s">
        <v>2033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1963</v>
      </c>
      <c r="K572" s="54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1965</v>
      </c>
      <c r="D573" s="1" t="s">
        <v>1968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1963</v>
      </c>
      <c r="K573" s="54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2085</v>
      </c>
      <c r="D574" s="1" t="s">
        <v>2086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1963</v>
      </c>
      <c r="K574" s="54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1965</v>
      </c>
      <c r="D575" s="1" t="s">
        <v>2003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1963</v>
      </c>
      <c r="K575" s="54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1965</v>
      </c>
      <c r="D576" s="1" t="s">
        <v>1999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1963</v>
      </c>
      <c r="K576" s="54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1965</v>
      </c>
      <c r="D577" s="1" t="s">
        <v>2004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1963</v>
      </c>
      <c r="K577" s="54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1965</v>
      </c>
      <c r="D578" s="1" t="s">
        <v>1979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1963</v>
      </c>
      <c r="K578" s="54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1965</v>
      </c>
      <c r="D579" s="1" t="s">
        <v>2050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1963</v>
      </c>
      <c r="K579" s="54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1965</v>
      </c>
      <c r="D580" s="1" t="s">
        <v>1966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1963</v>
      </c>
      <c r="K580" s="54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1965</v>
      </c>
      <c r="D581" s="1" t="s">
        <v>1966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1963</v>
      </c>
      <c r="K581" s="54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1965</v>
      </c>
      <c r="D582" s="1" t="s">
        <v>1966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1963</v>
      </c>
      <c r="K582" s="54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2039</v>
      </c>
      <c r="D583" s="1" t="s">
        <v>2040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1963</v>
      </c>
      <c r="K583" s="54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1965</v>
      </c>
      <c r="D584" s="1" t="s">
        <v>1982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1963</v>
      </c>
      <c r="K584" s="54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1965</v>
      </c>
      <c r="D585" s="1" t="s">
        <v>1992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1963</v>
      </c>
      <c r="K585" s="54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1965</v>
      </c>
      <c r="D586" s="1" t="s">
        <v>1987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1963</v>
      </c>
      <c r="K586" s="54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1965</v>
      </c>
      <c r="D587" s="1" t="s">
        <v>1977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1963</v>
      </c>
      <c r="K587" s="54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1965</v>
      </c>
      <c r="D588" s="1" t="s">
        <v>2027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1963</v>
      </c>
      <c r="K588" s="54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1965</v>
      </c>
      <c r="D589" s="1" t="s">
        <v>1979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1963</v>
      </c>
      <c r="K589" s="54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1965</v>
      </c>
      <c r="D590" s="1" t="s">
        <v>1980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1963</v>
      </c>
      <c r="K590" s="54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1965</v>
      </c>
      <c r="D591" s="1" t="s">
        <v>1966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1963</v>
      </c>
      <c r="K591" s="54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1965</v>
      </c>
      <c r="D592" s="1" t="s">
        <v>1966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1963</v>
      </c>
      <c r="K592" s="54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1965</v>
      </c>
      <c r="D593" s="1" t="s">
        <v>1966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1963</v>
      </c>
      <c r="K593" s="54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1965</v>
      </c>
      <c r="D594" s="1" t="s">
        <v>1983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1963</v>
      </c>
      <c r="K594" s="54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1965</v>
      </c>
      <c r="D595" s="1" t="s">
        <v>2010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1963</v>
      </c>
      <c r="K595" s="54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1965</v>
      </c>
      <c r="D596" s="1" t="s">
        <v>1968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1963</v>
      </c>
      <c r="K596" s="54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1965</v>
      </c>
      <c r="D597" s="1" t="s">
        <v>1988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1963</v>
      </c>
      <c r="K597" s="54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1996</v>
      </c>
      <c r="D598" s="1" t="s">
        <v>1997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1963</v>
      </c>
      <c r="K598" s="54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1965</v>
      </c>
      <c r="D599" s="1" t="s">
        <v>2088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1963</v>
      </c>
      <c r="K599" s="54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1965</v>
      </c>
      <c r="D600" s="1" t="s">
        <v>1984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1963</v>
      </c>
      <c r="K600" s="54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1965</v>
      </c>
      <c r="D601" s="1" t="s">
        <v>1966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1963</v>
      </c>
      <c r="K601" s="54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1965</v>
      </c>
      <c r="D602" s="1" t="s">
        <v>1966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1963</v>
      </c>
      <c r="K602" s="54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1965</v>
      </c>
      <c r="D603" s="1" t="s">
        <v>1966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1963</v>
      </c>
      <c r="K603" s="54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1965</v>
      </c>
      <c r="D604" s="1" t="s">
        <v>1966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1963</v>
      </c>
      <c r="K604" s="54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1965</v>
      </c>
      <c r="D605" s="1" t="s">
        <v>1967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1963</v>
      </c>
      <c r="K605" s="54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2018</v>
      </c>
      <c r="D606" s="1" t="s">
        <v>2035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1963</v>
      </c>
      <c r="K606" s="54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1961</v>
      </c>
      <c r="D607" s="1" t="s">
        <v>1962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1963</v>
      </c>
      <c r="K607" s="54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1964</v>
      </c>
      <c r="D608" s="1" t="s">
        <v>1962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1963</v>
      </c>
      <c r="K608" s="54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1965</v>
      </c>
      <c r="D609" s="1" t="s">
        <v>1972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1963</v>
      </c>
      <c r="K609" s="54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1965</v>
      </c>
      <c r="D610" s="1" t="s">
        <v>2012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1963</v>
      </c>
      <c r="K610" s="54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1965</v>
      </c>
      <c r="D611" s="1" t="s">
        <v>2006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1963</v>
      </c>
      <c r="K611" s="54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1965</v>
      </c>
      <c r="D612" s="1" t="s">
        <v>1966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1963</v>
      </c>
      <c r="K612" s="54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1965</v>
      </c>
      <c r="D613" s="1" t="s">
        <v>1966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1963</v>
      </c>
      <c r="K613" s="54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1965</v>
      </c>
      <c r="D614" s="1" t="s">
        <v>2089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1963</v>
      </c>
      <c r="K614" s="54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1965</v>
      </c>
      <c r="D615" s="1" t="s">
        <v>2090</v>
      </c>
      <c r="E615" s="16" t="n">
        <v>46228</v>
      </c>
      <c r="F615" s="16" t="n">
        <v>46227</v>
      </c>
      <c r="G615" s="1" t="s">
        <v>1703</v>
      </c>
      <c r="H615" s="1" t="n">
        <v>1448714</v>
      </c>
      <c r="I615" s="1" t="n">
        <v>39</v>
      </c>
      <c r="J615" s="1" t="s">
        <v>1963</v>
      </c>
      <c r="K615" s="54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1965</v>
      </c>
      <c r="D616" s="1" t="s">
        <v>1982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1963</v>
      </c>
      <c r="K616" s="54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1965</v>
      </c>
      <c r="D617" s="1" t="s">
        <v>2050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1963</v>
      </c>
      <c r="K617" s="54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1965</v>
      </c>
      <c r="D618" s="1" t="s">
        <v>1966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1963</v>
      </c>
      <c r="K618" s="54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2018</v>
      </c>
      <c r="D619" s="1" t="s">
        <v>2051</v>
      </c>
      <c r="E619" s="16" t="n">
        <v>46230</v>
      </c>
      <c r="F619" s="16" t="n">
        <v>46228</v>
      </c>
      <c r="G619" s="1" t="s">
        <v>2052</v>
      </c>
      <c r="H619" s="1" t="n">
        <v>1458307</v>
      </c>
      <c r="I619" s="1" t="n">
        <v>11</v>
      </c>
      <c r="J619" s="1" t="s">
        <v>1963</v>
      </c>
      <c r="K619" s="54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1965</v>
      </c>
      <c r="D620" s="1" t="s">
        <v>2001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1963</v>
      </c>
      <c r="K620" s="54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1965</v>
      </c>
      <c r="D621" s="1" t="s">
        <v>2001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1963</v>
      </c>
      <c r="K621" s="54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1965</v>
      </c>
      <c r="D622" s="1" t="s">
        <v>1972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1963</v>
      </c>
      <c r="K622" s="54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1965</v>
      </c>
      <c r="D623" s="1" t="s">
        <v>1988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1963</v>
      </c>
      <c r="K623" s="54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1965</v>
      </c>
      <c r="D624" s="1" t="s">
        <v>1988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1963</v>
      </c>
      <c r="K624" s="54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1965</v>
      </c>
      <c r="D625" s="1" t="s">
        <v>2091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1963</v>
      </c>
      <c r="K625" s="54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1965</v>
      </c>
      <c r="D626" s="1" t="s">
        <v>2088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1963</v>
      </c>
      <c r="K626" s="54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1965</v>
      </c>
      <c r="D627" s="1" t="s">
        <v>1966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1963</v>
      </c>
      <c r="K627" s="54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1965</v>
      </c>
      <c r="D628" s="1" t="s">
        <v>1966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1963</v>
      </c>
      <c r="K628" s="54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1965</v>
      </c>
      <c r="D629" s="1" t="s">
        <v>1966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1963</v>
      </c>
      <c r="K629" s="54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1970</v>
      </c>
      <c r="D630" s="1" t="s">
        <v>2041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1963</v>
      </c>
      <c r="K630" s="54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2018</v>
      </c>
      <c r="D631" s="1" t="s">
        <v>2035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1963</v>
      </c>
      <c r="K631" s="54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1970</v>
      </c>
      <c r="D632" s="1" t="s">
        <v>2092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1963</v>
      </c>
      <c r="K632" s="54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1965</v>
      </c>
      <c r="D633" s="1" t="s">
        <v>1980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1963</v>
      </c>
      <c r="K633" s="54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1965</v>
      </c>
      <c r="D634" s="1" t="s">
        <v>1980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1963</v>
      </c>
      <c r="K634" s="54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1965</v>
      </c>
      <c r="D635" s="1" t="s">
        <v>1966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1963</v>
      </c>
      <c r="K635" s="54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1965</v>
      </c>
      <c r="D636" s="1" t="s">
        <v>2055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1963</v>
      </c>
      <c r="K636" s="54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1970</v>
      </c>
      <c r="D637" s="1" t="s">
        <v>1986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1963</v>
      </c>
      <c r="K637" s="54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1965</v>
      </c>
      <c r="D638" s="1" t="s">
        <v>1987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1963</v>
      </c>
      <c r="K638" s="54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1965</v>
      </c>
      <c r="D639" s="1" t="s">
        <v>1972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1963</v>
      </c>
      <c r="K639" s="54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1965</v>
      </c>
      <c r="D640" s="1" t="s">
        <v>1973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1963</v>
      </c>
      <c r="K640" s="54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1965</v>
      </c>
      <c r="D641" s="1" t="s">
        <v>2025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1963</v>
      </c>
      <c r="K641" s="54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1974</v>
      </c>
      <c r="D642" s="1" t="s">
        <v>2003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1963</v>
      </c>
      <c r="K642" s="54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1965</v>
      </c>
      <c r="D643" s="1" t="s">
        <v>2003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1963</v>
      </c>
      <c r="K643" s="54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1965</v>
      </c>
      <c r="D644" s="1" t="s">
        <v>2047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1963</v>
      </c>
      <c r="K644" s="54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1965</v>
      </c>
      <c r="D645" s="1" t="s">
        <v>2093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1963</v>
      </c>
      <c r="K645" s="54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1965</v>
      </c>
      <c r="D646" s="1" t="s">
        <v>1979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1963</v>
      </c>
      <c r="K646" s="54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1965</v>
      </c>
      <c r="D647" s="1" t="s">
        <v>2050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1963</v>
      </c>
      <c r="K647" s="54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1965</v>
      </c>
      <c r="D648" s="1" t="s">
        <v>1966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1963</v>
      </c>
      <c r="K648" s="54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1965</v>
      </c>
      <c r="D649" s="1" t="s">
        <v>1966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1963</v>
      </c>
      <c r="K649" s="54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1965</v>
      </c>
      <c r="D650" s="1" t="s">
        <v>1966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1963</v>
      </c>
      <c r="K650" s="54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1974</v>
      </c>
      <c r="D651" s="1" t="s">
        <v>2038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1963</v>
      </c>
      <c r="K651" s="54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1965</v>
      </c>
      <c r="D652" s="1" t="s">
        <v>1982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1963</v>
      </c>
      <c r="K652" s="54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1965</v>
      </c>
      <c r="D653" s="1" t="s">
        <v>1983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1963</v>
      </c>
      <c r="K653" s="54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1965</v>
      </c>
      <c r="D654" s="1" t="s">
        <v>2094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1963</v>
      </c>
      <c r="K654" s="54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1961</v>
      </c>
      <c r="D655" s="1" t="s">
        <v>1962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1963</v>
      </c>
      <c r="K655" s="54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1964</v>
      </c>
      <c r="D656" s="1" t="s">
        <v>1962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1963</v>
      </c>
      <c r="K656" s="54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1965</v>
      </c>
      <c r="D657" s="1" t="s">
        <v>2033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1963</v>
      </c>
      <c r="K657" s="54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1965</v>
      </c>
      <c r="D658" s="1" t="s">
        <v>1968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1963</v>
      </c>
      <c r="K658" s="54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1970</v>
      </c>
      <c r="D659" s="1" t="s">
        <v>1995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1963</v>
      </c>
      <c r="K659" s="54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1965</v>
      </c>
      <c r="D660" s="1" t="s">
        <v>1988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1963</v>
      </c>
      <c r="K660" s="54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1974</v>
      </c>
      <c r="D661" s="1" t="s">
        <v>1975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1963</v>
      </c>
      <c r="K661" s="54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1996</v>
      </c>
      <c r="D662" s="1" t="s">
        <v>1997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1963</v>
      </c>
      <c r="K662" s="54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1965</v>
      </c>
      <c r="D663" s="1" t="s">
        <v>1999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1963</v>
      </c>
      <c r="K663" s="54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1965</v>
      </c>
      <c r="D664" s="1" t="s">
        <v>1984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1963</v>
      </c>
      <c r="K664" s="54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1965</v>
      </c>
      <c r="D665" s="1" t="s">
        <v>2027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1963</v>
      </c>
      <c r="K665" s="54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2095</v>
      </c>
      <c r="D666" s="1" t="s">
        <v>2096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1963</v>
      </c>
      <c r="K666" s="54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1965</v>
      </c>
      <c r="D667" s="1" t="s">
        <v>2006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1963</v>
      </c>
      <c r="K667" s="54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1965</v>
      </c>
      <c r="D668" s="1" t="s">
        <v>2006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1963</v>
      </c>
      <c r="K668" s="54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1965</v>
      </c>
      <c r="D669" s="1" t="s">
        <v>2006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1963</v>
      </c>
      <c r="K669" s="54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1965</v>
      </c>
      <c r="D670" s="1" t="s">
        <v>1966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1963</v>
      </c>
      <c r="K670" s="54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1965</v>
      </c>
      <c r="D671" s="1" t="s">
        <v>1966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1963</v>
      </c>
      <c r="K671" s="54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1965</v>
      </c>
      <c r="D672" s="1" t="s">
        <v>1966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1963</v>
      </c>
      <c r="K672" s="54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1974</v>
      </c>
      <c r="D673" s="1" t="s">
        <v>2077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1963</v>
      </c>
      <c r="K673" s="54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1965</v>
      </c>
      <c r="D674" s="1" t="s">
        <v>1982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1963</v>
      </c>
      <c r="K674" s="54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2008</v>
      </c>
      <c r="D675" s="1" t="s">
        <v>2009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1963</v>
      </c>
      <c r="K675" s="54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1974</v>
      </c>
      <c r="D676" s="1" t="s">
        <v>2064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1963</v>
      </c>
      <c r="K676" s="54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1965</v>
      </c>
      <c r="D677" s="1" t="s">
        <v>1967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1963</v>
      </c>
      <c r="K677" s="54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1965</v>
      </c>
      <c r="D678" s="1" t="s">
        <v>1966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1963</v>
      </c>
      <c r="K678" s="54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1965</v>
      </c>
      <c r="D679" s="1" t="s">
        <v>1966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1963</v>
      </c>
      <c r="K679" s="54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1965</v>
      </c>
      <c r="D680" s="1" t="s">
        <v>1966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1963</v>
      </c>
      <c r="K680" s="54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1970</v>
      </c>
      <c r="D681" s="1" t="s">
        <v>1976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1963</v>
      </c>
      <c r="K681" s="54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1965</v>
      </c>
      <c r="D682" s="1" t="s">
        <v>2024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1963</v>
      </c>
      <c r="K682" s="54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1965</v>
      </c>
      <c r="D683" s="1" t="s">
        <v>1972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1963</v>
      </c>
      <c r="K683" s="54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1993</v>
      </c>
      <c r="D684" s="1" t="s">
        <v>1994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1963</v>
      </c>
      <c r="K684" s="54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1965</v>
      </c>
      <c r="D685" s="1" t="s">
        <v>1988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1963</v>
      </c>
      <c r="K685" s="54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1965</v>
      </c>
      <c r="D686" s="1" t="s">
        <v>2012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1963</v>
      </c>
      <c r="K686" s="54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1965</v>
      </c>
      <c r="D687" s="1" t="s">
        <v>2088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1963</v>
      </c>
      <c r="K687" s="54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1965</v>
      </c>
      <c r="D688" s="1" t="s">
        <v>2050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1963</v>
      </c>
      <c r="K688" s="54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1965</v>
      </c>
      <c r="D689" s="1" t="s">
        <v>1966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1963</v>
      </c>
      <c r="K689" s="54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1965</v>
      </c>
      <c r="D690" s="1" t="s">
        <v>1966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1963</v>
      </c>
      <c r="K690" s="54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1965</v>
      </c>
      <c r="D691" s="1" t="s">
        <v>1966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1963</v>
      </c>
      <c r="K691" s="54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2097</v>
      </c>
      <c r="D692" s="1" t="s">
        <v>2098</v>
      </c>
      <c r="E692" s="16" t="n">
        <v>46238</v>
      </c>
      <c r="F692" s="16" t="n">
        <v>46237</v>
      </c>
      <c r="G692" s="1" t="s">
        <v>1710</v>
      </c>
      <c r="H692" s="1" t="n">
        <v>1498544</v>
      </c>
      <c r="I692" s="1" t="n">
        <v>39</v>
      </c>
      <c r="J692" s="1" t="s">
        <v>1963</v>
      </c>
      <c r="K692" s="54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1974</v>
      </c>
      <c r="D693" s="1" t="s">
        <v>2049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1963</v>
      </c>
      <c r="K693" s="54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1965</v>
      </c>
      <c r="D694" s="1" t="s">
        <v>1968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1963</v>
      </c>
      <c r="K694" s="54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1965</v>
      </c>
      <c r="D695" s="1" t="s">
        <v>2006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1963</v>
      </c>
      <c r="K695" s="54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1965</v>
      </c>
      <c r="D696" s="1" t="s">
        <v>1966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1963</v>
      </c>
      <c r="K696" s="54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1965</v>
      </c>
      <c r="D697" s="1" t="s">
        <v>1966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1963</v>
      </c>
      <c r="K697" s="54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1965</v>
      </c>
      <c r="D698" s="1" t="s">
        <v>1966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1963</v>
      </c>
      <c r="K698" s="54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1974</v>
      </c>
      <c r="D699" s="1" t="s">
        <v>1981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1963</v>
      </c>
      <c r="K699" s="54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1965</v>
      </c>
      <c r="D700" s="1" t="s">
        <v>2099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1963</v>
      </c>
      <c r="K700" s="54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1965</v>
      </c>
      <c r="D701" s="1" t="s">
        <v>2062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1963</v>
      </c>
      <c r="K701" s="54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1970</v>
      </c>
      <c r="D702" s="1" t="s">
        <v>1986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1963</v>
      </c>
      <c r="K702" s="54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1964</v>
      </c>
      <c r="D703" s="1" t="s">
        <v>1962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1963</v>
      </c>
      <c r="K703" s="54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1965</v>
      </c>
      <c r="D704" s="1" t="s">
        <v>2033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1963</v>
      </c>
      <c r="K704" s="54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1965</v>
      </c>
      <c r="D705" s="1" t="s">
        <v>1972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1963</v>
      </c>
      <c r="K705" s="54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1965</v>
      </c>
      <c r="D706" s="1" t="s">
        <v>1988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1963</v>
      </c>
      <c r="K706" s="54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1965</v>
      </c>
      <c r="D707" s="1" t="s">
        <v>2100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1963</v>
      </c>
      <c r="K707" s="54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1965</v>
      </c>
      <c r="D708" s="1" t="s">
        <v>2101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1963</v>
      </c>
      <c r="K708" s="54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1965</v>
      </c>
      <c r="D709" s="1" t="s">
        <v>2088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1963</v>
      </c>
      <c r="K709" s="54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1965</v>
      </c>
      <c r="D710" s="1" t="s">
        <v>1979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1963</v>
      </c>
      <c r="K710" s="54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1965</v>
      </c>
      <c r="D711" s="1" t="s">
        <v>1980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1963</v>
      </c>
      <c r="K711" s="54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1965</v>
      </c>
      <c r="D712" s="1" t="s">
        <v>1980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1963</v>
      </c>
      <c r="K712" s="54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1965</v>
      </c>
      <c r="D713" s="1" t="s">
        <v>1966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1963</v>
      </c>
      <c r="K713" s="54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1965</v>
      </c>
      <c r="D714" s="1" t="s">
        <v>1966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1963</v>
      </c>
      <c r="K714" s="54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2039</v>
      </c>
      <c r="D715" s="1" t="s">
        <v>2040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1963</v>
      </c>
      <c r="K715" s="54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1965</v>
      </c>
      <c r="D716" s="1" t="s">
        <v>1982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1963</v>
      </c>
      <c r="K716" s="54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1965</v>
      </c>
      <c r="D717" s="1" t="s">
        <v>1983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1963</v>
      </c>
      <c r="K717" s="54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1965</v>
      </c>
      <c r="D718" s="1" t="s">
        <v>1983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1963</v>
      </c>
      <c r="K718" s="54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1970</v>
      </c>
      <c r="D719" s="1" t="s">
        <v>2029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1963</v>
      </c>
      <c r="K719" s="54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1965</v>
      </c>
      <c r="D720" s="1" t="s">
        <v>1987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1963</v>
      </c>
      <c r="K720" s="54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1965</v>
      </c>
      <c r="D721" s="1" t="s">
        <v>1972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1963</v>
      </c>
      <c r="K721" s="54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1965</v>
      </c>
      <c r="D722" s="1" t="s">
        <v>1988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1963</v>
      </c>
      <c r="K722" s="54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1965</v>
      </c>
      <c r="D723" s="1" t="s">
        <v>1998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1963</v>
      </c>
      <c r="K723" s="54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1965</v>
      </c>
      <c r="D724" s="1" t="s">
        <v>1998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1963</v>
      </c>
      <c r="K724" s="54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1965</v>
      </c>
      <c r="D725" s="1" t="s">
        <v>2044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1963</v>
      </c>
      <c r="K725" s="54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1965</v>
      </c>
      <c r="D726" s="1" t="s">
        <v>1979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1963</v>
      </c>
      <c r="K726" s="54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1974</v>
      </c>
      <c r="D727" s="1" t="s">
        <v>2067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1963</v>
      </c>
      <c r="K727" s="54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1965</v>
      </c>
      <c r="D728" s="1" t="s">
        <v>1966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1963</v>
      </c>
      <c r="K728" s="54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1965</v>
      </c>
      <c r="D729" s="1" t="s">
        <v>1966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1963</v>
      </c>
      <c r="K729" s="54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1965</v>
      </c>
      <c r="D730" s="1" t="s">
        <v>1992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1963</v>
      </c>
      <c r="K730" s="54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1965</v>
      </c>
      <c r="D731" s="1" t="s">
        <v>1969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1963</v>
      </c>
      <c r="K731" s="54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1961</v>
      </c>
      <c r="D732" s="1" t="s">
        <v>1962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1963</v>
      </c>
      <c r="K732" s="54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1964</v>
      </c>
      <c r="D733" s="1" t="s">
        <v>1962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1963</v>
      </c>
      <c r="K733" s="54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1965</v>
      </c>
      <c r="D734" s="1" t="s">
        <v>2023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1963</v>
      </c>
      <c r="K734" s="54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1965</v>
      </c>
      <c r="D735" s="1" t="s">
        <v>2024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1963</v>
      </c>
      <c r="K735" s="54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1965</v>
      </c>
      <c r="D736" s="1" t="s">
        <v>1972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1963</v>
      </c>
      <c r="K736" s="54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1965</v>
      </c>
      <c r="D737" s="1" t="s">
        <v>1972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1963</v>
      </c>
      <c r="K737" s="54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1996</v>
      </c>
      <c r="D738" s="1" t="s">
        <v>1997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1963</v>
      </c>
      <c r="K738" s="54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1974</v>
      </c>
      <c r="D739" s="1" t="s">
        <v>2070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1963</v>
      </c>
      <c r="K739" s="54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1965</v>
      </c>
      <c r="D740" s="1" t="s">
        <v>1984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1963</v>
      </c>
      <c r="K740" s="54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1965</v>
      </c>
      <c r="D741" s="1" t="s">
        <v>2027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1963</v>
      </c>
      <c r="K741" s="54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1965</v>
      </c>
      <c r="D742" s="1" t="s">
        <v>1966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1963</v>
      </c>
      <c r="K742" s="54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1965</v>
      </c>
      <c r="D743" s="1" t="s">
        <v>1966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1963</v>
      </c>
      <c r="K743" s="54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1965</v>
      </c>
      <c r="D744" s="1" t="s">
        <v>1966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1963</v>
      </c>
      <c r="K744" s="54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1970</v>
      </c>
      <c r="D745" s="1" t="s">
        <v>2034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1963</v>
      </c>
      <c r="K745" s="54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1965</v>
      </c>
      <c r="D746" s="1" t="s">
        <v>1967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1963</v>
      </c>
      <c r="K746" s="54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1965</v>
      </c>
      <c r="D747" s="1" t="s">
        <v>2102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1963</v>
      </c>
      <c r="K747" s="54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1965</v>
      </c>
      <c r="D748" s="1" t="s">
        <v>1966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1963</v>
      </c>
      <c r="K748" s="54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1965</v>
      </c>
      <c r="D749" s="1" t="s">
        <v>1966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1963</v>
      </c>
      <c r="K749" s="54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1965</v>
      </c>
      <c r="D750" s="1" t="s">
        <v>1966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1963</v>
      </c>
      <c r="K750" s="54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1965</v>
      </c>
      <c r="D751" s="1" t="s">
        <v>1982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1963</v>
      </c>
      <c r="K751" s="54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1965</v>
      </c>
      <c r="D752" s="1" t="s">
        <v>2001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1963</v>
      </c>
      <c r="K752" s="54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1965</v>
      </c>
      <c r="D753" s="1" t="s">
        <v>1972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1963</v>
      </c>
      <c r="K753" s="54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1965</v>
      </c>
      <c r="D754" s="1" t="s">
        <v>2088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1963</v>
      </c>
      <c r="K754" s="54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1965</v>
      </c>
      <c r="D755" s="1" t="s">
        <v>1966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1963</v>
      </c>
      <c r="K755" s="54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1965</v>
      </c>
      <c r="D756" s="1" t="s">
        <v>1966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1963</v>
      </c>
      <c r="K756" s="54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1965</v>
      </c>
      <c r="D757" s="1" t="s">
        <v>1968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1963</v>
      </c>
      <c r="K757" s="54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2018</v>
      </c>
      <c r="D758" s="1" t="s">
        <v>2019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1963</v>
      </c>
      <c r="K758" s="54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1965</v>
      </c>
      <c r="D759" s="1" t="s">
        <v>2050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1963</v>
      </c>
      <c r="K759" s="54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1965</v>
      </c>
      <c r="D760" s="1" t="s">
        <v>1966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1963</v>
      </c>
      <c r="K760" s="54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1965</v>
      </c>
      <c r="D761" s="1" t="s">
        <v>1966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1963</v>
      </c>
      <c r="K761" s="54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1965</v>
      </c>
      <c r="D762" s="1" t="s">
        <v>1966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1963</v>
      </c>
      <c r="K762" s="54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1965</v>
      </c>
      <c r="D763" s="1" t="s">
        <v>1966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1963</v>
      </c>
      <c r="K763" s="54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1965</v>
      </c>
      <c r="D764" s="1" t="s">
        <v>1967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1963</v>
      </c>
      <c r="K764" s="54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1965</v>
      </c>
      <c r="D765" s="1" t="s">
        <v>2001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1963</v>
      </c>
      <c r="K765" s="54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1965</v>
      </c>
      <c r="D766" s="1" t="s">
        <v>1972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1963</v>
      </c>
      <c r="K766" s="54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1965</v>
      </c>
      <c r="D767" s="1" t="s">
        <v>2088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1963</v>
      </c>
      <c r="K767" s="54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1965</v>
      </c>
      <c r="D768" s="1" t="s">
        <v>1999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1963</v>
      </c>
      <c r="K768" s="54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1965</v>
      </c>
      <c r="D769" s="1" t="s">
        <v>2027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1963</v>
      </c>
      <c r="K769" s="54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1965</v>
      </c>
      <c r="D770" s="1" t="s">
        <v>1966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1963</v>
      </c>
      <c r="K770" s="54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2039</v>
      </c>
      <c r="D771" s="1" t="s">
        <v>2040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1963</v>
      </c>
      <c r="K771" s="54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1965</v>
      </c>
      <c r="D772" s="1" t="s">
        <v>1982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1963</v>
      </c>
      <c r="K772" s="54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1965</v>
      </c>
      <c r="D773" s="1" t="s">
        <v>1983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1963</v>
      </c>
      <c r="K773" s="54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1965</v>
      </c>
      <c r="D774" s="1" t="s">
        <v>1983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1963</v>
      </c>
      <c r="K774" s="54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1965</v>
      </c>
      <c r="D775" s="1" t="s">
        <v>1987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1963</v>
      </c>
      <c r="K775" s="54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1965</v>
      </c>
      <c r="D776" s="1" t="s">
        <v>2012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1963</v>
      </c>
      <c r="K776" s="54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1965</v>
      </c>
      <c r="D777" s="1" t="s">
        <v>2012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1963</v>
      </c>
      <c r="K777" s="54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1965</v>
      </c>
      <c r="D778" s="1" t="s">
        <v>2036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1963</v>
      </c>
      <c r="K778" s="54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1974</v>
      </c>
      <c r="D779" s="1" t="s">
        <v>1975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1963</v>
      </c>
      <c r="K779" s="54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1965</v>
      </c>
      <c r="D780" s="1" t="s">
        <v>2048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1963</v>
      </c>
      <c r="K780" s="54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1965</v>
      </c>
      <c r="D781" s="1" t="s">
        <v>1979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1963</v>
      </c>
      <c r="K781" s="54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1965</v>
      </c>
      <c r="D782" s="1" t="s">
        <v>1980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1963</v>
      </c>
      <c r="K782" s="54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1965</v>
      </c>
      <c r="D783" s="1" t="s">
        <v>1966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1963</v>
      </c>
      <c r="K783" s="54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1965</v>
      </c>
      <c r="D784" s="1" t="s">
        <v>1966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1963</v>
      </c>
      <c r="K784" s="54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1965</v>
      </c>
      <c r="D785" s="1" t="s">
        <v>1966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1963</v>
      </c>
      <c r="K785" s="54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1974</v>
      </c>
      <c r="D786" s="1" t="s">
        <v>1981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1963</v>
      </c>
      <c r="K786" s="54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1965</v>
      </c>
      <c r="D787" s="1" t="s">
        <v>2030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1963</v>
      </c>
      <c r="K787" s="54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1965</v>
      </c>
      <c r="D788" s="1" t="s">
        <v>2032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1963</v>
      </c>
      <c r="K788" s="54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1965</v>
      </c>
      <c r="D789" s="1" t="s">
        <v>2042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1963</v>
      </c>
      <c r="K789" s="54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1965</v>
      </c>
      <c r="D790" s="1" t="s">
        <v>2024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1963</v>
      </c>
      <c r="K790" s="54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1965</v>
      </c>
      <c r="D791" s="1" t="s">
        <v>1972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1963</v>
      </c>
      <c r="K791" s="54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1965</v>
      </c>
      <c r="D792" s="1" t="s">
        <v>1972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1963</v>
      </c>
      <c r="K792" s="54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1965</v>
      </c>
      <c r="D793" s="1" t="s">
        <v>1968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1963</v>
      </c>
      <c r="K793" s="54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1996</v>
      </c>
      <c r="D794" s="1" t="s">
        <v>1997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1963</v>
      </c>
      <c r="K794" s="54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1970</v>
      </c>
      <c r="D795" s="1" t="s">
        <v>1976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1963</v>
      </c>
      <c r="K795" s="54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1970</v>
      </c>
      <c r="D796" s="1" t="s">
        <v>2003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1963</v>
      </c>
      <c r="K796" s="54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1965</v>
      </c>
      <c r="D797" s="1" t="s">
        <v>1984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1963</v>
      </c>
      <c r="K797" s="54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1965</v>
      </c>
      <c r="D798" s="1" t="s">
        <v>2103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1963</v>
      </c>
      <c r="K798" s="54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1965</v>
      </c>
      <c r="D799" s="1" t="s">
        <v>1966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1963</v>
      </c>
      <c r="K799" s="54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1965</v>
      </c>
      <c r="D800" s="1" t="s">
        <v>1966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1963</v>
      </c>
      <c r="K800" s="54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1965</v>
      </c>
      <c r="D801" s="1" t="s">
        <v>1966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1963</v>
      </c>
      <c r="K801" s="54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1965</v>
      </c>
      <c r="D802" s="1" t="s">
        <v>1966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1963</v>
      </c>
      <c r="K802" s="54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1965</v>
      </c>
      <c r="D803" s="1" t="s">
        <v>1966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1963</v>
      </c>
      <c r="K803" s="54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1965</v>
      </c>
      <c r="D804" s="1" t="s">
        <v>1969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1963</v>
      </c>
      <c r="K804" s="54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1965</v>
      </c>
      <c r="D805" s="1" t="s">
        <v>2033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1963</v>
      </c>
      <c r="K805" s="54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1993</v>
      </c>
      <c r="D806" s="1" t="s">
        <v>1994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1963</v>
      </c>
      <c r="K806" s="54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1965</v>
      </c>
      <c r="D807" s="1" t="s">
        <v>1977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1963</v>
      </c>
      <c r="K807" s="54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1965</v>
      </c>
      <c r="D808" s="1" t="s">
        <v>1966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1963</v>
      </c>
      <c r="K808" s="54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1965</v>
      </c>
      <c r="D809" s="1" t="s">
        <v>1982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1963</v>
      </c>
      <c r="K809" s="54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1965</v>
      </c>
      <c r="D810" s="1" t="s">
        <v>1972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1963</v>
      </c>
      <c r="K810" s="54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1965</v>
      </c>
      <c r="D811" s="1" t="s">
        <v>1972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1963</v>
      </c>
      <c r="K811" s="54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1965</v>
      </c>
      <c r="D812" s="1" t="s">
        <v>1972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1963</v>
      </c>
      <c r="K812" s="54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1965</v>
      </c>
      <c r="D813" s="1" t="s">
        <v>2088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1963</v>
      </c>
      <c r="K813" s="54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1965</v>
      </c>
      <c r="D814" s="1" t="s">
        <v>1966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1963</v>
      </c>
      <c r="K814" s="54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1965</v>
      </c>
      <c r="D815" s="1" t="s">
        <v>1966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1963</v>
      </c>
      <c r="K815" s="54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1965</v>
      </c>
      <c r="D816" s="1" t="s">
        <v>2001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1963</v>
      </c>
      <c r="K816" s="54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1965</v>
      </c>
      <c r="D817" s="1" t="s">
        <v>2031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1963</v>
      </c>
      <c r="K817" s="54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1965</v>
      </c>
      <c r="D818" s="1" t="s">
        <v>1968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1963</v>
      </c>
      <c r="K818" s="54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1965</v>
      </c>
      <c r="D819" s="1" t="s">
        <v>1988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1963</v>
      </c>
      <c r="K819" s="54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1996</v>
      </c>
      <c r="D820" s="1" t="s">
        <v>2073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1963</v>
      </c>
      <c r="K820" s="54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2104</v>
      </c>
      <c r="D821" s="1" t="s">
        <v>2105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1963</v>
      </c>
      <c r="K821" s="54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1965</v>
      </c>
      <c r="D822" s="1" t="s">
        <v>2026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1963</v>
      </c>
      <c r="K822" s="54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1965</v>
      </c>
      <c r="D823" s="1" t="s">
        <v>2103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1963</v>
      </c>
      <c r="K823" s="54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2020</v>
      </c>
      <c r="D824" s="1" t="s">
        <v>2022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1963</v>
      </c>
      <c r="K824" s="54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1965</v>
      </c>
      <c r="D825" s="1" t="s">
        <v>2006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1963</v>
      </c>
      <c r="K825" s="54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1965</v>
      </c>
      <c r="D826" s="1" t="s">
        <v>2006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1963</v>
      </c>
      <c r="K826" s="54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1965</v>
      </c>
      <c r="D827" s="1" t="s">
        <v>2006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1963</v>
      </c>
      <c r="K827" s="54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1965</v>
      </c>
      <c r="D828" s="1" t="s">
        <v>1980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1963</v>
      </c>
      <c r="K828" s="54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1974</v>
      </c>
      <c r="D829" s="1" t="s">
        <v>2067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1963</v>
      </c>
      <c r="K829" s="54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1965</v>
      </c>
      <c r="D830" s="1" t="s">
        <v>1966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1963</v>
      </c>
      <c r="K830" s="54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1965</v>
      </c>
      <c r="D831" s="1" t="s">
        <v>1966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1963</v>
      </c>
      <c r="K831" s="54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1965</v>
      </c>
      <c r="D832" s="1" t="s">
        <v>1966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1963</v>
      </c>
      <c r="K832" s="54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1965</v>
      </c>
      <c r="D833" s="1" t="s">
        <v>2106</v>
      </c>
      <c r="E833" s="16" t="n">
        <v>46252</v>
      </c>
      <c r="F833" s="16" t="n">
        <v>46248</v>
      </c>
      <c r="G833" s="1" t="s">
        <v>1824</v>
      </c>
      <c r="H833" s="1" t="n">
        <v>1567784</v>
      </c>
      <c r="I833" s="1" t="n">
        <v>11</v>
      </c>
      <c r="J833" s="1" t="s">
        <v>1963</v>
      </c>
      <c r="K833" s="54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1965</v>
      </c>
      <c r="D834" s="1" t="s">
        <v>2028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1963</v>
      </c>
      <c r="K834" s="54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1970</v>
      </c>
      <c r="D835" s="1" t="s">
        <v>1986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1963</v>
      </c>
      <c r="K835" s="54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1965</v>
      </c>
      <c r="D836" s="1" t="s">
        <v>2107</v>
      </c>
      <c r="E836" s="16" t="n">
        <v>46253</v>
      </c>
      <c r="F836" s="16" t="n">
        <v>46252</v>
      </c>
      <c r="G836" s="1" t="s">
        <v>1737</v>
      </c>
      <c r="H836" s="1" t="n">
        <v>1572862</v>
      </c>
      <c r="I836" s="1" t="n">
        <v>11</v>
      </c>
      <c r="J836" s="1" t="s">
        <v>1963</v>
      </c>
      <c r="K836" s="54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2085</v>
      </c>
      <c r="D837" s="1" t="s">
        <v>2086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1963</v>
      </c>
      <c r="K837" s="54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1974</v>
      </c>
      <c r="D838" s="1" t="s">
        <v>2079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1963</v>
      </c>
      <c r="K838" s="54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1965</v>
      </c>
      <c r="D839" s="1" t="s">
        <v>2050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1963</v>
      </c>
      <c r="K839" s="54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1965</v>
      </c>
      <c r="D840" s="1" t="s">
        <v>2006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1963</v>
      </c>
      <c r="K840" s="54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1965</v>
      </c>
      <c r="D841" s="1" t="s">
        <v>1980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1963</v>
      </c>
      <c r="K841" s="54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1965</v>
      </c>
      <c r="D842" s="1" t="s">
        <v>1966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1963</v>
      </c>
      <c r="K842" s="54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1965</v>
      </c>
      <c r="D843" s="1" t="s">
        <v>1966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1963</v>
      </c>
      <c r="K843" s="54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1965</v>
      </c>
      <c r="D844" s="1" t="s">
        <v>1983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1963</v>
      </c>
      <c r="K844" s="54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1965</v>
      </c>
      <c r="D845" s="1" t="s">
        <v>1983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1963</v>
      </c>
      <c r="K845" s="54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1965</v>
      </c>
      <c r="D846" s="1" t="s">
        <v>1987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1963</v>
      </c>
      <c r="K846" s="54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1965</v>
      </c>
      <c r="D847" s="1" t="s">
        <v>2012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1963</v>
      </c>
      <c r="K847" s="54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1965</v>
      </c>
      <c r="D848" s="1" t="s">
        <v>2088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1963</v>
      </c>
      <c r="K848" s="54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1965</v>
      </c>
      <c r="D849" s="1" t="s">
        <v>2108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1963</v>
      </c>
      <c r="K849" s="54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2020</v>
      </c>
      <c r="D850" s="1" t="s">
        <v>2022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1963</v>
      </c>
      <c r="K850" s="54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1965</v>
      </c>
      <c r="D851" s="1" t="s">
        <v>1966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1963</v>
      </c>
      <c r="K851" s="54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1965</v>
      </c>
      <c r="D852" s="1" t="s">
        <v>1966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1963</v>
      </c>
      <c r="K852" s="54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1965</v>
      </c>
      <c r="D853" s="1" t="s">
        <v>1966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1963</v>
      </c>
      <c r="K853" s="54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1965</v>
      </c>
      <c r="D854" s="1" t="s">
        <v>1966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1963</v>
      </c>
      <c r="K854" s="54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0" width="30"/>
    <col collapsed="false" customWidth="true" hidden="false" outlineLevel="0" max="12" min="12" style="0" width="35"/>
  </cols>
  <sheetData>
    <row r="1" customFormat="false" ht="15" hidden="false" customHeight="false" outlineLevel="0" collapsed="false">
      <c r="A1" s="0" t="s">
        <v>9</v>
      </c>
      <c r="B1" s="0" t="s">
        <v>1926</v>
      </c>
      <c r="C1" s="0" t="s">
        <v>2109</v>
      </c>
      <c r="D1" s="0" t="s">
        <v>2110</v>
      </c>
      <c r="E1" s="0" t="s">
        <v>2111</v>
      </c>
      <c r="F1" s="0" t="s">
        <v>13</v>
      </c>
      <c r="I1" s="0" t="s">
        <v>2112</v>
      </c>
      <c r="J1" s="0" t="s">
        <v>2113</v>
      </c>
      <c r="K1" s="0" t="s">
        <v>2114</v>
      </c>
      <c r="L1" s="0" t="s">
        <v>2115</v>
      </c>
      <c r="N1" s="0" t="s">
        <v>2116</v>
      </c>
      <c r="O1" s="0" t="s">
        <v>2117</v>
      </c>
    </row>
    <row r="2" customFormat="false" ht="15" hidden="false" customHeight="false" outlineLevel="0" collapsed="false">
      <c r="A2" s="0" t="n">
        <v>3</v>
      </c>
      <c r="B2" s="59" t="n">
        <v>46204</v>
      </c>
      <c r="C2" s="0" t="n">
        <v>1</v>
      </c>
      <c r="D2" s="0" t="s">
        <v>2118</v>
      </c>
      <c r="E2" s="0" t="n">
        <v>10087</v>
      </c>
      <c r="F2" s="0" t="s">
        <v>780</v>
      </c>
      <c r="I2" s="0" t="n">
        <v>135</v>
      </c>
      <c r="J2" s="0" t="n">
        <v>81565</v>
      </c>
      <c r="K2" s="0" t="n">
        <v>7895555000017</v>
      </c>
      <c r="L2" s="0" t="s">
        <v>2119</v>
      </c>
      <c r="N2" s="0" t="n">
        <v>50</v>
      </c>
      <c r="O2" s="60" t="n">
        <v>150</v>
      </c>
    </row>
    <row r="3" customFormat="false" ht="15" hidden="false" customHeight="false" outlineLevel="0" collapsed="false">
      <c r="A3" s="0" t="n">
        <v>3</v>
      </c>
      <c r="B3" s="59" t="n">
        <v>46204</v>
      </c>
      <c r="C3" s="0" t="n">
        <v>1</v>
      </c>
      <c r="D3" s="0" t="s">
        <v>2118</v>
      </c>
      <c r="E3" s="0" t="n">
        <v>10087</v>
      </c>
      <c r="F3" s="0" t="s">
        <v>780</v>
      </c>
      <c r="I3" s="0" t="n">
        <v>135</v>
      </c>
      <c r="J3" s="0" t="n">
        <v>81622</v>
      </c>
      <c r="K3" s="0" t="n">
        <v>7898966794087</v>
      </c>
      <c r="L3" s="0" t="s">
        <v>2120</v>
      </c>
      <c r="N3" s="0" t="n">
        <v>5</v>
      </c>
      <c r="O3" s="60" t="n">
        <v>35</v>
      </c>
    </row>
    <row r="4" customFormat="false" ht="15" hidden="false" customHeight="false" outlineLevel="0" collapsed="false">
      <c r="A4" s="0" t="n">
        <v>3</v>
      </c>
      <c r="B4" s="59" t="n">
        <v>46204</v>
      </c>
      <c r="C4" s="0" t="n">
        <v>1</v>
      </c>
      <c r="D4" s="0" t="s">
        <v>2118</v>
      </c>
      <c r="E4" s="0" t="n">
        <v>10087</v>
      </c>
      <c r="F4" s="0" t="s">
        <v>780</v>
      </c>
      <c r="I4" s="0" t="n">
        <v>135</v>
      </c>
      <c r="J4" s="0" t="n">
        <v>81623</v>
      </c>
      <c r="K4" s="0" t="n">
        <v>816243</v>
      </c>
      <c r="L4" s="0" t="s">
        <v>2121</v>
      </c>
      <c r="N4" s="0" t="n">
        <v>48</v>
      </c>
      <c r="O4" s="60" t="n">
        <v>160</v>
      </c>
    </row>
    <row r="5" customFormat="false" ht="15" hidden="false" customHeight="false" outlineLevel="0" collapsed="false">
      <c r="A5" s="0" t="n">
        <v>3</v>
      </c>
      <c r="B5" s="59" t="n">
        <v>46204</v>
      </c>
      <c r="C5" s="0" t="n">
        <v>2</v>
      </c>
      <c r="D5" s="0" t="s">
        <v>2122</v>
      </c>
      <c r="E5" s="0" t="n">
        <v>42</v>
      </c>
      <c r="F5" s="0" t="s">
        <v>81</v>
      </c>
      <c r="I5" s="0" t="n">
        <v>10701</v>
      </c>
      <c r="J5" s="0" t="n">
        <v>109791</v>
      </c>
      <c r="K5" s="0" t="n">
        <v>9667</v>
      </c>
      <c r="L5" s="0" t="s">
        <v>2123</v>
      </c>
      <c r="N5" s="0" t="n">
        <v>10</v>
      </c>
      <c r="O5" s="60" t="n">
        <v>25</v>
      </c>
    </row>
    <row r="6" customFormat="false" ht="15" hidden="false" customHeight="false" outlineLevel="0" collapsed="false">
      <c r="A6" s="0" t="n">
        <v>3</v>
      </c>
      <c r="B6" s="59" t="n">
        <v>46204</v>
      </c>
      <c r="C6" s="0" t="n">
        <v>2</v>
      </c>
      <c r="D6" s="0" t="s">
        <v>2122</v>
      </c>
      <c r="E6" s="0" t="n">
        <v>42</v>
      </c>
      <c r="F6" s="0" t="s">
        <v>81</v>
      </c>
      <c r="I6" s="0" t="n">
        <v>10701</v>
      </c>
      <c r="J6" s="0" t="n">
        <v>37361</v>
      </c>
      <c r="K6" s="0" t="n">
        <v>2240817</v>
      </c>
      <c r="L6" s="0" t="s">
        <v>2124</v>
      </c>
      <c r="N6" s="0" t="n">
        <v>50</v>
      </c>
      <c r="O6" s="60" t="n">
        <v>100</v>
      </c>
    </row>
    <row r="7" customFormat="false" ht="15" hidden="false" customHeight="false" outlineLevel="0" collapsed="false">
      <c r="A7" s="0" t="n">
        <v>3</v>
      </c>
      <c r="B7" s="59" t="n">
        <v>46204</v>
      </c>
      <c r="C7" s="0" t="n">
        <v>6</v>
      </c>
      <c r="D7" s="0" t="s">
        <v>2125</v>
      </c>
      <c r="E7" s="0" t="n">
        <v>42</v>
      </c>
      <c r="F7" s="0" t="s">
        <v>81</v>
      </c>
      <c r="I7" s="0" t="n">
        <v>4338</v>
      </c>
      <c r="J7" s="0" t="n">
        <v>109791</v>
      </c>
      <c r="K7" s="0" t="n">
        <v>9667</v>
      </c>
      <c r="L7" s="0" t="s">
        <v>2123</v>
      </c>
      <c r="N7" s="0" t="n">
        <v>10</v>
      </c>
      <c r="O7" s="60" t="n">
        <v>25</v>
      </c>
    </row>
    <row r="8" customFormat="false" ht="15" hidden="false" customHeight="false" outlineLevel="0" collapsed="false">
      <c r="A8" s="0" t="n">
        <v>3</v>
      </c>
      <c r="B8" s="59" t="n">
        <v>46204</v>
      </c>
      <c r="C8" s="0" t="n">
        <v>6</v>
      </c>
      <c r="D8" s="0" t="s">
        <v>2125</v>
      </c>
      <c r="E8" s="0" t="n">
        <v>42</v>
      </c>
      <c r="F8" s="0" t="s">
        <v>81</v>
      </c>
      <c r="I8" s="0" t="n">
        <v>4338</v>
      </c>
      <c r="J8" s="0" t="n">
        <v>37361</v>
      </c>
      <c r="K8" s="0" t="n">
        <v>2240817</v>
      </c>
      <c r="L8" s="0" t="s">
        <v>2124</v>
      </c>
      <c r="N8" s="0" t="n">
        <v>50</v>
      </c>
      <c r="O8" s="60" t="n">
        <v>100</v>
      </c>
    </row>
    <row r="9" customFormat="false" ht="15" hidden="false" customHeight="false" outlineLevel="0" collapsed="false">
      <c r="A9" s="0" t="n">
        <v>3</v>
      </c>
      <c r="B9" s="59" t="n">
        <v>46204</v>
      </c>
      <c r="C9" s="0" t="n">
        <v>11</v>
      </c>
      <c r="D9" s="0" t="s">
        <v>2126</v>
      </c>
      <c r="E9" s="0" t="n">
        <v>1457</v>
      </c>
      <c r="F9" s="0" t="s">
        <v>180</v>
      </c>
      <c r="I9" s="0" t="n">
        <v>12547</v>
      </c>
      <c r="J9" s="0" t="n">
        <v>59521</v>
      </c>
      <c r="K9" s="0" t="n">
        <v>7896862002664</v>
      </c>
      <c r="L9" s="0" t="s">
        <v>2127</v>
      </c>
      <c r="N9" s="0" t="n">
        <v>8</v>
      </c>
      <c r="O9" s="60" t="n">
        <v>43.92</v>
      </c>
    </row>
    <row r="10" customFormat="false" ht="15" hidden="false" customHeight="false" outlineLevel="0" collapsed="false">
      <c r="A10" s="0" t="n">
        <v>3</v>
      </c>
      <c r="B10" s="59" t="n">
        <v>46204</v>
      </c>
      <c r="C10" s="0" t="n">
        <v>11</v>
      </c>
      <c r="D10" s="0" t="s">
        <v>2126</v>
      </c>
      <c r="E10" s="0" t="n">
        <v>1457</v>
      </c>
      <c r="F10" s="0" t="s">
        <v>180</v>
      </c>
      <c r="I10" s="0" t="n">
        <v>12547</v>
      </c>
      <c r="J10" s="0" t="n">
        <v>59522</v>
      </c>
      <c r="K10" s="0" t="n">
        <v>7896862002794</v>
      </c>
      <c r="L10" s="0" t="s">
        <v>2128</v>
      </c>
      <c r="N10" s="0" t="n">
        <v>8</v>
      </c>
      <c r="O10" s="60" t="n">
        <v>43.92</v>
      </c>
    </row>
    <row r="11" customFormat="false" ht="15" hidden="false" customHeight="false" outlineLevel="0" collapsed="false">
      <c r="A11" s="0" t="n">
        <v>3</v>
      </c>
      <c r="B11" s="59" t="n">
        <v>46204</v>
      </c>
      <c r="C11" s="0" t="n">
        <v>11</v>
      </c>
      <c r="D11" s="0" t="s">
        <v>2126</v>
      </c>
      <c r="E11" s="0" t="n">
        <v>1457</v>
      </c>
      <c r="F11" s="0" t="s">
        <v>180</v>
      </c>
      <c r="I11" s="0" t="n">
        <v>12547</v>
      </c>
      <c r="J11" s="0" t="n">
        <v>59530</v>
      </c>
      <c r="K11" s="0" t="n">
        <v>7896862001605</v>
      </c>
      <c r="L11" s="0" t="s">
        <v>2129</v>
      </c>
      <c r="N11" s="0" t="n">
        <v>4</v>
      </c>
      <c r="O11" s="60" t="n">
        <v>48.36</v>
      </c>
    </row>
    <row r="12" customFormat="false" ht="15" hidden="false" customHeight="false" outlineLevel="0" collapsed="false">
      <c r="A12" s="0" t="n">
        <v>3</v>
      </c>
      <c r="B12" s="59" t="n">
        <v>46204</v>
      </c>
      <c r="C12" s="0" t="n">
        <v>11</v>
      </c>
      <c r="D12" s="0" t="s">
        <v>2126</v>
      </c>
      <c r="E12" s="0" t="n">
        <v>1457</v>
      </c>
      <c r="F12" s="0" t="s">
        <v>180</v>
      </c>
      <c r="I12" s="0" t="n">
        <v>12547</v>
      </c>
      <c r="J12" s="0" t="n">
        <v>59541</v>
      </c>
      <c r="K12" s="0" t="n">
        <v>7896862000752</v>
      </c>
      <c r="L12" s="0" t="s">
        <v>2130</v>
      </c>
      <c r="N12" s="0" t="n">
        <v>6</v>
      </c>
      <c r="O12" s="60" t="n">
        <v>65.28</v>
      </c>
    </row>
    <row r="13" customFormat="false" ht="15" hidden="false" customHeight="false" outlineLevel="0" collapsed="false">
      <c r="A13" s="0" t="n">
        <v>3</v>
      </c>
      <c r="B13" s="59" t="n">
        <v>46204</v>
      </c>
      <c r="C13" s="0" t="n">
        <v>11</v>
      </c>
      <c r="D13" s="0" t="s">
        <v>2126</v>
      </c>
      <c r="E13" s="0" t="n">
        <v>1457</v>
      </c>
      <c r="F13" s="0" t="s">
        <v>180</v>
      </c>
      <c r="I13" s="0" t="n">
        <v>12547</v>
      </c>
      <c r="J13" s="0" t="n">
        <v>59720</v>
      </c>
      <c r="K13" s="0" t="n">
        <v>7896862002329</v>
      </c>
      <c r="L13" s="0" t="s">
        <v>2131</v>
      </c>
      <c r="N13" s="0" t="n">
        <v>3</v>
      </c>
      <c r="O13" s="60" t="n">
        <v>13.17</v>
      </c>
    </row>
    <row r="14" customFormat="false" ht="15" hidden="false" customHeight="false" outlineLevel="0" collapsed="false">
      <c r="A14" s="0" t="n">
        <v>3</v>
      </c>
      <c r="B14" s="59" t="n">
        <v>46204</v>
      </c>
      <c r="C14" s="0" t="n">
        <v>11</v>
      </c>
      <c r="D14" s="0" t="s">
        <v>2126</v>
      </c>
      <c r="E14" s="0" t="n">
        <v>1457</v>
      </c>
      <c r="F14" s="0" t="s">
        <v>180</v>
      </c>
      <c r="I14" s="0" t="n">
        <v>12547</v>
      </c>
      <c r="J14" s="0" t="n">
        <v>59722</v>
      </c>
      <c r="K14" s="0" t="n">
        <v>7896862001889</v>
      </c>
      <c r="L14" s="0" t="s">
        <v>2132</v>
      </c>
      <c r="N14" s="0" t="n">
        <v>3</v>
      </c>
      <c r="O14" s="60" t="n">
        <v>13.17</v>
      </c>
    </row>
    <row r="15" customFormat="false" ht="15" hidden="false" customHeight="false" outlineLevel="0" collapsed="false">
      <c r="A15" s="0" t="n">
        <v>3</v>
      </c>
      <c r="B15" s="59" t="n">
        <v>46204</v>
      </c>
      <c r="C15" s="0" t="n">
        <v>11</v>
      </c>
      <c r="D15" s="0" t="s">
        <v>2126</v>
      </c>
      <c r="E15" s="0" t="n">
        <v>1457</v>
      </c>
      <c r="F15" s="0" t="s">
        <v>180</v>
      </c>
      <c r="I15" s="0" t="n">
        <v>12547</v>
      </c>
      <c r="J15" s="0" t="n">
        <v>59724</v>
      </c>
      <c r="K15" s="0" t="n">
        <v>7896862001865</v>
      </c>
      <c r="L15" s="0" t="s">
        <v>2133</v>
      </c>
      <c r="N15" s="0" t="n">
        <v>3</v>
      </c>
      <c r="O15" s="60" t="n">
        <v>13.17</v>
      </c>
    </row>
    <row r="16" customFormat="false" ht="15" hidden="false" customHeight="false" outlineLevel="0" collapsed="false">
      <c r="A16" s="0" t="n">
        <v>3</v>
      </c>
      <c r="B16" s="59" t="n">
        <v>46204</v>
      </c>
      <c r="C16" s="0" t="n">
        <v>11</v>
      </c>
      <c r="D16" s="0" t="s">
        <v>2126</v>
      </c>
      <c r="E16" s="0" t="n">
        <v>1457</v>
      </c>
      <c r="F16" s="0" t="s">
        <v>180</v>
      </c>
      <c r="I16" s="0" t="n">
        <v>12547</v>
      </c>
      <c r="J16" s="0" t="n">
        <v>59731</v>
      </c>
      <c r="K16" s="0" t="n">
        <v>7896862002923</v>
      </c>
      <c r="L16" s="0" t="s">
        <v>2134</v>
      </c>
      <c r="N16" s="0" t="n">
        <v>3</v>
      </c>
      <c r="O16" s="60" t="n">
        <v>21.75</v>
      </c>
    </row>
    <row r="17" customFormat="false" ht="15" hidden="false" customHeight="false" outlineLevel="0" collapsed="false">
      <c r="A17" s="0" t="n">
        <v>3</v>
      </c>
      <c r="B17" s="59" t="n">
        <v>46204</v>
      </c>
      <c r="C17" s="0" t="n">
        <v>11</v>
      </c>
      <c r="D17" s="0" t="s">
        <v>2126</v>
      </c>
      <c r="E17" s="0" t="n">
        <v>1457</v>
      </c>
      <c r="F17" s="0" t="s">
        <v>180</v>
      </c>
      <c r="I17" s="0" t="n">
        <v>12547</v>
      </c>
      <c r="J17" s="0" t="n">
        <v>59736</v>
      </c>
      <c r="K17" s="0" t="n">
        <v>7896862002657</v>
      </c>
      <c r="L17" s="0" t="s">
        <v>2135</v>
      </c>
      <c r="N17" s="0" t="n">
        <v>8</v>
      </c>
      <c r="O17" s="60" t="n">
        <v>43.92</v>
      </c>
    </row>
    <row r="18" customFormat="false" ht="15" hidden="false" customHeight="false" outlineLevel="0" collapsed="false">
      <c r="A18" s="0" t="n">
        <v>3</v>
      </c>
      <c r="B18" s="59" t="n">
        <v>46204</v>
      </c>
      <c r="C18" s="0" t="n">
        <v>11</v>
      </c>
      <c r="D18" s="0" t="s">
        <v>2126</v>
      </c>
      <c r="E18" s="0" t="n">
        <v>1457</v>
      </c>
      <c r="F18" s="0" t="s">
        <v>180</v>
      </c>
      <c r="I18" s="0" t="n">
        <v>12547</v>
      </c>
      <c r="J18" s="0" t="n">
        <v>81492</v>
      </c>
      <c r="K18" s="0" t="n">
        <v>7896862003470</v>
      </c>
      <c r="L18" s="0" t="s">
        <v>2136</v>
      </c>
      <c r="N18" s="0" t="n">
        <v>3</v>
      </c>
      <c r="O18" s="60" t="n">
        <v>21.75</v>
      </c>
    </row>
    <row r="19" customFormat="false" ht="15" hidden="false" customHeight="false" outlineLevel="0" collapsed="false">
      <c r="A19" s="0" t="n">
        <v>3</v>
      </c>
      <c r="B19" s="59" t="n">
        <v>46204</v>
      </c>
      <c r="C19" s="0" t="n">
        <v>11</v>
      </c>
      <c r="D19" s="0" t="s">
        <v>2126</v>
      </c>
      <c r="E19" s="0" t="n">
        <v>1723</v>
      </c>
      <c r="F19" s="0" t="s">
        <v>77</v>
      </c>
      <c r="I19" s="0" t="n">
        <v>172431</v>
      </c>
      <c r="J19" s="0" t="n">
        <v>29080</v>
      </c>
      <c r="K19" s="0" t="n">
        <v>55516</v>
      </c>
      <c r="L19" s="0" t="s">
        <v>2137</v>
      </c>
      <c r="N19" s="0" t="n">
        <v>104.8</v>
      </c>
      <c r="O19" s="60" t="n">
        <v>2305.6</v>
      </c>
    </row>
    <row r="20" customFormat="false" ht="15" hidden="false" customHeight="false" outlineLevel="0" collapsed="false">
      <c r="A20" s="0" t="n">
        <v>3</v>
      </c>
      <c r="B20" s="59" t="n">
        <v>46204</v>
      </c>
      <c r="C20" s="0" t="n">
        <v>11</v>
      </c>
      <c r="D20" s="0" t="s">
        <v>2126</v>
      </c>
      <c r="E20" s="0" t="n">
        <v>1734</v>
      </c>
      <c r="F20" s="0" t="s">
        <v>126</v>
      </c>
      <c r="I20" s="0" t="n">
        <v>254511</v>
      </c>
      <c r="J20" s="0" t="n">
        <v>38791</v>
      </c>
      <c r="K20" s="0" t="n">
        <v>7898055450931</v>
      </c>
      <c r="L20" s="0" t="s">
        <v>2138</v>
      </c>
      <c r="N20" s="0" t="n">
        <v>30</v>
      </c>
      <c r="O20" s="60" t="n">
        <v>72.38</v>
      </c>
    </row>
    <row r="21" customFormat="false" ht="15" hidden="false" customHeight="false" outlineLevel="0" collapsed="false">
      <c r="A21" s="0" t="n">
        <v>3</v>
      </c>
      <c r="B21" s="59" t="n">
        <v>46204</v>
      </c>
      <c r="C21" s="0" t="n">
        <v>11</v>
      </c>
      <c r="D21" s="0" t="s">
        <v>2126</v>
      </c>
      <c r="E21" s="0" t="n">
        <v>1734</v>
      </c>
      <c r="F21" s="0" t="s">
        <v>126</v>
      </c>
      <c r="I21" s="0" t="n">
        <v>254511</v>
      </c>
      <c r="J21" s="0" t="n">
        <v>38792</v>
      </c>
      <c r="K21" s="0" t="n">
        <v>7898055450894</v>
      </c>
      <c r="L21" s="0" t="s">
        <v>2139</v>
      </c>
      <c r="N21" s="0" t="n">
        <v>30</v>
      </c>
      <c r="O21" s="60" t="n">
        <v>72.38</v>
      </c>
    </row>
    <row r="22" customFormat="false" ht="15" hidden="false" customHeight="false" outlineLevel="0" collapsed="false">
      <c r="A22" s="0" t="n">
        <v>3</v>
      </c>
      <c r="B22" s="59" t="n">
        <v>46204</v>
      </c>
      <c r="C22" s="0" t="n">
        <v>11</v>
      </c>
      <c r="D22" s="0" t="s">
        <v>2126</v>
      </c>
      <c r="E22" s="0" t="n">
        <v>1734</v>
      </c>
      <c r="F22" s="0" t="s">
        <v>126</v>
      </c>
      <c r="I22" s="0" t="n">
        <v>254511</v>
      </c>
      <c r="J22" s="0" t="n">
        <v>40277</v>
      </c>
      <c r="K22" s="0" t="n">
        <v>7898055450467</v>
      </c>
      <c r="L22" s="0" t="s">
        <v>2140</v>
      </c>
      <c r="N22" s="0" t="n">
        <v>12</v>
      </c>
      <c r="O22" s="60" t="n">
        <v>62.94</v>
      </c>
    </row>
    <row r="23" customFormat="false" ht="15" hidden="false" customHeight="false" outlineLevel="0" collapsed="false">
      <c r="A23" s="0" t="n">
        <v>3</v>
      </c>
      <c r="B23" s="59" t="n">
        <v>46204</v>
      </c>
      <c r="C23" s="0" t="n">
        <v>11</v>
      </c>
      <c r="D23" s="0" t="s">
        <v>2126</v>
      </c>
      <c r="E23" s="0" t="n">
        <v>1734</v>
      </c>
      <c r="F23" s="0" t="s">
        <v>126</v>
      </c>
      <c r="I23" s="0" t="n">
        <v>254511</v>
      </c>
      <c r="J23" s="0" t="n">
        <v>40731</v>
      </c>
      <c r="K23" s="0" t="n">
        <v>7898055451150</v>
      </c>
      <c r="L23" s="0" t="s">
        <v>2141</v>
      </c>
      <c r="N23" s="0" t="n">
        <v>16</v>
      </c>
      <c r="O23" s="60" t="n">
        <v>75.53</v>
      </c>
    </row>
    <row r="24" customFormat="false" ht="15" hidden="false" customHeight="false" outlineLevel="0" collapsed="false">
      <c r="A24" s="0" t="n">
        <v>3</v>
      </c>
      <c r="B24" s="59" t="n">
        <v>46204</v>
      </c>
      <c r="C24" s="0" t="n">
        <v>11</v>
      </c>
      <c r="D24" s="0" t="s">
        <v>2126</v>
      </c>
      <c r="E24" s="0" t="n">
        <v>1734</v>
      </c>
      <c r="F24" s="0" t="s">
        <v>126</v>
      </c>
      <c r="I24" s="0" t="n">
        <v>254511</v>
      </c>
      <c r="J24" s="0" t="n">
        <v>81026</v>
      </c>
      <c r="K24" s="0" t="n">
        <v>7898055455745</v>
      </c>
      <c r="L24" s="0" t="s">
        <v>2142</v>
      </c>
      <c r="N24" s="0" t="n">
        <v>8</v>
      </c>
      <c r="O24" s="60" t="n">
        <v>50.35</v>
      </c>
    </row>
    <row r="25" customFormat="false" ht="15" hidden="false" customHeight="false" outlineLevel="0" collapsed="false">
      <c r="A25" s="0" t="n">
        <v>3</v>
      </c>
      <c r="B25" s="59" t="n">
        <v>46204</v>
      </c>
      <c r="C25" s="0" t="n">
        <v>11</v>
      </c>
      <c r="D25" s="0" t="s">
        <v>2126</v>
      </c>
      <c r="E25" s="0" t="n">
        <v>1734</v>
      </c>
      <c r="F25" s="0" t="s">
        <v>126</v>
      </c>
      <c r="I25" s="0" t="n">
        <v>254511</v>
      </c>
      <c r="J25" s="0" t="n">
        <v>81574</v>
      </c>
      <c r="K25" s="0" t="n">
        <v>7898055455707</v>
      </c>
      <c r="L25" s="0" t="s">
        <v>2143</v>
      </c>
      <c r="N25" s="0" t="n">
        <v>8</v>
      </c>
      <c r="O25" s="60" t="n">
        <v>50.35</v>
      </c>
    </row>
    <row r="26" customFormat="false" ht="15" hidden="false" customHeight="false" outlineLevel="0" collapsed="false">
      <c r="A26" s="0" t="n">
        <v>3</v>
      </c>
      <c r="B26" s="59" t="n">
        <v>46204</v>
      </c>
      <c r="C26" s="0" t="n">
        <v>11</v>
      </c>
      <c r="D26" s="0" t="s">
        <v>2126</v>
      </c>
      <c r="E26" s="0" t="n">
        <v>1734</v>
      </c>
      <c r="F26" s="0" t="s">
        <v>126</v>
      </c>
      <c r="I26" s="0" t="n">
        <v>254512</v>
      </c>
      <c r="J26" s="0" t="n">
        <v>38201</v>
      </c>
      <c r="K26" s="0" t="n">
        <v>7898055451587</v>
      </c>
      <c r="L26" s="0" t="s">
        <v>2144</v>
      </c>
      <c r="N26" s="0" t="n">
        <v>2</v>
      </c>
      <c r="O26" s="60" t="n">
        <v>39.86</v>
      </c>
    </row>
    <row r="27" customFormat="false" ht="15" hidden="false" customHeight="false" outlineLevel="0" collapsed="false">
      <c r="A27" s="0" t="n">
        <v>3</v>
      </c>
      <c r="B27" s="59" t="n">
        <v>46204</v>
      </c>
      <c r="C27" s="0" t="n">
        <v>11</v>
      </c>
      <c r="D27" s="0" t="s">
        <v>2126</v>
      </c>
      <c r="E27" s="0" t="n">
        <v>1734</v>
      </c>
      <c r="F27" s="0" t="s">
        <v>126</v>
      </c>
      <c r="I27" s="0" t="n">
        <v>254512</v>
      </c>
      <c r="J27" s="0" t="n">
        <v>38208</v>
      </c>
      <c r="K27" s="0" t="n">
        <v>7898055452126</v>
      </c>
      <c r="L27" s="0" t="s">
        <v>2145</v>
      </c>
      <c r="N27" s="0" t="n">
        <v>2</v>
      </c>
      <c r="O27" s="60" t="n">
        <v>39.86</v>
      </c>
    </row>
    <row r="28" customFormat="false" ht="15" hidden="false" customHeight="false" outlineLevel="0" collapsed="false">
      <c r="A28" s="0" t="n">
        <v>3</v>
      </c>
      <c r="B28" s="59" t="n">
        <v>46204</v>
      </c>
      <c r="C28" s="0" t="n">
        <v>11</v>
      </c>
      <c r="D28" s="0" t="s">
        <v>2126</v>
      </c>
      <c r="E28" s="0" t="n">
        <v>1734</v>
      </c>
      <c r="F28" s="0" t="s">
        <v>126</v>
      </c>
      <c r="I28" s="0" t="n">
        <v>254512</v>
      </c>
      <c r="J28" s="0" t="n">
        <v>38212</v>
      </c>
      <c r="K28" s="0" t="n">
        <v>7898055451624</v>
      </c>
      <c r="L28" s="0" t="s">
        <v>2146</v>
      </c>
      <c r="N28" s="0" t="n">
        <v>4</v>
      </c>
      <c r="O28" s="60" t="n">
        <v>50.35</v>
      </c>
    </row>
    <row r="29" customFormat="false" ht="15" hidden="false" customHeight="false" outlineLevel="0" collapsed="false">
      <c r="A29" s="0" t="n">
        <v>3</v>
      </c>
      <c r="B29" s="59" t="n">
        <v>46204</v>
      </c>
      <c r="C29" s="0" t="n">
        <v>11</v>
      </c>
      <c r="D29" s="0" t="s">
        <v>2126</v>
      </c>
      <c r="E29" s="0" t="n">
        <v>1734</v>
      </c>
      <c r="F29" s="0" t="s">
        <v>126</v>
      </c>
      <c r="I29" s="0" t="n">
        <v>254512</v>
      </c>
      <c r="J29" s="0" t="n">
        <v>38214</v>
      </c>
      <c r="K29" s="0" t="n">
        <v>7898055452249</v>
      </c>
      <c r="L29" s="0" t="s">
        <v>2147</v>
      </c>
      <c r="N29" s="0" t="n">
        <v>2</v>
      </c>
      <c r="O29" s="60" t="n">
        <v>39.86</v>
      </c>
    </row>
    <row r="30" customFormat="false" ht="15" hidden="false" customHeight="false" outlineLevel="0" collapsed="false">
      <c r="A30" s="0" t="n">
        <v>3</v>
      </c>
      <c r="B30" s="59" t="n">
        <v>46204</v>
      </c>
      <c r="C30" s="0" t="n">
        <v>11</v>
      </c>
      <c r="D30" s="0" t="s">
        <v>2126</v>
      </c>
      <c r="E30" s="0" t="n">
        <v>1734</v>
      </c>
      <c r="F30" s="0" t="s">
        <v>126</v>
      </c>
      <c r="I30" s="0" t="n">
        <v>254512</v>
      </c>
      <c r="J30" s="0" t="n">
        <v>38216</v>
      </c>
      <c r="K30" s="0" t="n">
        <v>7898055454281</v>
      </c>
      <c r="L30" s="0" t="s">
        <v>2148</v>
      </c>
      <c r="N30" s="0" t="n">
        <v>4</v>
      </c>
      <c r="O30" s="60" t="n">
        <v>50.35</v>
      </c>
    </row>
    <row r="31" customFormat="false" ht="15" hidden="false" customHeight="false" outlineLevel="0" collapsed="false">
      <c r="A31" s="0" t="n">
        <v>3</v>
      </c>
      <c r="B31" s="59" t="n">
        <v>46204</v>
      </c>
      <c r="C31" s="0" t="n">
        <v>11</v>
      </c>
      <c r="D31" s="0" t="s">
        <v>2126</v>
      </c>
      <c r="E31" s="0" t="n">
        <v>1734</v>
      </c>
      <c r="F31" s="0" t="s">
        <v>126</v>
      </c>
      <c r="I31" s="0" t="n">
        <v>254512</v>
      </c>
      <c r="J31" s="0" t="n">
        <v>38219</v>
      </c>
      <c r="K31" s="0" t="n">
        <v>7898055452348</v>
      </c>
      <c r="L31" s="0" t="s">
        <v>2149</v>
      </c>
      <c r="N31" s="0" t="n">
        <v>2</v>
      </c>
      <c r="O31" s="60" t="n">
        <v>39.86</v>
      </c>
    </row>
    <row r="32" customFormat="false" ht="15" hidden="false" customHeight="false" outlineLevel="0" collapsed="false">
      <c r="A32" s="0" t="n">
        <v>3</v>
      </c>
      <c r="B32" s="59" t="n">
        <v>46204</v>
      </c>
      <c r="C32" s="0" t="n">
        <v>11</v>
      </c>
      <c r="D32" s="0" t="s">
        <v>2126</v>
      </c>
      <c r="E32" s="0" t="n">
        <v>1734</v>
      </c>
      <c r="F32" s="0" t="s">
        <v>126</v>
      </c>
      <c r="I32" s="0" t="n">
        <v>254512</v>
      </c>
      <c r="J32" s="0" t="n">
        <v>38220</v>
      </c>
      <c r="K32" s="0" t="n">
        <v>7898055452355</v>
      </c>
      <c r="L32" s="0" t="s">
        <v>2144</v>
      </c>
      <c r="N32" s="0" t="n">
        <v>2</v>
      </c>
      <c r="O32" s="60" t="n">
        <v>39.86</v>
      </c>
    </row>
    <row r="33" customFormat="false" ht="15" hidden="false" customHeight="false" outlineLevel="0" collapsed="false">
      <c r="A33" s="0" t="n">
        <v>3</v>
      </c>
      <c r="B33" s="59" t="n">
        <v>46204</v>
      </c>
      <c r="C33" s="0" t="n">
        <v>11</v>
      </c>
      <c r="D33" s="0" t="s">
        <v>2126</v>
      </c>
      <c r="E33" s="0" t="n">
        <v>1734</v>
      </c>
      <c r="F33" s="0" t="s">
        <v>126</v>
      </c>
      <c r="I33" s="0" t="n">
        <v>254512</v>
      </c>
      <c r="J33" s="0" t="n">
        <v>38221</v>
      </c>
      <c r="K33" s="0" t="n">
        <v>7898055452102</v>
      </c>
      <c r="L33" s="0" t="s">
        <v>2150</v>
      </c>
      <c r="N33" s="0" t="n">
        <v>4</v>
      </c>
      <c r="O33" s="60" t="n">
        <v>50.35</v>
      </c>
    </row>
    <row r="34" customFormat="false" ht="15" hidden="false" customHeight="false" outlineLevel="0" collapsed="false">
      <c r="A34" s="0" t="n">
        <v>3</v>
      </c>
      <c r="B34" s="59" t="n">
        <v>46204</v>
      </c>
      <c r="C34" s="0" t="n">
        <v>11</v>
      </c>
      <c r="D34" s="0" t="s">
        <v>2126</v>
      </c>
      <c r="E34" s="0" t="n">
        <v>1734</v>
      </c>
      <c r="F34" s="0" t="s">
        <v>126</v>
      </c>
      <c r="I34" s="0" t="n">
        <v>254512</v>
      </c>
      <c r="J34" s="0" t="n">
        <v>39252</v>
      </c>
      <c r="K34" s="0" t="n">
        <v>7898055450993</v>
      </c>
      <c r="L34" s="0" t="s">
        <v>2151</v>
      </c>
      <c r="N34" s="0" t="n">
        <v>4</v>
      </c>
      <c r="O34" s="60" t="n">
        <v>50.35</v>
      </c>
    </row>
    <row r="35" customFormat="false" ht="15" hidden="false" customHeight="false" outlineLevel="0" collapsed="false">
      <c r="A35" s="0" t="n">
        <v>3</v>
      </c>
      <c r="B35" s="59" t="n">
        <v>46204</v>
      </c>
      <c r="C35" s="0" t="n">
        <v>11</v>
      </c>
      <c r="D35" s="0" t="s">
        <v>2126</v>
      </c>
      <c r="E35" s="0" t="n">
        <v>1734</v>
      </c>
      <c r="F35" s="0" t="s">
        <v>126</v>
      </c>
      <c r="I35" s="0" t="n">
        <v>254512</v>
      </c>
      <c r="J35" s="0" t="n">
        <v>39440</v>
      </c>
      <c r="K35" s="0" t="n">
        <v>7898055451662</v>
      </c>
      <c r="L35" s="0" t="s">
        <v>2152</v>
      </c>
      <c r="N35" s="0" t="n">
        <v>4</v>
      </c>
      <c r="O35" s="60" t="n">
        <v>50.35</v>
      </c>
    </row>
    <row r="36" customFormat="false" ht="15" hidden="false" customHeight="false" outlineLevel="0" collapsed="false">
      <c r="A36" s="0" t="n">
        <v>3</v>
      </c>
      <c r="B36" s="59" t="n">
        <v>46204</v>
      </c>
      <c r="C36" s="0" t="n">
        <v>11</v>
      </c>
      <c r="D36" s="0" t="s">
        <v>2126</v>
      </c>
      <c r="E36" s="0" t="n">
        <v>1734</v>
      </c>
      <c r="F36" s="0" t="s">
        <v>126</v>
      </c>
      <c r="I36" s="0" t="n">
        <v>254512</v>
      </c>
      <c r="J36" s="0" t="n">
        <v>39447</v>
      </c>
      <c r="K36" s="0" t="n">
        <v>7898055450139</v>
      </c>
      <c r="L36" s="0" t="s">
        <v>2153</v>
      </c>
      <c r="N36" s="0" t="n">
        <v>2</v>
      </c>
      <c r="O36" s="60" t="n">
        <v>39.86</v>
      </c>
    </row>
    <row r="37" customFormat="false" ht="15" hidden="false" customHeight="false" outlineLevel="0" collapsed="false">
      <c r="A37" s="0" t="n">
        <v>3</v>
      </c>
      <c r="B37" s="59" t="n">
        <v>46204</v>
      </c>
      <c r="C37" s="0" t="n">
        <v>11</v>
      </c>
      <c r="D37" s="0" t="s">
        <v>2126</v>
      </c>
      <c r="E37" s="0" t="n">
        <v>1734</v>
      </c>
      <c r="F37" s="0" t="s">
        <v>126</v>
      </c>
      <c r="I37" s="0" t="n">
        <v>254512</v>
      </c>
      <c r="J37" s="0" t="n">
        <v>41689</v>
      </c>
      <c r="K37" s="0" t="n">
        <v>7898055450092</v>
      </c>
      <c r="L37" s="0" t="s">
        <v>2154</v>
      </c>
      <c r="N37" s="0" t="n">
        <v>2</v>
      </c>
      <c r="O37" s="60" t="n">
        <v>39.86</v>
      </c>
    </row>
    <row r="38" customFormat="false" ht="15" hidden="false" customHeight="false" outlineLevel="0" collapsed="false">
      <c r="A38" s="0" t="n">
        <v>3</v>
      </c>
      <c r="B38" s="59" t="n">
        <v>46204</v>
      </c>
      <c r="C38" s="0" t="n">
        <v>11</v>
      </c>
      <c r="D38" s="0" t="s">
        <v>2126</v>
      </c>
      <c r="E38" s="0" t="n">
        <v>1734</v>
      </c>
      <c r="F38" s="0" t="s">
        <v>126</v>
      </c>
      <c r="I38" s="0" t="n">
        <v>254512</v>
      </c>
      <c r="J38" s="0" t="n">
        <v>56815</v>
      </c>
      <c r="K38" s="0" t="n">
        <v>7898055455165</v>
      </c>
      <c r="L38" s="0" t="s">
        <v>2155</v>
      </c>
      <c r="N38" s="0" t="n">
        <v>2</v>
      </c>
      <c r="O38" s="60" t="n">
        <v>39.86</v>
      </c>
    </row>
    <row r="39" customFormat="false" ht="15" hidden="false" customHeight="false" outlineLevel="0" collapsed="false">
      <c r="A39" s="0" t="n">
        <v>3</v>
      </c>
      <c r="B39" s="59" t="n">
        <v>46204</v>
      </c>
      <c r="C39" s="0" t="n">
        <v>11</v>
      </c>
      <c r="D39" s="0" t="s">
        <v>2126</v>
      </c>
      <c r="E39" s="0" t="n">
        <v>1734</v>
      </c>
      <c r="F39" s="0" t="s">
        <v>126</v>
      </c>
      <c r="I39" s="0" t="n">
        <v>254512</v>
      </c>
      <c r="J39" s="0" t="n">
        <v>57021</v>
      </c>
      <c r="K39" s="0" t="n">
        <v>7898055455189</v>
      </c>
      <c r="L39" s="0" t="s">
        <v>2156</v>
      </c>
      <c r="N39" s="0" t="n">
        <v>2</v>
      </c>
      <c r="O39" s="60" t="n">
        <v>39.86</v>
      </c>
    </row>
    <row r="40" customFormat="false" ht="15" hidden="false" customHeight="false" outlineLevel="0" collapsed="false">
      <c r="A40" s="0" t="n">
        <v>3</v>
      </c>
      <c r="B40" s="59" t="n">
        <v>46204</v>
      </c>
      <c r="C40" s="0" t="n">
        <v>11</v>
      </c>
      <c r="D40" s="0" t="s">
        <v>2126</v>
      </c>
      <c r="E40" s="0" t="n">
        <v>1734</v>
      </c>
      <c r="F40" s="0" t="s">
        <v>126</v>
      </c>
      <c r="I40" s="0" t="n">
        <v>254512</v>
      </c>
      <c r="J40" s="0" t="n">
        <v>78071</v>
      </c>
      <c r="K40" s="0" t="n">
        <v>7898055455622</v>
      </c>
      <c r="L40" s="0" t="s">
        <v>2157</v>
      </c>
      <c r="N40" s="0" t="n">
        <v>2</v>
      </c>
      <c r="O40" s="60" t="n">
        <v>39.86</v>
      </c>
    </row>
    <row r="41" customFormat="false" ht="15" hidden="false" customHeight="false" outlineLevel="0" collapsed="false">
      <c r="A41" s="0" t="n">
        <v>3</v>
      </c>
      <c r="B41" s="59" t="n">
        <v>46204</v>
      </c>
      <c r="C41" s="0" t="n">
        <v>11</v>
      </c>
      <c r="D41" s="0" t="s">
        <v>2126</v>
      </c>
      <c r="E41" s="0" t="n">
        <v>1740</v>
      </c>
      <c r="F41" s="0" t="s">
        <v>171</v>
      </c>
      <c r="I41" s="0" t="n">
        <v>1242823</v>
      </c>
      <c r="J41" s="0" t="n">
        <v>106130</v>
      </c>
      <c r="K41" s="0" t="n">
        <v>7891000340004</v>
      </c>
      <c r="L41" s="0" t="s">
        <v>2158</v>
      </c>
      <c r="N41" s="0" t="n">
        <v>3</v>
      </c>
      <c r="O41" s="60" t="n">
        <v>11.34</v>
      </c>
    </row>
    <row r="42" customFormat="false" ht="15" hidden="false" customHeight="false" outlineLevel="0" collapsed="false">
      <c r="A42" s="0" t="n">
        <v>3</v>
      </c>
      <c r="B42" s="59" t="n">
        <v>46204</v>
      </c>
      <c r="C42" s="0" t="n">
        <v>11</v>
      </c>
      <c r="D42" s="0" t="s">
        <v>2126</v>
      </c>
      <c r="E42" s="0" t="n">
        <v>1740</v>
      </c>
      <c r="F42" s="0" t="s">
        <v>171</v>
      </c>
      <c r="I42" s="0" t="n">
        <v>1242823</v>
      </c>
      <c r="J42" s="0" t="n">
        <v>16602</v>
      </c>
      <c r="K42" s="0" t="n">
        <v>7891000084649</v>
      </c>
      <c r="L42" s="0" t="s">
        <v>2159</v>
      </c>
      <c r="N42" s="0" t="n">
        <v>6</v>
      </c>
      <c r="O42" s="60" t="n">
        <v>65.94</v>
      </c>
    </row>
    <row r="43" customFormat="false" ht="15" hidden="false" customHeight="false" outlineLevel="0" collapsed="false">
      <c r="A43" s="0" t="n">
        <v>3</v>
      </c>
      <c r="B43" s="59" t="n">
        <v>46204</v>
      </c>
      <c r="C43" s="0" t="n">
        <v>11</v>
      </c>
      <c r="D43" s="0" t="s">
        <v>2126</v>
      </c>
      <c r="E43" s="0" t="n">
        <v>1740</v>
      </c>
      <c r="F43" s="0" t="s">
        <v>171</v>
      </c>
      <c r="I43" s="0" t="n">
        <v>1242823</v>
      </c>
      <c r="J43" s="0" t="n">
        <v>16644</v>
      </c>
      <c r="K43" s="0" t="n">
        <v>7891000084663</v>
      </c>
      <c r="L43" s="0" t="s">
        <v>2160</v>
      </c>
      <c r="N43" s="0" t="n">
        <v>6</v>
      </c>
      <c r="O43" s="60" t="n">
        <v>65.94</v>
      </c>
    </row>
    <row r="44" customFormat="false" ht="15" hidden="false" customHeight="false" outlineLevel="0" collapsed="false">
      <c r="A44" s="0" t="n">
        <v>3</v>
      </c>
      <c r="B44" s="59" t="n">
        <v>46204</v>
      </c>
      <c r="C44" s="0" t="n">
        <v>11</v>
      </c>
      <c r="D44" s="0" t="s">
        <v>2126</v>
      </c>
      <c r="E44" s="0" t="n">
        <v>1740</v>
      </c>
      <c r="F44" s="0" t="s">
        <v>171</v>
      </c>
      <c r="I44" s="0" t="n">
        <v>1242823</v>
      </c>
      <c r="J44" s="0" t="n">
        <v>25413</v>
      </c>
      <c r="K44" s="0" t="n">
        <v>7891000241417</v>
      </c>
      <c r="L44" s="0" t="s">
        <v>2161</v>
      </c>
      <c r="N44" s="0" t="n">
        <v>2</v>
      </c>
      <c r="O44" s="60" t="n">
        <v>24.58</v>
      </c>
    </row>
    <row r="45" customFormat="false" ht="15" hidden="false" customHeight="false" outlineLevel="0" collapsed="false">
      <c r="A45" s="0" t="n">
        <v>3</v>
      </c>
      <c r="B45" s="59" t="n">
        <v>46204</v>
      </c>
      <c r="C45" s="0" t="n">
        <v>11</v>
      </c>
      <c r="D45" s="0" t="s">
        <v>2126</v>
      </c>
      <c r="E45" s="0" t="n">
        <v>1740</v>
      </c>
      <c r="F45" s="0" t="s">
        <v>171</v>
      </c>
      <c r="I45" s="0" t="n">
        <v>1242823</v>
      </c>
      <c r="J45" s="0" t="n">
        <v>27878</v>
      </c>
      <c r="K45" s="0" t="n">
        <v>7891000261026</v>
      </c>
      <c r="L45" s="0" t="s">
        <v>2162</v>
      </c>
      <c r="N45" s="0" t="n">
        <v>6</v>
      </c>
      <c r="O45" s="60" t="n">
        <v>53.1</v>
      </c>
    </row>
    <row r="46" customFormat="false" ht="15" hidden="false" customHeight="false" outlineLevel="0" collapsed="false">
      <c r="A46" s="0" t="n">
        <v>3</v>
      </c>
      <c r="B46" s="59" t="n">
        <v>46204</v>
      </c>
      <c r="C46" s="0" t="n">
        <v>11</v>
      </c>
      <c r="D46" s="0" t="s">
        <v>2126</v>
      </c>
      <c r="E46" s="0" t="n">
        <v>1740</v>
      </c>
      <c r="F46" s="0" t="s">
        <v>171</v>
      </c>
      <c r="I46" s="0" t="n">
        <v>1242823</v>
      </c>
      <c r="J46" s="0" t="n">
        <v>28388</v>
      </c>
      <c r="K46" s="0" t="n">
        <v>7891000260166</v>
      </c>
      <c r="L46" s="0" t="s">
        <v>2163</v>
      </c>
      <c r="N46" s="0" t="n">
        <v>5</v>
      </c>
      <c r="O46" s="60" t="n">
        <v>23.65</v>
      </c>
    </row>
    <row r="47" customFormat="false" ht="15" hidden="false" customHeight="false" outlineLevel="0" collapsed="false">
      <c r="A47" s="0" t="n">
        <v>3</v>
      </c>
      <c r="B47" s="59" t="n">
        <v>46204</v>
      </c>
      <c r="C47" s="0" t="n">
        <v>11</v>
      </c>
      <c r="D47" s="0" t="s">
        <v>2126</v>
      </c>
      <c r="E47" s="0" t="n">
        <v>1740</v>
      </c>
      <c r="F47" s="0" t="s">
        <v>171</v>
      </c>
      <c r="I47" s="0" t="n">
        <v>1242823</v>
      </c>
      <c r="J47" s="0" t="n">
        <v>28389</v>
      </c>
      <c r="K47" s="0" t="n">
        <v>7891000261460</v>
      </c>
      <c r="L47" s="0" t="s">
        <v>2164</v>
      </c>
      <c r="N47" s="0" t="n">
        <v>5</v>
      </c>
      <c r="O47" s="60" t="n">
        <v>23.65</v>
      </c>
    </row>
    <row r="48" customFormat="false" ht="15" hidden="false" customHeight="false" outlineLevel="0" collapsed="false">
      <c r="A48" s="0" t="n">
        <v>3</v>
      </c>
      <c r="B48" s="59" t="n">
        <v>46204</v>
      </c>
      <c r="C48" s="0" t="n">
        <v>11</v>
      </c>
      <c r="D48" s="0" t="s">
        <v>2126</v>
      </c>
      <c r="E48" s="0" t="n">
        <v>1740</v>
      </c>
      <c r="F48" s="0" t="s">
        <v>171</v>
      </c>
      <c r="I48" s="0" t="n">
        <v>1242823</v>
      </c>
      <c r="J48" s="0" t="n">
        <v>47789</v>
      </c>
      <c r="K48" s="0" t="n">
        <v>7891000362037</v>
      </c>
      <c r="L48" s="0" t="s">
        <v>2165</v>
      </c>
      <c r="N48" s="0" t="n">
        <v>6</v>
      </c>
      <c r="O48" s="60" t="n">
        <v>49.14</v>
      </c>
    </row>
    <row r="49" customFormat="false" ht="15" hidden="false" customHeight="false" outlineLevel="0" collapsed="false">
      <c r="A49" s="0" t="n">
        <v>3</v>
      </c>
      <c r="B49" s="59" t="n">
        <v>46204</v>
      </c>
      <c r="C49" s="0" t="n">
        <v>11</v>
      </c>
      <c r="D49" s="0" t="s">
        <v>2126</v>
      </c>
      <c r="E49" s="0" t="n">
        <v>1740</v>
      </c>
      <c r="F49" s="0" t="s">
        <v>171</v>
      </c>
      <c r="I49" s="0" t="n">
        <v>1242823</v>
      </c>
      <c r="J49" s="0" t="n">
        <v>50424</v>
      </c>
      <c r="K49" s="0" t="n">
        <v>7898953148169</v>
      </c>
      <c r="L49" s="0" t="s">
        <v>2166</v>
      </c>
      <c r="N49" s="0" t="n">
        <v>6</v>
      </c>
      <c r="O49" s="60" t="n">
        <v>59.88</v>
      </c>
    </row>
    <row r="50" customFormat="false" ht="15" hidden="false" customHeight="false" outlineLevel="0" collapsed="false">
      <c r="A50" s="0" t="n">
        <v>3</v>
      </c>
      <c r="B50" s="59" t="n">
        <v>46204</v>
      </c>
      <c r="C50" s="0" t="n">
        <v>11</v>
      </c>
      <c r="D50" s="0" t="s">
        <v>2126</v>
      </c>
      <c r="E50" s="0" t="n">
        <v>1740</v>
      </c>
      <c r="F50" s="0" t="s">
        <v>171</v>
      </c>
      <c r="I50" s="0" t="n">
        <v>1242823</v>
      </c>
      <c r="J50" s="0" t="n">
        <v>52026</v>
      </c>
      <c r="K50" s="0" t="n">
        <v>7898953148435</v>
      </c>
      <c r="L50" s="0" t="s">
        <v>2167</v>
      </c>
      <c r="N50" s="0" t="n">
        <v>6</v>
      </c>
      <c r="O50" s="60" t="n">
        <v>66.06</v>
      </c>
    </row>
    <row r="51" customFormat="false" ht="15" hidden="false" customHeight="false" outlineLevel="0" collapsed="false">
      <c r="A51" s="0" t="n">
        <v>3</v>
      </c>
      <c r="B51" s="59" t="n">
        <v>46204</v>
      </c>
      <c r="C51" s="0" t="n">
        <v>11</v>
      </c>
      <c r="D51" s="0" t="s">
        <v>2126</v>
      </c>
      <c r="E51" s="0" t="n">
        <v>1740</v>
      </c>
      <c r="F51" s="0" t="s">
        <v>171</v>
      </c>
      <c r="I51" s="0" t="n">
        <v>1242823</v>
      </c>
      <c r="J51" s="0" t="n">
        <v>64099</v>
      </c>
      <c r="K51" s="0" t="n">
        <v>7898953148619</v>
      </c>
      <c r="L51" s="0" t="s">
        <v>2168</v>
      </c>
      <c r="N51" s="0" t="n">
        <v>3</v>
      </c>
      <c r="O51" s="60" t="n">
        <v>36.9</v>
      </c>
    </row>
    <row r="52" customFormat="false" ht="15" hidden="false" customHeight="false" outlineLevel="0" collapsed="false">
      <c r="A52" s="0" t="n">
        <v>3</v>
      </c>
      <c r="B52" s="59" t="n">
        <v>46204</v>
      </c>
      <c r="C52" s="0" t="n">
        <v>11</v>
      </c>
      <c r="D52" s="0" t="s">
        <v>2126</v>
      </c>
      <c r="E52" s="0" t="n">
        <v>1740</v>
      </c>
      <c r="F52" s="0" t="s">
        <v>171</v>
      </c>
      <c r="I52" s="0" t="n">
        <v>1242823</v>
      </c>
      <c r="J52" s="0" t="n">
        <v>70023</v>
      </c>
      <c r="K52" s="0" t="n">
        <v>7898953148275</v>
      </c>
      <c r="L52" s="0" t="s">
        <v>2169</v>
      </c>
      <c r="N52" s="0" t="n">
        <v>3</v>
      </c>
      <c r="O52" s="60" t="n">
        <v>22.02</v>
      </c>
    </row>
    <row r="53" customFormat="false" ht="15" hidden="false" customHeight="false" outlineLevel="0" collapsed="false">
      <c r="A53" s="0" t="n">
        <v>3</v>
      </c>
      <c r="B53" s="59" t="n">
        <v>46204</v>
      </c>
      <c r="C53" s="0" t="n">
        <v>11</v>
      </c>
      <c r="D53" s="0" t="s">
        <v>2126</v>
      </c>
      <c r="E53" s="0" t="n">
        <v>1740</v>
      </c>
      <c r="F53" s="0" t="s">
        <v>171</v>
      </c>
      <c r="I53" s="0" t="n">
        <v>1242824</v>
      </c>
      <c r="J53" s="0" t="n">
        <v>100036</v>
      </c>
      <c r="K53" s="0" t="n">
        <v>37</v>
      </c>
      <c r="L53" s="0" t="s">
        <v>2170</v>
      </c>
      <c r="N53" s="0" t="n">
        <v>100</v>
      </c>
      <c r="O53" s="60" t="n">
        <v>2049</v>
      </c>
    </row>
    <row r="54" customFormat="false" ht="15" hidden="false" customHeight="false" outlineLevel="0" collapsed="false">
      <c r="A54" s="0" t="n">
        <v>3</v>
      </c>
      <c r="B54" s="59" t="n">
        <v>46204</v>
      </c>
      <c r="C54" s="0" t="n">
        <v>11</v>
      </c>
      <c r="D54" s="0" t="s">
        <v>2126</v>
      </c>
      <c r="E54" s="0" t="n">
        <v>1740</v>
      </c>
      <c r="F54" s="0" t="s">
        <v>171</v>
      </c>
      <c r="I54" s="0" t="n">
        <v>1242825</v>
      </c>
      <c r="J54" s="0" t="n">
        <v>108591</v>
      </c>
      <c r="K54" s="0" t="n">
        <v>8461</v>
      </c>
      <c r="L54" s="0" t="s">
        <v>2171</v>
      </c>
      <c r="N54" s="0" t="n">
        <v>120</v>
      </c>
      <c r="O54" s="60" t="n">
        <v>2292</v>
      </c>
    </row>
    <row r="55" customFormat="false" ht="15" hidden="false" customHeight="false" outlineLevel="0" collapsed="false">
      <c r="A55" s="0" t="n">
        <v>3</v>
      </c>
      <c r="B55" s="59" t="n">
        <v>46204</v>
      </c>
      <c r="C55" s="0" t="n">
        <v>22</v>
      </c>
      <c r="D55" s="0" t="s">
        <v>2172</v>
      </c>
      <c r="E55" s="0" t="n">
        <v>42</v>
      </c>
      <c r="F55" s="0" t="s">
        <v>81</v>
      </c>
      <c r="I55" s="0" t="n">
        <v>4340</v>
      </c>
      <c r="J55" s="0" t="n">
        <v>100000</v>
      </c>
      <c r="K55" s="0" t="n">
        <v>1</v>
      </c>
      <c r="L55" s="0" t="s">
        <v>2173</v>
      </c>
      <c r="N55" s="0" t="n">
        <v>5.974</v>
      </c>
      <c r="O55" s="60" t="n">
        <v>128.24</v>
      </c>
    </row>
    <row r="56" customFormat="false" ht="15" hidden="false" customHeight="false" outlineLevel="0" collapsed="false">
      <c r="A56" s="0" t="n">
        <v>3</v>
      </c>
      <c r="B56" s="59" t="n">
        <v>46204</v>
      </c>
      <c r="C56" s="0" t="n">
        <v>22</v>
      </c>
      <c r="D56" s="0" t="s">
        <v>2172</v>
      </c>
      <c r="E56" s="0" t="n">
        <v>42</v>
      </c>
      <c r="F56" s="0" t="s">
        <v>81</v>
      </c>
      <c r="I56" s="0" t="n">
        <v>4340</v>
      </c>
      <c r="J56" s="0" t="n">
        <v>100001</v>
      </c>
      <c r="K56" s="0" t="n">
        <v>2</v>
      </c>
      <c r="L56" s="0" t="s">
        <v>2174</v>
      </c>
      <c r="N56" s="0" t="n">
        <v>16.7</v>
      </c>
      <c r="O56" s="60" t="n">
        <v>383.22</v>
      </c>
    </row>
    <row r="57" customFormat="false" ht="15" hidden="false" customHeight="false" outlineLevel="0" collapsed="false">
      <c r="A57" s="0" t="n">
        <v>3</v>
      </c>
      <c r="B57" s="59" t="n">
        <v>46204</v>
      </c>
      <c r="C57" s="0" t="n">
        <v>22</v>
      </c>
      <c r="D57" s="0" t="s">
        <v>2172</v>
      </c>
      <c r="E57" s="0" t="n">
        <v>42</v>
      </c>
      <c r="F57" s="0" t="s">
        <v>81</v>
      </c>
      <c r="I57" s="0" t="n">
        <v>4340</v>
      </c>
      <c r="J57" s="0" t="n">
        <v>100002</v>
      </c>
      <c r="K57" s="0" t="n">
        <v>3</v>
      </c>
      <c r="L57" s="0" t="s">
        <v>2175</v>
      </c>
      <c r="N57" s="0" t="n">
        <v>34.21</v>
      </c>
      <c r="O57" s="60" t="n">
        <v>810.35</v>
      </c>
    </row>
    <row r="58" customFormat="false" ht="15" hidden="false" customHeight="false" outlineLevel="0" collapsed="false">
      <c r="A58" s="0" t="n">
        <v>3</v>
      </c>
      <c r="B58" s="59" t="n">
        <v>46204</v>
      </c>
      <c r="C58" s="0" t="n">
        <v>22</v>
      </c>
      <c r="D58" s="0" t="s">
        <v>2172</v>
      </c>
      <c r="E58" s="0" t="n">
        <v>42</v>
      </c>
      <c r="F58" s="0" t="s">
        <v>81</v>
      </c>
      <c r="I58" s="0" t="n">
        <v>4340</v>
      </c>
      <c r="J58" s="0" t="n">
        <v>100003</v>
      </c>
      <c r="K58" s="0" t="n">
        <v>4</v>
      </c>
      <c r="L58" s="0" t="s">
        <v>2176</v>
      </c>
      <c r="N58" s="0" t="n">
        <v>29.132</v>
      </c>
      <c r="O58" s="60" t="n">
        <v>754.78</v>
      </c>
    </row>
    <row r="59" customFormat="false" ht="15" hidden="false" customHeight="false" outlineLevel="0" collapsed="false">
      <c r="A59" s="0" t="n">
        <v>3</v>
      </c>
      <c r="B59" s="59" t="n">
        <v>46204</v>
      </c>
      <c r="C59" s="0" t="n">
        <v>22</v>
      </c>
      <c r="D59" s="0" t="s">
        <v>2172</v>
      </c>
      <c r="E59" s="0" t="n">
        <v>42</v>
      </c>
      <c r="F59" s="0" t="s">
        <v>81</v>
      </c>
      <c r="I59" s="0" t="n">
        <v>4340</v>
      </c>
      <c r="J59" s="0" t="n">
        <v>100007</v>
      </c>
      <c r="K59" s="0" t="n">
        <v>8</v>
      </c>
      <c r="L59" s="0" t="s">
        <v>2177</v>
      </c>
      <c r="N59" s="0" t="n">
        <v>8.461</v>
      </c>
      <c r="O59" s="60" t="n">
        <v>212.95</v>
      </c>
    </row>
    <row r="60" customFormat="false" ht="15" hidden="false" customHeight="false" outlineLevel="0" collapsed="false">
      <c r="A60" s="0" t="n">
        <v>3</v>
      </c>
      <c r="B60" s="59" t="n">
        <v>46204</v>
      </c>
      <c r="C60" s="0" t="n">
        <v>22</v>
      </c>
      <c r="D60" s="0" t="s">
        <v>2172</v>
      </c>
      <c r="E60" s="0" t="n">
        <v>42</v>
      </c>
      <c r="F60" s="0" t="s">
        <v>81</v>
      </c>
      <c r="I60" s="0" t="n">
        <v>4340</v>
      </c>
      <c r="J60" s="0" t="n">
        <v>100638</v>
      </c>
      <c r="K60" s="0" t="n">
        <v>508</v>
      </c>
      <c r="L60" s="0" t="s">
        <v>2178</v>
      </c>
      <c r="N60" s="0" t="n">
        <v>6.224</v>
      </c>
      <c r="O60" s="60" t="n">
        <v>9.17</v>
      </c>
    </row>
    <row r="61" customFormat="false" ht="15" hidden="false" customHeight="false" outlineLevel="0" collapsed="false">
      <c r="A61" s="0" t="n">
        <v>3</v>
      </c>
      <c r="B61" s="59" t="n">
        <v>46204</v>
      </c>
      <c r="C61" s="0" t="n">
        <v>22</v>
      </c>
      <c r="D61" s="0" t="s">
        <v>2172</v>
      </c>
      <c r="E61" s="0" t="n">
        <v>42</v>
      </c>
      <c r="F61" s="0" t="s">
        <v>81</v>
      </c>
      <c r="I61" s="0" t="n">
        <v>4340</v>
      </c>
      <c r="J61" s="0" t="n">
        <v>100520</v>
      </c>
      <c r="K61" s="0" t="n">
        <v>507</v>
      </c>
      <c r="L61" s="0" t="s">
        <v>2179</v>
      </c>
      <c r="N61" s="0" t="n">
        <v>3.124</v>
      </c>
      <c r="O61" s="60" t="n">
        <v>6.92</v>
      </c>
    </row>
    <row r="62" customFormat="false" ht="15" hidden="false" customHeight="false" outlineLevel="0" collapsed="false">
      <c r="A62" s="0" t="n">
        <v>3</v>
      </c>
      <c r="B62" s="59" t="n">
        <v>46204</v>
      </c>
      <c r="C62" s="0" t="n">
        <v>22</v>
      </c>
      <c r="D62" s="0" t="s">
        <v>2172</v>
      </c>
      <c r="E62" s="0" t="n">
        <v>42</v>
      </c>
      <c r="F62" s="0" t="s">
        <v>81</v>
      </c>
      <c r="I62" s="0" t="n">
        <v>4340</v>
      </c>
      <c r="J62" s="0" t="n">
        <v>110455</v>
      </c>
      <c r="K62" s="0" t="n">
        <v>53212</v>
      </c>
      <c r="L62" s="0" t="s">
        <v>2180</v>
      </c>
      <c r="N62" s="0" t="n">
        <v>0.976</v>
      </c>
      <c r="O62" s="60" t="n">
        <v>0</v>
      </c>
    </row>
    <row r="63" customFormat="false" ht="15" hidden="false" customHeight="false" outlineLevel="0" collapsed="false">
      <c r="A63" s="0" t="n">
        <v>3</v>
      </c>
      <c r="B63" s="59" t="n">
        <v>46204</v>
      </c>
      <c r="C63" s="0" t="n">
        <v>100</v>
      </c>
      <c r="D63" s="0" t="s">
        <v>2181</v>
      </c>
      <c r="E63" s="0" t="n">
        <v>42</v>
      </c>
      <c r="F63" s="0" t="s">
        <v>81</v>
      </c>
      <c r="I63" s="0" t="n">
        <v>1335606</v>
      </c>
      <c r="J63" s="0" t="n">
        <v>100000</v>
      </c>
      <c r="K63" s="0" t="n">
        <v>1</v>
      </c>
      <c r="L63" s="0" t="s">
        <v>2173</v>
      </c>
      <c r="N63" s="0" t="n">
        <v>5.974</v>
      </c>
      <c r="O63" s="60" t="n">
        <v>128.24</v>
      </c>
    </row>
    <row r="64" customFormat="false" ht="15" hidden="false" customHeight="false" outlineLevel="0" collapsed="false">
      <c r="A64" s="0" t="n">
        <v>3</v>
      </c>
      <c r="B64" s="59" t="n">
        <v>46204</v>
      </c>
      <c r="C64" s="0" t="n">
        <v>100</v>
      </c>
      <c r="D64" s="0" t="s">
        <v>2181</v>
      </c>
      <c r="E64" s="0" t="n">
        <v>42</v>
      </c>
      <c r="F64" s="0" t="s">
        <v>81</v>
      </c>
      <c r="I64" s="0" t="n">
        <v>1335606</v>
      </c>
      <c r="J64" s="0" t="n">
        <v>100001</v>
      </c>
      <c r="K64" s="0" t="n">
        <v>2</v>
      </c>
      <c r="L64" s="0" t="s">
        <v>2174</v>
      </c>
      <c r="N64" s="0" t="n">
        <v>16.7</v>
      </c>
      <c r="O64" s="60" t="n">
        <v>383.22</v>
      </c>
    </row>
    <row r="65" customFormat="false" ht="15" hidden="false" customHeight="false" outlineLevel="0" collapsed="false">
      <c r="A65" s="0" t="n">
        <v>3</v>
      </c>
      <c r="B65" s="59" t="n">
        <v>46204</v>
      </c>
      <c r="C65" s="0" t="n">
        <v>100</v>
      </c>
      <c r="D65" s="0" t="s">
        <v>2181</v>
      </c>
      <c r="E65" s="0" t="n">
        <v>42</v>
      </c>
      <c r="F65" s="0" t="s">
        <v>81</v>
      </c>
      <c r="I65" s="0" t="n">
        <v>1335606</v>
      </c>
      <c r="J65" s="0" t="n">
        <v>100002</v>
      </c>
      <c r="K65" s="0" t="n">
        <v>3</v>
      </c>
      <c r="L65" s="0" t="s">
        <v>2175</v>
      </c>
      <c r="N65" s="0" t="n">
        <v>34.21</v>
      </c>
      <c r="O65" s="60" t="n">
        <v>810.35</v>
      </c>
    </row>
    <row r="66" customFormat="false" ht="15" hidden="false" customHeight="false" outlineLevel="0" collapsed="false">
      <c r="A66" s="0" t="n">
        <v>3</v>
      </c>
      <c r="B66" s="59" t="n">
        <v>46204</v>
      </c>
      <c r="C66" s="0" t="n">
        <v>100</v>
      </c>
      <c r="D66" s="0" t="s">
        <v>2181</v>
      </c>
      <c r="E66" s="0" t="n">
        <v>42</v>
      </c>
      <c r="F66" s="0" t="s">
        <v>81</v>
      </c>
      <c r="I66" s="0" t="n">
        <v>1335606</v>
      </c>
      <c r="J66" s="0" t="n">
        <v>100003</v>
      </c>
      <c r="K66" s="0" t="n">
        <v>4</v>
      </c>
      <c r="L66" s="0" t="s">
        <v>2176</v>
      </c>
      <c r="N66" s="0" t="n">
        <v>29.132</v>
      </c>
      <c r="O66" s="60" t="n">
        <v>754.78</v>
      </c>
    </row>
    <row r="67" customFormat="false" ht="15" hidden="false" customHeight="false" outlineLevel="0" collapsed="false">
      <c r="A67" s="0" t="n">
        <v>3</v>
      </c>
      <c r="B67" s="59" t="n">
        <v>46204</v>
      </c>
      <c r="C67" s="0" t="n">
        <v>100</v>
      </c>
      <c r="D67" s="0" t="s">
        <v>2181</v>
      </c>
      <c r="E67" s="0" t="n">
        <v>42</v>
      </c>
      <c r="F67" s="0" t="s">
        <v>81</v>
      </c>
      <c r="I67" s="0" t="n">
        <v>1335606</v>
      </c>
      <c r="J67" s="0" t="n">
        <v>100007</v>
      </c>
      <c r="K67" s="0" t="n">
        <v>8</v>
      </c>
      <c r="L67" s="0" t="s">
        <v>2177</v>
      </c>
      <c r="N67" s="0" t="n">
        <v>8.461</v>
      </c>
      <c r="O67" s="60" t="n">
        <v>212.95</v>
      </c>
    </row>
    <row r="68" customFormat="false" ht="15" hidden="false" customHeight="false" outlineLevel="0" collapsed="false">
      <c r="A68" s="0" t="n">
        <v>3</v>
      </c>
      <c r="B68" s="59" t="n">
        <v>46204</v>
      </c>
      <c r="C68" s="0" t="n">
        <v>100</v>
      </c>
      <c r="D68" s="0" t="s">
        <v>2181</v>
      </c>
      <c r="E68" s="0" t="n">
        <v>42</v>
      </c>
      <c r="F68" s="0" t="s">
        <v>81</v>
      </c>
      <c r="I68" s="0" t="n">
        <v>1335606</v>
      </c>
      <c r="J68" s="0" t="n">
        <v>100638</v>
      </c>
      <c r="K68" s="0" t="n">
        <v>508</v>
      </c>
      <c r="L68" s="0" t="s">
        <v>2178</v>
      </c>
      <c r="N68" s="0" t="n">
        <v>6.224</v>
      </c>
      <c r="O68" s="60" t="n">
        <v>9.17</v>
      </c>
    </row>
    <row r="69" customFormat="false" ht="15" hidden="false" customHeight="false" outlineLevel="0" collapsed="false">
      <c r="A69" s="0" t="n">
        <v>3</v>
      </c>
      <c r="B69" s="59" t="n">
        <v>46204</v>
      </c>
      <c r="C69" s="0" t="n">
        <v>100</v>
      </c>
      <c r="D69" s="0" t="s">
        <v>2181</v>
      </c>
      <c r="E69" s="0" t="n">
        <v>42</v>
      </c>
      <c r="F69" s="0" t="s">
        <v>81</v>
      </c>
      <c r="I69" s="0" t="n">
        <v>1335606</v>
      </c>
      <c r="J69" s="0" t="n">
        <v>100520</v>
      </c>
      <c r="K69" s="0" t="n">
        <v>507</v>
      </c>
      <c r="L69" s="0" t="s">
        <v>2179</v>
      </c>
      <c r="N69" s="0" t="n">
        <v>3.124</v>
      </c>
      <c r="O69" s="60" t="n">
        <v>6.92</v>
      </c>
    </row>
    <row r="70" customFormat="false" ht="15" hidden="false" customHeight="false" outlineLevel="0" collapsed="false">
      <c r="A70" s="0" t="n">
        <v>3</v>
      </c>
      <c r="B70" s="59" t="n">
        <v>46204</v>
      </c>
      <c r="C70" s="0" t="n">
        <v>100</v>
      </c>
      <c r="D70" s="0" t="s">
        <v>2181</v>
      </c>
      <c r="E70" s="0" t="n">
        <v>42</v>
      </c>
      <c r="F70" s="0" t="s">
        <v>81</v>
      </c>
      <c r="I70" s="0" t="n">
        <v>1335606</v>
      </c>
      <c r="J70" s="0" t="n">
        <v>110455</v>
      </c>
      <c r="K70" s="0" t="n">
        <v>53212</v>
      </c>
      <c r="L70" s="0" t="s">
        <v>2180</v>
      </c>
      <c r="N70" s="0" t="n">
        <v>0.976</v>
      </c>
      <c r="O70" s="60" t="n">
        <v>0</v>
      </c>
    </row>
    <row r="71" customFormat="false" ht="15" hidden="false" customHeight="false" outlineLevel="0" collapsed="false">
      <c r="A71" s="0" t="n">
        <v>3</v>
      </c>
      <c r="B71" s="59" t="n">
        <v>46204</v>
      </c>
      <c r="C71" s="0" t="n">
        <v>171</v>
      </c>
      <c r="D71" s="0" t="s">
        <v>2182</v>
      </c>
      <c r="E71" s="0" t="n">
        <v>1740</v>
      </c>
      <c r="F71" s="0" t="s">
        <v>171</v>
      </c>
      <c r="I71" s="0" t="n">
        <v>1242822</v>
      </c>
      <c r="J71" s="0" t="n">
        <v>14219</v>
      </c>
      <c r="K71" s="0" t="n">
        <v>7891000072950</v>
      </c>
      <c r="L71" s="0" t="s">
        <v>2183</v>
      </c>
      <c r="N71" s="0" t="n">
        <v>3</v>
      </c>
      <c r="O71" s="60" t="n">
        <v>13.62</v>
      </c>
    </row>
    <row r="72" customFormat="false" ht="15" hidden="false" customHeight="false" outlineLevel="0" collapsed="false">
      <c r="A72" s="0" t="n">
        <v>3</v>
      </c>
      <c r="B72" s="59" t="n">
        <v>46204</v>
      </c>
      <c r="C72" s="0" t="n">
        <v>171</v>
      </c>
      <c r="D72" s="0" t="s">
        <v>2182</v>
      </c>
      <c r="E72" s="0" t="n">
        <v>1740</v>
      </c>
      <c r="F72" s="0" t="s">
        <v>171</v>
      </c>
      <c r="I72" s="0" t="n">
        <v>1242822</v>
      </c>
      <c r="J72" s="0" t="n">
        <v>47788</v>
      </c>
      <c r="K72" s="0" t="n">
        <v>7891000363256</v>
      </c>
      <c r="L72" s="0" t="s">
        <v>2184</v>
      </c>
      <c r="N72" s="0" t="n">
        <v>2</v>
      </c>
      <c r="O72" s="60" t="n">
        <v>16.38</v>
      </c>
    </row>
    <row r="73" customFormat="false" ht="15" hidden="false" customHeight="false" outlineLevel="0" collapsed="false">
      <c r="A73" s="0" t="n">
        <v>3</v>
      </c>
      <c r="B73" s="59" t="n">
        <v>46204</v>
      </c>
      <c r="C73" s="0" t="n">
        <v>171</v>
      </c>
      <c r="D73" s="0" t="s">
        <v>2182</v>
      </c>
      <c r="E73" s="0" t="n">
        <v>1740</v>
      </c>
      <c r="F73" s="0" t="s">
        <v>171</v>
      </c>
      <c r="I73" s="0" t="n">
        <v>1242822</v>
      </c>
      <c r="J73" s="0" t="n">
        <v>79560</v>
      </c>
      <c r="K73" s="0" t="n">
        <v>7898755200461</v>
      </c>
      <c r="L73" s="0" t="s">
        <v>2185</v>
      </c>
      <c r="N73" s="0" t="n">
        <v>1</v>
      </c>
      <c r="O73" s="60" t="n">
        <v>14.5</v>
      </c>
    </row>
    <row r="74" customFormat="false" ht="15" hidden="false" customHeight="false" outlineLevel="0" collapsed="false">
      <c r="A74" s="0" t="n">
        <v>3</v>
      </c>
      <c r="B74" s="59" t="n">
        <v>46205</v>
      </c>
      <c r="C74" s="0" t="n">
        <v>1</v>
      </c>
      <c r="D74" s="0" t="s">
        <v>2118</v>
      </c>
      <c r="E74" s="0" t="n">
        <v>1642</v>
      </c>
      <c r="F74" s="0" t="s">
        <v>276</v>
      </c>
      <c r="I74" s="0" t="n">
        <v>1029881</v>
      </c>
      <c r="J74" s="0" t="n">
        <v>105780</v>
      </c>
      <c r="K74" s="0" t="n">
        <v>7896289210017</v>
      </c>
      <c r="L74" s="0" t="s">
        <v>2186</v>
      </c>
      <c r="N74" s="0" t="n">
        <v>10</v>
      </c>
      <c r="O74" s="60" t="n">
        <v>106.7</v>
      </c>
    </row>
    <row r="75" customFormat="false" ht="15" hidden="false" customHeight="false" outlineLevel="0" collapsed="false">
      <c r="A75" s="0" t="n">
        <v>3</v>
      </c>
      <c r="B75" s="59" t="n">
        <v>46205</v>
      </c>
      <c r="C75" s="0" t="n">
        <v>1</v>
      </c>
      <c r="D75" s="0" t="s">
        <v>2118</v>
      </c>
      <c r="E75" s="0" t="n">
        <v>1642</v>
      </c>
      <c r="F75" s="0" t="s">
        <v>276</v>
      </c>
      <c r="I75" s="0" t="n">
        <v>1029881</v>
      </c>
      <c r="J75" s="0" t="n">
        <v>105782</v>
      </c>
      <c r="K75" s="0" t="n">
        <v>7896289210352</v>
      </c>
      <c r="L75" s="0" t="s">
        <v>2187</v>
      </c>
      <c r="N75" s="0" t="n">
        <v>12</v>
      </c>
      <c r="O75" s="60" t="n">
        <v>82.32</v>
      </c>
    </row>
    <row r="76" customFormat="false" ht="15" hidden="false" customHeight="false" outlineLevel="0" collapsed="false">
      <c r="A76" s="0" t="n">
        <v>3</v>
      </c>
      <c r="B76" s="59" t="n">
        <v>46205</v>
      </c>
      <c r="C76" s="0" t="n">
        <v>1</v>
      </c>
      <c r="D76" s="0" t="s">
        <v>2118</v>
      </c>
      <c r="E76" s="0" t="n">
        <v>1642</v>
      </c>
      <c r="F76" s="0" t="s">
        <v>276</v>
      </c>
      <c r="I76" s="0" t="n">
        <v>1029881</v>
      </c>
      <c r="J76" s="0" t="n">
        <v>106079</v>
      </c>
      <c r="K76" s="0" t="n">
        <v>7896289210130</v>
      </c>
      <c r="L76" s="0" t="s">
        <v>2188</v>
      </c>
      <c r="N76" s="0" t="n">
        <v>8</v>
      </c>
      <c r="O76" s="60" t="n">
        <v>109.6</v>
      </c>
    </row>
    <row r="77" customFormat="false" ht="15" hidden="false" customHeight="false" outlineLevel="0" collapsed="false">
      <c r="A77" s="0" t="n">
        <v>3</v>
      </c>
      <c r="B77" s="59" t="n">
        <v>46205</v>
      </c>
      <c r="C77" s="0" t="n">
        <v>1</v>
      </c>
      <c r="D77" s="0" t="s">
        <v>2118</v>
      </c>
      <c r="E77" s="0" t="n">
        <v>1642</v>
      </c>
      <c r="F77" s="0" t="s">
        <v>276</v>
      </c>
      <c r="I77" s="0" t="n">
        <v>1029881</v>
      </c>
      <c r="J77" s="0" t="n">
        <v>106274</v>
      </c>
      <c r="K77" s="0" t="n">
        <v>7896289210086</v>
      </c>
      <c r="L77" s="0" t="s">
        <v>2189</v>
      </c>
      <c r="N77" s="0" t="n">
        <v>8</v>
      </c>
      <c r="O77" s="60" t="n">
        <v>100.48</v>
      </c>
    </row>
    <row r="78" customFormat="false" ht="15" hidden="false" customHeight="false" outlineLevel="0" collapsed="false">
      <c r="A78" s="0" t="n">
        <v>3</v>
      </c>
      <c r="B78" s="59" t="n">
        <v>46205</v>
      </c>
      <c r="C78" s="0" t="n">
        <v>1</v>
      </c>
      <c r="D78" s="0" t="s">
        <v>2118</v>
      </c>
      <c r="E78" s="0" t="n">
        <v>1642</v>
      </c>
      <c r="F78" s="0" t="s">
        <v>276</v>
      </c>
      <c r="I78" s="0" t="n">
        <v>1029881</v>
      </c>
      <c r="J78" s="0" t="n">
        <v>106280</v>
      </c>
      <c r="K78" s="0" t="n">
        <v>7896289210062</v>
      </c>
      <c r="L78" s="0" t="s">
        <v>2190</v>
      </c>
      <c r="N78" s="0" t="n">
        <v>4</v>
      </c>
      <c r="O78" s="60" t="n">
        <v>50.24</v>
      </c>
    </row>
    <row r="79" customFormat="false" ht="15" hidden="false" customHeight="false" outlineLevel="0" collapsed="false">
      <c r="A79" s="0" t="n">
        <v>3</v>
      </c>
      <c r="B79" s="59" t="n">
        <v>46205</v>
      </c>
      <c r="C79" s="0" t="n">
        <v>1</v>
      </c>
      <c r="D79" s="0" t="s">
        <v>2118</v>
      </c>
      <c r="E79" s="0" t="n">
        <v>1642</v>
      </c>
      <c r="F79" s="0" t="s">
        <v>276</v>
      </c>
      <c r="I79" s="0" t="n">
        <v>1029881</v>
      </c>
      <c r="J79" s="0" t="n">
        <v>106407</v>
      </c>
      <c r="K79" s="0" t="n">
        <v>7896289210031</v>
      </c>
      <c r="L79" s="0" t="s">
        <v>2191</v>
      </c>
      <c r="N79" s="0" t="n">
        <v>8</v>
      </c>
      <c r="O79" s="60" t="n">
        <v>93.12</v>
      </c>
    </row>
    <row r="80" customFormat="false" ht="15" hidden="false" customHeight="false" outlineLevel="0" collapsed="false">
      <c r="A80" s="0" t="n">
        <v>3</v>
      </c>
      <c r="B80" s="59" t="n">
        <v>46205</v>
      </c>
      <c r="C80" s="0" t="n">
        <v>2</v>
      </c>
      <c r="D80" s="0" t="s">
        <v>2122</v>
      </c>
      <c r="E80" s="0" t="n">
        <v>42</v>
      </c>
      <c r="F80" s="0" t="s">
        <v>81</v>
      </c>
      <c r="I80" s="0" t="n">
        <v>20701</v>
      </c>
      <c r="J80" s="0" t="n">
        <v>100140</v>
      </c>
      <c r="K80" s="0" t="n">
        <v>141</v>
      </c>
      <c r="L80" s="0" t="s">
        <v>2192</v>
      </c>
      <c r="N80" s="0" t="n">
        <v>0.506</v>
      </c>
      <c r="O80" s="60" t="n">
        <v>40.48</v>
      </c>
    </row>
    <row r="81" customFormat="false" ht="15" hidden="false" customHeight="false" outlineLevel="0" collapsed="false">
      <c r="A81" s="0" t="n">
        <v>3</v>
      </c>
      <c r="B81" s="59" t="n">
        <v>46205</v>
      </c>
      <c r="C81" s="0" t="n">
        <v>2</v>
      </c>
      <c r="D81" s="0" t="s">
        <v>2122</v>
      </c>
      <c r="E81" s="0" t="n">
        <v>42</v>
      </c>
      <c r="F81" s="0" t="s">
        <v>81</v>
      </c>
      <c r="I81" s="0" t="n">
        <v>20702</v>
      </c>
      <c r="J81" s="0" t="n">
        <v>100103</v>
      </c>
      <c r="K81" s="0" t="n">
        <v>104</v>
      </c>
      <c r="L81" s="0" t="s">
        <v>2193</v>
      </c>
      <c r="N81" s="0" t="n">
        <v>40</v>
      </c>
      <c r="O81" s="60" t="n">
        <v>240</v>
      </c>
    </row>
    <row r="82" customFormat="false" ht="15" hidden="false" customHeight="false" outlineLevel="0" collapsed="false">
      <c r="A82" s="0" t="n">
        <v>3</v>
      </c>
      <c r="B82" s="59" t="n">
        <v>46205</v>
      </c>
      <c r="C82" s="0" t="n">
        <v>2</v>
      </c>
      <c r="D82" s="0" t="s">
        <v>2122</v>
      </c>
      <c r="E82" s="0" t="n">
        <v>42</v>
      </c>
      <c r="F82" s="0" t="s">
        <v>81</v>
      </c>
      <c r="I82" s="0" t="n">
        <v>20703</v>
      </c>
      <c r="J82" s="0" t="n">
        <v>109791</v>
      </c>
      <c r="K82" s="0" t="n">
        <v>9667</v>
      </c>
      <c r="L82" s="0" t="s">
        <v>2123</v>
      </c>
      <c r="N82" s="0" t="n">
        <v>10</v>
      </c>
      <c r="O82" s="60" t="n">
        <v>25</v>
      </c>
    </row>
    <row r="83" customFormat="false" ht="15" hidden="false" customHeight="false" outlineLevel="0" collapsed="false">
      <c r="A83" s="0" t="n">
        <v>3</v>
      </c>
      <c r="B83" s="59" t="n">
        <v>46205</v>
      </c>
      <c r="C83" s="0" t="n">
        <v>2</v>
      </c>
      <c r="D83" s="0" t="s">
        <v>2122</v>
      </c>
      <c r="E83" s="0" t="n">
        <v>42</v>
      </c>
      <c r="F83" s="0" t="s">
        <v>81</v>
      </c>
      <c r="I83" s="0" t="n">
        <v>20703</v>
      </c>
      <c r="J83" s="0" t="n">
        <v>37359</v>
      </c>
      <c r="K83" s="0" t="n">
        <v>55526</v>
      </c>
      <c r="L83" s="0" t="s">
        <v>2194</v>
      </c>
      <c r="N83" s="0" t="n">
        <v>8</v>
      </c>
      <c r="O83" s="60" t="n">
        <v>48</v>
      </c>
    </row>
    <row r="84" customFormat="false" ht="15" hidden="false" customHeight="false" outlineLevel="0" collapsed="false">
      <c r="A84" s="0" t="n">
        <v>3</v>
      </c>
      <c r="B84" s="59" t="n">
        <v>46205</v>
      </c>
      <c r="C84" s="0" t="n">
        <v>2</v>
      </c>
      <c r="D84" s="0" t="s">
        <v>2122</v>
      </c>
      <c r="E84" s="0" t="n">
        <v>42</v>
      </c>
      <c r="F84" s="0" t="s">
        <v>81</v>
      </c>
      <c r="I84" s="0" t="n">
        <v>20703</v>
      </c>
      <c r="J84" s="0" t="n">
        <v>37361</v>
      </c>
      <c r="K84" s="0" t="n">
        <v>2240817</v>
      </c>
      <c r="L84" s="0" t="s">
        <v>2124</v>
      </c>
      <c r="N84" s="0" t="n">
        <v>50</v>
      </c>
      <c r="O84" s="60" t="n">
        <v>100</v>
      </c>
    </row>
    <row r="85" customFormat="false" ht="15" hidden="false" customHeight="false" outlineLevel="0" collapsed="false">
      <c r="A85" s="0" t="n">
        <v>3</v>
      </c>
      <c r="B85" s="59" t="n">
        <v>46205</v>
      </c>
      <c r="C85" s="0" t="n">
        <v>2</v>
      </c>
      <c r="D85" s="0" t="s">
        <v>2122</v>
      </c>
      <c r="E85" s="0" t="n">
        <v>42</v>
      </c>
      <c r="F85" s="0" t="s">
        <v>81</v>
      </c>
      <c r="I85" s="0" t="n">
        <v>20704</v>
      </c>
      <c r="J85" s="0" t="n">
        <v>72679</v>
      </c>
      <c r="K85" s="0" t="n">
        <v>246</v>
      </c>
      <c r="L85" s="0" t="s">
        <v>2195</v>
      </c>
      <c r="N85" s="0" t="n">
        <v>20</v>
      </c>
      <c r="O85" s="60" t="n">
        <v>280</v>
      </c>
    </row>
    <row r="86" customFormat="false" ht="15" hidden="false" customHeight="false" outlineLevel="0" collapsed="false">
      <c r="A86" s="0" t="n">
        <v>3</v>
      </c>
      <c r="B86" s="59" t="n">
        <v>46205</v>
      </c>
      <c r="C86" s="0" t="n">
        <v>6</v>
      </c>
      <c r="D86" s="0" t="s">
        <v>2125</v>
      </c>
      <c r="E86" s="0" t="n">
        <v>42</v>
      </c>
      <c r="F86" s="0" t="s">
        <v>81</v>
      </c>
      <c r="I86" s="0" t="n">
        <v>4341</v>
      </c>
      <c r="J86" s="0" t="n">
        <v>100103</v>
      </c>
      <c r="K86" s="0" t="n">
        <v>104</v>
      </c>
      <c r="L86" s="0" t="s">
        <v>2193</v>
      </c>
      <c r="N86" s="0" t="n">
        <v>40</v>
      </c>
      <c r="O86" s="60" t="n">
        <v>240</v>
      </c>
    </row>
    <row r="87" customFormat="false" ht="15" hidden="false" customHeight="false" outlineLevel="0" collapsed="false">
      <c r="A87" s="0" t="n">
        <v>3</v>
      </c>
      <c r="B87" s="59" t="n">
        <v>46205</v>
      </c>
      <c r="C87" s="0" t="n">
        <v>6</v>
      </c>
      <c r="D87" s="0" t="s">
        <v>2125</v>
      </c>
      <c r="E87" s="0" t="n">
        <v>42</v>
      </c>
      <c r="F87" s="0" t="s">
        <v>81</v>
      </c>
      <c r="I87" s="0" t="n">
        <v>4342</v>
      </c>
      <c r="J87" s="0" t="n">
        <v>109791</v>
      </c>
      <c r="K87" s="0" t="n">
        <v>9667</v>
      </c>
      <c r="L87" s="0" t="s">
        <v>2123</v>
      </c>
      <c r="N87" s="0" t="n">
        <v>10</v>
      </c>
      <c r="O87" s="60" t="n">
        <v>25</v>
      </c>
    </row>
    <row r="88" customFormat="false" ht="15" hidden="false" customHeight="false" outlineLevel="0" collapsed="false">
      <c r="A88" s="0" t="n">
        <v>3</v>
      </c>
      <c r="B88" s="59" t="n">
        <v>46205</v>
      </c>
      <c r="C88" s="0" t="n">
        <v>6</v>
      </c>
      <c r="D88" s="0" t="s">
        <v>2125</v>
      </c>
      <c r="E88" s="0" t="n">
        <v>42</v>
      </c>
      <c r="F88" s="0" t="s">
        <v>81</v>
      </c>
      <c r="I88" s="0" t="n">
        <v>4342</v>
      </c>
      <c r="J88" s="0" t="n">
        <v>37359</v>
      </c>
      <c r="K88" s="0" t="n">
        <v>55526</v>
      </c>
      <c r="L88" s="0" t="s">
        <v>2194</v>
      </c>
      <c r="N88" s="0" t="n">
        <v>8</v>
      </c>
      <c r="O88" s="60" t="n">
        <v>48</v>
      </c>
    </row>
    <row r="89" customFormat="false" ht="15" hidden="false" customHeight="false" outlineLevel="0" collapsed="false">
      <c r="A89" s="0" t="n">
        <v>3</v>
      </c>
      <c r="B89" s="59" t="n">
        <v>46205</v>
      </c>
      <c r="C89" s="0" t="n">
        <v>6</v>
      </c>
      <c r="D89" s="0" t="s">
        <v>2125</v>
      </c>
      <c r="E89" s="0" t="n">
        <v>42</v>
      </c>
      <c r="F89" s="0" t="s">
        <v>81</v>
      </c>
      <c r="I89" s="0" t="n">
        <v>4342</v>
      </c>
      <c r="J89" s="0" t="n">
        <v>37361</v>
      </c>
      <c r="K89" s="0" t="n">
        <v>2240817</v>
      </c>
      <c r="L89" s="0" t="s">
        <v>2124</v>
      </c>
      <c r="N89" s="0" t="n">
        <v>50</v>
      </c>
      <c r="O89" s="60" t="n">
        <v>100</v>
      </c>
    </row>
    <row r="90" customFormat="false" ht="15" hidden="false" customHeight="false" outlineLevel="0" collapsed="false">
      <c r="A90" s="0" t="n">
        <v>3</v>
      </c>
      <c r="B90" s="59" t="n">
        <v>46205</v>
      </c>
      <c r="C90" s="0" t="n">
        <v>6</v>
      </c>
      <c r="D90" s="0" t="s">
        <v>2125</v>
      </c>
      <c r="E90" s="0" t="n">
        <v>42</v>
      </c>
      <c r="F90" s="0" t="s">
        <v>81</v>
      </c>
      <c r="I90" s="0" t="n">
        <v>4343</v>
      </c>
      <c r="J90" s="0" t="n">
        <v>100140</v>
      </c>
      <c r="K90" s="0" t="n">
        <v>141</v>
      </c>
      <c r="L90" s="0" t="s">
        <v>2192</v>
      </c>
      <c r="N90" s="0" t="n">
        <v>0.506</v>
      </c>
      <c r="O90" s="60" t="n">
        <v>40.48</v>
      </c>
    </row>
    <row r="91" customFormat="false" ht="15" hidden="false" customHeight="false" outlineLevel="0" collapsed="false">
      <c r="A91" s="0" t="n">
        <v>3</v>
      </c>
      <c r="B91" s="59" t="n">
        <v>46205</v>
      </c>
      <c r="C91" s="0" t="n">
        <v>6</v>
      </c>
      <c r="D91" s="0" t="s">
        <v>2125</v>
      </c>
      <c r="E91" s="0" t="n">
        <v>42</v>
      </c>
      <c r="F91" s="0" t="s">
        <v>81</v>
      </c>
      <c r="I91" s="0" t="n">
        <v>4346</v>
      </c>
      <c r="J91" s="0" t="n">
        <v>72679</v>
      </c>
      <c r="K91" s="0" t="n">
        <v>246</v>
      </c>
      <c r="L91" s="0" t="s">
        <v>2195</v>
      </c>
      <c r="N91" s="0" t="n">
        <v>20</v>
      </c>
      <c r="O91" s="60" t="n">
        <v>280</v>
      </c>
    </row>
    <row r="92" customFormat="false" ht="15" hidden="false" customHeight="false" outlineLevel="0" collapsed="false">
      <c r="A92" s="0" t="n">
        <v>3</v>
      </c>
      <c r="B92" s="59" t="n">
        <v>46205</v>
      </c>
      <c r="C92" s="0" t="n">
        <v>11</v>
      </c>
      <c r="D92" s="0" t="s">
        <v>2126</v>
      </c>
      <c r="E92" s="0" t="n">
        <v>1749</v>
      </c>
      <c r="F92" s="0" t="s">
        <v>268</v>
      </c>
      <c r="I92" s="0" t="n">
        <v>2144</v>
      </c>
      <c r="J92" s="0" t="n">
        <v>100814</v>
      </c>
      <c r="K92" s="0" t="n">
        <v>7897312400054</v>
      </c>
      <c r="L92" s="0" t="s">
        <v>2196</v>
      </c>
      <c r="N92" s="0" t="n">
        <v>80</v>
      </c>
      <c r="O92" s="60" t="n">
        <v>303.8</v>
      </c>
    </row>
    <row r="93" customFormat="false" ht="15" hidden="false" customHeight="false" outlineLevel="0" collapsed="false">
      <c r="A93" s="0" t="n">
        <v>3</v>
      </c>
      <c r="B93" s="59" t="n">
        <v>46205</v>
      </c>
      <c r="C93" s="0" t="n">
        <v>11</v>
      </c>
      <c r="D93" s="0" t="s">
        <v>2126</v>
      </c>
      <c r="E93" s="0" t="n">
        <v>1749</v>
      </c>
      <c r="F93" s="0" t="s">
        <v>268</v>
      </c>
      <c r="I93" s="0" t="n">
        <v>2144</v>
      </c>
      <c r="J93" s="0" t="n">
        <v>102300</v>
      </c>
      <c r="K93" s="0" t="n">
        <v>7898062920014</v>
      </c>
      <c r="L93" s="0" t="s">
        <v>2197</v>
      </c>
      <c r="N93" s="0" t="n">
        <v>150</v>
      </c>
      <c r="O93" s="60" t="n">
        <v>649.5</v>
      </c>
    </row>
    <row r="94" customFormat="false" ht="15" hidden="false" customHeight="false" outlineLevel="0" collapsed="false">
      <c r="A94" s="0" t="n">
        <v>3</v>
      </c>
      <c r="B94" s="59" t="n">
        <v>46205</v>
      </c>
      <c r="C94" s="0" t="n">
        <v>11</v>
      </c>
      <c r="D94" s="0" t="s">
        <v>2126</v>
      </c>
      <c r="E94" s="0" t="n">
        <v>1749</v>
      </c>
      <c r="F94" s="0" t="s">
        <v>268</v>
      </c>
      <c r="I94" s="0" t="n">
        <v>2144</v>
      </c>
      <c r="J94" s="0" t="n">
        <v>13677</v>
      </c>
      <c r="K94" s="0" t="n">
        <v>7896393601039</v>
      </c>
      <c r="L94" s="0" t="s">
        <v>2198</v>
      </c>
      <c r="N94" s="0" t="n">
        <v>120</v>
      </c>
      <c r="O94" s="60" t="n">
        <v>463.6</v>
      </c>
    </row>
    <row r="95" customFormat="false" ht="15" hidden="false" customHeight="false" outlineLevel="0" collapsed="false">
      <c r="A95" s="0" t="n">
        <v>3</v>
      </c>
      <c r="B95" s="59" t="n">
        <v>46205</v>
      </c>
      <c r="C95" s="0" t="n">
        <v>11</v>
      </c>
      <c r="D95" s="0" t="s">
        <v>2126</v>
      </c>
      <c r="E95" s="0" t="n">
        <v>1749</v>
      </c>
      <c r="F95" s="0" t="s">
        <v>268</v>
      </c>
      <c r="I95" s="0" t="n">
        <v>2144</v>
      </c>
      <c r="J95" s="0" t="n">
        <v>25964</v>
      </c>
      <c r="K95" s="0" t="n">
        <v>7896763621858</v>
      </c>
      <c r="L95" s="0" t="s">
        <v>2199</v>
      </c>
      <c r="N95" s="0" t="n">
        <v>100</v>
      </c>
      <c r="O95" s="60" t="n">
        <v>187.5</v>
      </c>
    </row>
    <row r="96" customFormat="false" ht="15" hidden="false" customHeight="false" outlineLevel="0" collapsed="false">
      <c r="A96" s="0" t="n">
        <v>3</v>
      </c>
      <c r="B96" s="59" t="n">
        <v>46205</v>
      </c>
      <c r="C96" s="0" t="n">
        <v>11</v>
      </c>
      <c r="D96" s="0" t="s">
        <v>2126</v>
      </c>
      <c r="E96" s="0" t="n">
        <v>1749</v>
      </c>
      <c r="F96" s="0" t="s">
        <v>268</v>
      </c>
      <c r="I96" s="0" t="n">
        <v>2144</v>
      </c>
      <c r="J96" s="0" t="n">
        <v>29846</v>
      </c>
      <c r="K96" s="0" t="n">
        <v>7891097102059</v>
      </c>
      <c r="L96" s="0" t="s">
        <v>2200</v>
      </c>
      <c r="N96" s="0" t="n">
        <v>100</v>
      </c>
      <c r="O96" s="60" t="n">
        <v>1108</v>
      </c>
    </row>
    <row r="97" customFormat="false" ht="15" hidden="false" customHeight="false" outlineLevel="0" collapsed="false">
      <c r="A97" s="0" t="n">
        <v>3</v>
      </c>
      <c r="B97" s="59" t="n">
        <v>46205</v>
      </c>
      <c r="C97" s="0" t="n">
        <v>11</v>
      </c>
      <c r="D97" s="0" t="s">
        <v>2126</v>
      </c>
      <c r="E97" s="0" t="n">
        <v>1749</v>
      </c>
      <c r="F97" s="0" t="s">
        <v>268</v>
      </c>
      <c r="I97" s="0" t="n">
        <v>2144</v>
      </c>
      <c r="J97" s="0" t="n">
        <v>30035</v>
      </c>
      <c r="K97" s="0" t="n">
        <v>7891097101489</v>
      </c>
      <c r="L97" s="0" t="s">
        <v>2201</v>
      </c>
      <c r="N97" s="0" t="n">
        <v>240</v>
      </c>
      <c r="O97" s="60" t="n">
        <v>855</v>
      </c>
    </row>
    <row r="98" customFormat="false" ht="15" hidden="false" customHeight="false" outlineLevel="0" collapsed="false">
      <c r="A98" s="0" t="n">
        <v>3</v>
      </c>
      <c r="B98" s="59" t="n">
        <v>46205</v>
      </c>
      <c r="C98" s="0" t="n">
        <v>11</v>
      </c>
      <c r="D98" s="0" t="s">
        <v>2126</v>
      </c>
      <c r="E98" s="0" t="n">
        <v>1749</v>
      </c>
      <c r="F98" s="0" t="s">
        <v>268</v>
      </c>
      <c r="I98" s="0" t="n">
        <v>2144</v>
      </c>
      <c r="J98" s="0" t="n">
        <v>52561</v>
      </c>
      <c r="K98" s="0" t="n">
        <v>7897312404120</v>
      </c>
      <c r="L98" s="0" t="s">
        <v>2202</v>
      </c>
      <c r="N98" s="0" t="n">
        <v>40</v>
      </c>
      <c r="O98" s="60" t="n">
        <v>303.8</v>
      </c>
    </row>
    <row r="99" customFormat="false" ht="15" hidden="false" customHeight="false" outlineLevel="0" collapsed="false">
      <c r="A99" s="0" t="n">
        <v>3</v>
      </c>
      <c r="B99" s="59" t="n">
        <v>46205</v>
      </c>
      <c r="C99" s="0" t="n">
        <v>11</v>
      </c>
      <c r="D99" s="0" t="s">
        <v>2126</v>
      </c>
      <c r="E99" s="0" t="n">
        <v>1749</v>
      </c>
      <c r="F99" s="0" t="s">
        <v>268</v>
      </c>
      <c r="I99" s="0" t="n">
        <v>2144</v>
      </c>
      <c r="J99" s="0" t="n">
        <v>71834</v>
      </c>
      <c r="K99" s="0" t="n">
        <v>7898361830069</v>
      </c>
      <c r="L99" s="0" t="s">
        <v>2203</v>
      </c>
      <c r="N99" s="0" t="n">
        <v>30</v>
      </c>
      <c r="O99" s="60" t="n">
        <v>85.9</v>
      </c>
    </row>
    <row r="100" customFormat="false" ht="15" hidden="false" customHeight="false" outlineLevel="0" collapsed="false">
      <c r="A100" s="0" t="n">
        <v>3</v>
      </c>
      <c r="B100" s="59" t="n">
        <v>46205</v>
      </c>
      <c r="C100" s="0" t="n">
        <v>11</v>
      </c>
      <c r="D100" s="0" t="s">
        <v>2126</v>
      </c>
      <c r="E100" s="0" t="n">
        <v>1749</v>
      </c>
      <c r="F100" s="0" t="s">
        <v>268</v>
      </c>
      <c r="I100" s="0" t="n">
        <v>2144</v>
      </c>
      <c r="J100" s="0" t="n">
        <v>72943</v>
      </c>
      <c r="K100" s="0" t="n">
        <v>7898361830076</v>
      </c>
      <c r="L100" s="0" t="s">
        <v>2204</v>
      </c>
      <c r="N100" s="0" t="n">
        <v>180</v>
      </c>
      <c r="O100" s="60" t="n">
        <v>333</v>
      </c>
    </row>
    <row r="101" customFormat="false" ht="15" hidden="false" customHeight="false" outlineLevel="0" collapsed="false">
      <c r="A101" s="0" t="n">
        <v>3</v>
      </c>
      <c r="B101" s="59" t="n">
        <v>46205</v>
      </c>
      <c r="C101" s="0" t="n">
        <v>11</v>
      </c>
      <c r="D101" s="0" t="s">
        <v>2126</v>
      </c>
      <c r="E101" s="0" t="n">
        <v>1749</v>
      </c>
      <c r="F101" s="0" t="s">
        <v>268</v>
      </c>
      <c r="I101" s="0" t="n">
        <v>2144</v>
      </c>
      <c r="J101" s="0" t="n">
        <v>80521</v>
      </c>
      <c r="K101" s="0" t="n">
        <v>7898962669709</v>
      </c>
      <c r="L101" s="0" t="s">
        <v>2205</v>
      </c>
      <c r="N101" s="0" t="n">
        <v>40</v>
      </c>
      <c r="O101" s="60" t="n">
        <v>131</v>
      </c>
    </row>
    <row r="102" customFormat="false" ht="15" hidden="false" customHeight="false" outlineLevel="0" collapsed="false">
      <c r="A102" s="0" t="n">
        <v>3</v>
      </c>
      <c r="B102" s="59" t="n">
        <v>46205</v>
      </c>
      <c r="C102" s="0" t="n">
        <v>11</v>
      </c>
      <c r="D102" s="0" t="s">
        <v>2126</v>
      </c>
      <c r="E102" s="0" t="n">
        <v>1749</v>
      </c>
      <c r="F102" s="0" t="s">
        <v>268</v>
      </c>
      <c r="I102" s="0" t="n">
        <v>2144</v>
      </c>
      <c r="J102" s="0" t="n">
        <v>81365</v>
      </c>
      <c r="K102" s="0" t="n">
        <v>7898361830106</v>
      </c>
      <c r="L102" s="0" t="s">
        <v>2206</v>
      </c>
      <c r="N102" s="0" t="n">
        <v>100</v>
      </c>
      <c r="O102" s="60" t="n">
        <v>376</v>
      </c>
    </row>
    <row r="103" customFormat="false" ht="15" hidden="false" customHeight="false" outlineLevel="0" collapsed="false">
      <c r="A103" s="0" t="n">
        <v>3</v>
      </c>
      <c r="B103" s="59" t="n">
        <v>46205</v>
      </c>
      <c r="C103" s="0" t="n">
        <v>11</v>
      </c>
      <c r="D103" s="0" t="s">
        <v>2126</v>
      </c>
      <c r="E103" s="0" t="n">
        <v>1432</v>
      </c>
      <c r="F103" s="0" t="s">
        <v>956</v>
      </c>
      <c r="I103" s="0" t="n">
        <v>3211</v>
      </c>
      <c r="J103" s="0" t="n">
        <v>26881</v>
      </c>
      <c r="K103" s="0" t="n">
        <v>7898951047044</v>
      </c>
      <c r="L103" s="0" t="s">
        <v>2207</v>
      </c>
      <c r="N103" s="0" t="n">
        <v>2</v>
      </c>
      <c r="O103" s="60" t="n">
        <v>25.1</v>
      </c>
    </row>
    <row r="104" customFormat="false" ht="15" hidden="false" customHeight="false" outlineLevel="0" collapsed="false">
      <c r="A104" s="0" t="n">
        <v>3</v>
      </c>
      <c r="B104" s="59" t="n">
        <v>46205</v>
      </c>
      <c r="C104" s="0" t="n">
        <v>11</v>
      </c>
      <c r="D104" s="0" t="s">
        <v>2126</v>
      </c>
      <c r="E104" s="0" t="n">
        <v>1432</v>
      </c>
      <c r="F104" s="0" t="s">
        <v>956</v>
      </c>
      <c r="I104" s="0" t="n">
        <v>3211</v>
      </c>
      <c r="J104" s="0" t="n">
        <v>26882</v>
      </c>
      <c r="K104" s="0" t="n">
        <v>7898951047143</v>
      </c>
      <c r="L104" s="0" t="s">
        <v>2207</v>
      </c>
      <c r="N104" s="0" t="n">
        <v>3</v>
      </c>
      <c r="O104" s="60" t="n">
        <v>37.65</v>
      </c>
    </row>
    <row r="105" customFormat="false" ht="15" hidden="false" customHeight="false" outlineLevel="0" collapsed="false">
      <c r="A105" s="0" t="n">
        <v>3</v>
      </c>
      <c r="B105" s="59" t="n">
        <v>46205</v>
      </c>
      <c r="C105" s="0" t="n">
        <v>11</v>
      </c>
      <c r="D105" s="0" t="s">
        <v>2126</v>
      </c>
      <c r="E105" s="0" t="n">
        <v>1432</v>
      </c>
      <c r="F105" s="0" t="s">
        <v>956</v>
      </c>
      <c r="I105" s="0" t="n">
        <v>3211</v>
      </c>
      <c r="J105" s="0" t="n">
        <v>26883</v>
      </c>
      <c r="K105" s="0" t="n">
        <v>7898951047136</v>
      </c>
      <c r="L105" s="0" t="s">
        <v>2208</v>
      </c>
      <c r="N105" s="0" t="n">
        <v>5</v>
      </c>
      <c r="O105" s="60" t="n">
        <v>15.6</v>
      </c>
    </row>
    <row r="106" customFormat="false" ht="15" hidden="false" customHeight="false" outlineLevel="0" collapsed="false">
      <c r="A106" s="0" t="n">
        <v>3</v>
      </c>
      <c r="B106" s="59" t="n">
        <v>46205</v>
      </c>
      <c r="C106" s="0" t="n">
        <v>11</v>
      </c>
      <c r="D106" s="0" t="s">
        <v>2126</v>
      </c>
      <c r="E106" s="0" t="n">
        <v>1432</v>
      </c>
      <c r="F106" s="0" t="s">
        <v>956</v>
      </c>
      <c r="I106" s="0" t="n">
        <v>3211</v>
      </c>
      <c r="J106" s="0" t="n">
        <v>26884</v>
      </c>
      <c r="K106" s="0" t="n">
        <v>7898951047150</v>
      </c>
      <c r="L106" s="0" t="s">
        <v>2207</v>
      </c>
      <c r="N106" s="0" t="n">
        <v>5</v>
      </c>
      <c r="O106" s="60" t="n">
        <v>15.6</v>
      </c>
    </row>
    <row r="107" customFormat="false" ht="15" hidden="false" customHeight="false" outlineLevel="0" collapsed="false">
      <c r="A107" s="0" t="n">
        <v>3</v>
      </c>
      <c r="B107" s="59" t="n">
        <v>46205</v>
      </c>
      <c r="C107" s="0" t="n">
        <v>11</v>
      </c>
      <c r="D107" s="0" t="s">
        <v>2126</v>
      </c>
      <c r="E107" s="0" t="n">
        <v>1432</v>
      </c>
      <c r="F107" s="0" t="s">
        <v>956</v>
      </c>
      <c r="I107" s="0" t="n">
        <v>3211</v>
      </c>
      <c r="J107" s="0" t="n">
        <v>36063</v>
      </c>
      <c r="K107" s="0" t="n">
        <v>7898951047082</v>
      </c>
      <c r="L107" s="0" t="s">
        <v>2209</v>
      </c>
      <c r="N107" s="0" t="n">
        <v>2</v>
      </c>
      <c r="O107" s="60" t="n">
        <v>25.1</v>
      </c>
    </row>
    <row r="108" customFormat="false" ht="15" hidden="false" customHeight="false" outlineLevel="0" collapsed="false">
      <c r="A108" s="0" t="n">
        <v>3</v>
      </c>
      <c r="B108" s="59" t="n">
        <v>46205</v>
      </c>
      <c r="C108" s="0" t="n">
        <v>11</v>
      </c>
      <c r="D108" s="0" t="s">
        <v>2126</v>
      </c>
      <c r="E108" s="0" t="n">
        <v>1432</v>
      </c>
      <c r="F108" s="0" t="s">
        <v>956</v>
      </c>
      <c r="I108" s="0" t="n">
        <v>3211</v>
      </c>
      <c r="J108" s="0" t="n">
        <v>36064</v>
      </c>
      <c r="K108" s="0" t="n">
        <v>7898951047020</v>
      </c>
      <c r="L108" s="0" t="s">
        <v>2210</v>
      </c>
      <c r="N108" s="0" t="n">
        <v>4</v>
      </c>
      <c r="O108" s="60" t="n">
        <v>49.32</v>
      </c>
    </row>
    <row r="109" customFormat="false" ht="15" hidden="false" customHeight="false" outlineLevel="0" collapsed="false">
      <c r="A109" s="0" t="n">
        <v>3</v>
      </c>
      <c r="B109" s="59" t="n">
        <v>46205</v>
      </c>
      <c r="C109" s="0" t="n">
        <v>11</v>
      </c>
      <c r="D109" s="0" t="s">
        <v>2126</v>
      </c>
      <c r="E109" s="0" t="n">
        <v>1432</v>
      </c>
      <c r="F109" s="0" t="s">
        <v>956</v>
      </c>
      <c r="I109" s="0" t="n">
        <v>3211</v>
      </c>
      <c r="J109" s="0" t="n">
        <v>36067</v>
      </c>
      <c r="K109" s="0" t="n">
        <v>7898951047068</v>
      </c>
      <c r="L109" s="0" t="s">
        <v>2211</v>
      </c>
      <c r="N109" s="0" t="n">
        <v>10</v>
      </c>
      <c r="O109" s="60" t="n">
        <v>31.2</v>
      </c>
    </row>
    <row r="110" customFormat="false" ht="15" hidden="false" customHeight="false" outlineLevel="0" collapsed="false">
      <c r="A110" s="0" t="n">
        <v>3</v>
      </c>
      <c r="B110" s="59" t="n">
        <v>46205</v>
      </c>
      <c r="C110" s="0" t="n">
        <v>11</v>
      </c>
      <c r="D110" s="0" t="s">
        <v>2126</v>
      </c>
      <c r="E110" s="0" t="n">
        <v>1432</v>
      </c>
      <c r="F110" s="0" t="s">
        <v>956</v>
      </c>
      <c r="I110" s="0" t="n">
        <v>3211</v>
      </c>
      <c r="J110" s="0" t="n">
        <v>74990</v>
      </c>
      <c r="K110" s="0" t="n">
        <v>7898951047105</v>
      </c>
      <c r="L110" s="0" t="s">
        <v>2212</v>
      </c>
      <c r="N110" s="0" t="n">
        <v>4</v>
      </c>
      <c r="O110" s="60" t="n">
        <v>50.2</v>
      </c>
    </row>
    <row r="111" customFormat="false" ht="15" hidden="false" customHeight="false" outlineLevel="0" collapsed="false">
      <c r="A111" s="0" t="n">
        <v>3</v>
      </c>
      <c r="B111" s="59" t="n">
        <v>46205</v>
      </c>
      <c r="C111" s="0" t="n">
        <v>11</v>
      </c>
      <c r="D111" s="0" t="s">
        <v>2126</v>
      </c>
      <c r="E111" s="0" t="n">
        <v>1723</v>
      </c>
      <c r="F111" s="0" t="s">
        <v>77</v>
      </c>
      <c r="I111" s="0" t="n">
        <v>172512</v>
      </c>
      <c r="J111" s="0" t="n">
        <v>29079</v>
      </c>
      <c r="K111" s="0" t="n">
        <v>55515</v>
      </c>
      <c r="L111" s="0" t="s">
        <v>2213</v>
      </c>
      <c r="N111" s="0" t="n">
        <v>61.6</v>
      </c>
      <c r="O111" s="60" t="n">
        <v>1971.2</v>
      </c>
    </row>
    <row r="112" customFormat="false" ht="15" hidden="false" customHeight="false" outlineLevel="0" collapsed="false">
      <c r="A112" s="0" t="n">
        <v>3</v>
      </c>
      <c r="B112" s="59" t="n">
        <v>46205</v>
      </c>
      <c r="C112" s="0" t="n">
        <v>11</v>
      </c>
      <c r="D112" s="0" t="s">
        <v>2126</v>
      </c>
      <c r="E112" s="0" t="n">
        <v>1666</v>
      </c>
      <c r="F112" s="0" t="s">
        <v>214</v>
      </c>
      <c r="I112" s="0" t="n">
        <v>565626</v>
      </c>
      <c r="J112" s="0" t="n">
        <v>24990</v>
      </c>
      <c r="K112" s="0" t="n">
        <v>78935761</v>
      </c>
      <c r="L112" s="0" t="s">
        <v>2214</v>
      </c>
      <c r="N112" s="0" t="n">
        <v>50</v>
      </c>
      <c r="O112" s="60" t="n">
        <v>741.14</v>
      </c>
    </row>
    <row r="113" customFormat="false" ht="15" hidden="false" customHeight="false" outlineLevel="0" collapsed="false">
      <c r="A113" s="0" t="n">
        <v>3</v>
      </c>
      <c r="B113" s="59" t="n">
        <v>46205</v>
      </c>
      <c r="C113" s="0" t="n">
        <v>11</v>
      </c>
      <c r="D113" s="0" t="s">
        <v>2126</v>
      </c>
      <c r="E113" s="0" t="n">
        <v>1666</v>
      </c>
      <c r="F113" s="0" t="s">
        <v>214</v>
      </c>
      <c r="I113" s="0" t="n">
        <v>565626</v>
      </c>
      <c r="J113" s="0" t="n">
        <v>37535</v>
      </c>
      <c r="K113" s="0" t="n">
        <v>78942073</v>
      </c>
      <c r="L113" s="0" t="s">
        <v>2215</v>
      </c>
      <c r="N113" s="0" t="n">
        <v>30</v>
      </c>
      <c r="O113" s="60" t="n">
        <v>388.21</v>
      </c>
    </row>
    <row r="114" customFormat="false" ht="15" hidden="false" customHeight="false" outlineLevel="0" collapsed="false">
      <c r="A114" s="0" t="n">
        <v>3</v>
      </c>
      <c r="B114" s="59" t="n">
        <v>46205</v>
      </c>
      <c r="C114" s="0" t="n">
        <v>11</v>
      </c>
      <c r="D114" s="0" t="s">
        <v>2126</v>
      </c>
      <c r="E114" s="0" t="n">
        <v>1666</v>
      </c>
      <c r="F114" s="0" t="s">
        <v>214</v>
      </c>
      <c r="I114" s="0" t="n">
        <v>565626</v>
      </c>
      <c r="J114" s="0" t="n">
        <v>37536</v>
      </c>
      <c r="K114" s="0" t="n">
        <v>78942066</v>
      </c>
      <c r="L114" s="0" t="s">
        <v>2216</v>
      </c>
      <c r="N114" s="0" t="n">
        <v>80</v>
      </c>
      <c r="O114" s="60" t="n">
        <v>1072.88</v>
      </c>
    </row>
    <row r="115" customFormat="false" ht="15" hidden="false" customHeight="false" outlineLevel="0" collapsed="false">
      <c r="A115" s="0" t="n">
        <v>3</v>
      </c>
      <c r="B115" s="59" t="n">
        <v>46205</v>
      </c>
      <c r="C115" s="0" t="n">
        <v>11</v>
      </c>
      <c r="D115" s="0" t="s">
        <v>2126</v>
      </c>
      <c r="E115" s="0" t="n">
        <v>1666</v>
      </c>
      <c r="F115" s="0" t="s">
        <v>214</v>
      </c>
      <c r="I115" s="0" t="n">
        <v>565626</v>
      </c>
      <c r="J115" s="0" t="n">
        <v>53207</v>
      </c>
      <c r="K115" s="0" t="n">
        <v>78944480</v>
      </c>
      <c r="L115" s="0" t="s">
        <v>2217</v>
      </c>
      <c r="N115" s="0" t="n">
        <v>20</v>
      </c>
      <c r="O115" s="60" t="n">
        <v>188.22</v>
      </c>
    </row>
    <row r="116" customFormat="false" ht="15" hidden="false" customHeight="false" outlineLevel="0" collapsed="false">
      <c r="A116" s="0" t="n">
        <v>3</v>
      </c>
      <c r="B116" s="59" t="n">
        <v>46205</v>
      </c>
      <c r="C116" s="0" t="n">
        <v>11</v>
      </c>
      <c r="D116" s="0" t="s">
        <v>2126</v>
      </c>
      <c r="E116" s="0" t="n">
        <v>1666</v>
      </c>
      <c r="F116" s="0" t="s">
        <v>214</v>
      </c>
      <c r="I116" s="0" t="n">
        <v>565626</v>
      </c>
      <c r="J116" s="0" t="n">
        <v>67177</v>
      </c>
      <c r="K116" s="0" t="n">
        <v>78944466</v>
      </c>
      <c r="L116" s="0" t="s">
        <v>2218</v>
      </c>
      <c r="N116" s="0" t="n">
        <v>80</v>
      </c>
      <c r="O116" s="60" t="n">
        <v>809.37</v>
      </c>
    </row>
    <row r="117" customFormat="false" ht="15" hidden="false" customHeight="false" outlineLevel="0" collapsed="false">
      <c r="A117" s="0" t="n">
        <v>3</v>
      </c>
      <c r="B117" s="59" t="n">
        <v>46205</v>
      </c>
      <c r="C117" s="0" t="n">
        <v>11</v>
      </c>
      <c r="D117" s="0" t="s">
        <v>2126</v>
      </c>
      <c r="E117" s="0" t="n">
        <v>1666</v>
      </c>
      <c r="F117" s="0" t="s">
        <v>214</v>
      </c>
      <c r="I117" s="0" t="n">
        <v>565626</v>
      </c>
      <c r="J117" s="0" t="n">
        <v>70548</v>
      </c>
      <c r="K117" s="0" t="n">
        <v>78919501</v>
      </c>
      <c r="L117" s="0" t="s">
        <v>2219</v>
      </c>
      <c r="N117" s="0" t="n">
        <v>80</v>
      </c>
      <c r="O117" s="60" t="n">
        <v>583.5</v>
      </c>
    </row>
    <row r="118" customFormat="false" ht="15" hidden="false" customHeight="false" outlineLevel="0" collapsed="false">
      <c r="A118" s="0" t="n">
        <v>3</v>
      </c>
      <c r="B118" s="59" t="n">
        <v>46205</v>
      </c>
      <c r="C118" s="0" t="n">
        <v>11</v>
      </c>
      <c r="D118" s="0" t="s">
        <v>2126</v>
      </c>
      <c r="E118" s="0" t="n">
        <v>1624</v>
      </c>
      <c r="F118" s="0" t="s">
        <v>210</v>
      </c>
      <c r="I118" s="0" t="n">
        <v>661520</v>
      </c>
      <c r="J118" s="0" t="n">
        <v>21132</v>
      </c>
      <c r="K118" s="0" t="n">
        <v>7896273800033</v>
      </c>
      <c r="L118" s="0" t="s">
        <v>2220</v>
      </c>
      <c r="N118" s="0" t="n">
        <v>18</v>
      </c>
      <c r="O118" s="60" t="n">
        <v>190.8</v>
      </c>
    </row>
    <row r="119" customFormat="false" ht="15" hidden="false" customHeight="false" outlineLevel="0" collapsed="false">
      <c r="A119" s="0" t="n">
        <v>3</v>
      </c>
      <c r="B119" s="59" t="n">
        <v>46205</v>
      </c>
      <c r="C119" s="0" t="n">
        <v>11</v>
      </c>
      <c r="D119" s="0" t="s">
        <v>2126</v>
      </c>
      <c r="E119" s="0" t="n">
        <v>1624</v>
      </c>
      <c r="F119" s="0" t="s">
        <v>210</v>
      </c>
      <c r="I119" s="0" t="n">
        <v>661520</v>
      </c>
      <c r="J119" s="0" t="n">
        <v>21133</v>
      </c>
      <c r="K119" s="0" t="n">
        <v>7896273805182</v>
      </c>
      <c r="L119" s="0" t="s">
        <v>2221</v>
      </c>
      <c r="N119" s="0" t="n">
        <v>18</v>
      </c>
      <c r="O119" s="60" t="n">
        <v>268.2</v>
      </c>
    </row>
    <row r="120" customFormat="false" ht="15" hidden="false" customHeight="false" outlineLevel="0" collapsed="false">
      <c r="A120" s="0" t="n">
        <v>3</v>
      </c>
      <c r="B120" s="59" t="n">
        <v>46205</v>
      </c>
      <c r="C120" s="0" t="n">
        <v>11</v>
      </c>
      <c r="D120" s="0" t="s">
        <v>2126</v>
      </c>
      <c r="E120" s="0" t="n">
        <v>1624</v>
      </c>
      <c r="F120" s="0" t="s">
        <v>210</v>
      </c>
      <c r="I120" s="0" t="n">
        <v>661520</v>
      </c>
      <c r="J120" s="0" t="n">
        <v>29072</v>
      </c>
      <c r="K120" s="0" t="n">
        <v>7896273805786</v>
      </c>
      <c r="L120" s="0" t="s">
        <v>2222</v>
      </c>
      <c r="N120" s="0" t="n">
        <v>6</v>
      </c>
      <c r="O120" s="60" t="n">
        <v>85.2</v>
      </c>
    </row>
    <row r="121" customFormat="false" ht="15" hidden="false" customHeight="false" outlineLevel="0" collapsed="false">
      <c r="A121" s="0" t="n">
        <v>3</v>
      </c>
      <c r="B121" s="59" t="n">
        <v>46205</v>
      </c>
      <c r="C121" s="0" t="n">
        <v>11</v>
      </c>
      <c r="D121" s="0" t="s">
        <v>2126</v>
      </c>
      <c r="E121" s="0" t="n">
        <v>1624</v>
      </c>
      <c r="F121" s="0" t="s">
        <v>210</v>
      </c>
      <c r="I121" s="0" t="n">
        <v>661520</v>
      </c>
      <c r="J121" s="0" t="n">
        <v>47077</v>
      </c>
      <c r="K121" s="0" t="n">
        <v>7898274860030</v>
      </c>
      <c r="L121" s="0" t="s">
        <v>2223</v>
      </c>
      <c r="N121" s="0" t="n">
        <v>24</v>
      </c>
      <c r="O121" s="60" t="n">
        <v>254.4</v>
      </c>
    </row>
    <row r="122" customFormat="false" ht="15" hidden="false" customHeight="false" outlineLevel="0" collapsed="false">
      <c r="A122" s="0" t="n">
        <v>3</v>
      </c>
      <c r="B122" s="59" t="n">
        <v>46205</v>
      </c>
      <c r="C122" s="0" t="n">
        <v>11</v>
      </c>
      <c r="D122" s="0" t="s">
        <v>2126</v>
      </c>
      <c r="E122" s="0" t="n">
        <v>1624</v>
      </c>
      <c r="F122" s="0" t="s">
        <v>210</v>
      </c>
      <c r="I122" s="0" t="n">
        <v>661520</v>
      </c>
      <c r="J122" s="0" t="n">
        <v>47078</v>
      </c>
      <c r="K122" s="0" t="n">
        <v>7898274860023</v>
      </c>
      <c r="L122" s="0" t="s">
        <v>2224</v>
      </c>
      <c r="N122" s="0" t="n">
        <v>24</v>
      </c>
      <c r="O122" s="60" t="n">
        <v>206.4</v>
      </c>
    </row>
    <row r="123" customFormat="false" ht="15" hidden="false" customHeight="false" outlineLevel="0" collapsed="false">
      <c r="A123" s="0" t="n">
        <v>3</v>
      </c>
      <c r="B123" s="59" t="n">
        <v>46205</v>
      </c>
      <c r="C123" s="0" t="n">
        <v>11</v>
      </c>
      <c r="D123" s="0" t="s">
        <v>2126</v>
      </c>
      <c r="E123" s="0" t="n">
        <v>1624</v>
      </c>
      <c r="F123" s="0" t="s">
        <v>210</v>
      </c>
      <c r="I123" s="0" t="n">
        <v>661520</v>
      </c>
      <c r="J123" s="0" t="n">
        <v>53374</v>
      </c>
      <c r="K123" s="0" t="n">
        <v>7896273809197</v>
      </c>
      <c r="L123" s="0" t="s">
        <v>2225</v>
      </c>
      <c r="N123" s="0" t="n">
        <v>30</v>
      </c>
      <c r="O123" s="60" t="n">
        <v>270</v>
      </c>
    </row>
    <row r="124" customFormat="false" ht="15" hidden="false" customHeight="false" outlineLevel="0" collapsed="false">
      <c r="A124" s="0" t="n">
        <v>3</v>
      </c>
      <c r="B124" s="59" t="n">
        <v>46205</v>
      </c>
      <c r="C124" s="0" t="n">
        <v>11</v>
      </c>
      <c r="D124" s="0" t="s">
        <v>2126</v>
      </c>
      <c r="E124" s="0" t="n">
        <v>1624</v>
      </c>
      <c r="F124" s="0" t="s">
        <v>210</v>
      </c>
      <c r="I124" s="0" t="n">
        <v>661520</v>
      </c>
      <c r="J124" s="0" t="n">
        <v>61339</v>
      </c>
      <c r="K124" s="0" t="n">
        <v>7898568979479</v>
      </c>
      <c r="L124" s="0" t="s">
        <v>2226</v>
      </c>
      <c r="N124" s="0" t="n">
        <v>6</v>
      </c>
      <c r="O124" s="60" t="n">
        <v>93.6</v>
      </c>
    </row>
    <row r="125" customFormat="false" ht="15" hidden="false" customHeight="false" outlineLevel="0" collapsed="false">
      <c r="A125" s="0" t="n">
        <v>3</v>
      </c>
      <c r="B125" s="59" t="n">
        <v>46205</v>
      </c>
      <c r="C125" s="0" t="n">
        <v>11</v>
      </c>
      <c r="D125" s="0" t="s">
        <v>2126</v>
      </c>
      <c r="E125" s="0" t="n">
        <v>1624</v>
      </c>
      <c r="F125" s="0" t="s">
        <v>210</v>
      </c>
      <c r="I125" s="0" t="n">
        <v>661520</v>
      </c>
      <c r="J125" s="0" t="n">
        <v>63053</v>
      </c>
      <c r="K125" s="0" t="n">
        <v>7898996004194</v>
      </c>
      <c r="L125" s="0" t="s">
        <v>2227</v>
      </c>
      <c r="N125" s="0" t="n">
        <v>10</v>
      </c>
      <c r="O125" s="60" t="n">
        <v>600</v>
      </c>
    </row>
    <row r="126" customFormat="false" ht="15" hidden="false" customHeight="false" outlineLevel="0" collapsed="false">
      <c r="A126" s="0" t="n">
        <v>3</v>
      </c>
      <c r="B126" s="59" t="n">
        <v>46205</v>
      </c>
      <c r="C126" s="0" t="n">
        <v>22</v>
      </c>
      <c r="D126" s="0" t="s">
        <v>2172</v>
      </c>
      <c r="E126" s="0" t="n">
        <v>42</v>
      </c>
      <c r="F126" s="0" t="s">
        <v>81</v>
      </c>
      <c r="I126" s="0" t="n">
        <v>4345</v>
      </c>
      <c r="J126" s="0" t="n">
        <v>100006</v>
      </c>
      <c r="K126" s="0" t="n">
        <v>7</v>
      </c>
      <c r="L126" s="0" t="s">
        <v>2228</v>
      </c>
      <c r="N126" s="0" t="n">
        <v>6.08</v>
      </c>
      <c r="O126" s="60" t="n">
        <v>201.21</v>
      </c>
    </row>
    <row r="127" customFormat="false" ht="15" hidden="false" customHeight="false" outlineLevel="0" collapsed="false">
      <c r="A127" s="0" t="n">
        <v>3</v>
      </c>
      <c r="B127" s="59" t="n">
        <v>46205</v>
      </c>
      <c r="C127" s="0" t="n">
        <v>22</v>
      </c>
      <c r="D127" s="0" t="s">
        <v>2172</v>
      </c>
      <c r="E127" s="0" t="n">
        <v>42</v>
      </c>
      <c r="F127" s="0" t="s">
        <v>81</v>
      </c>
      <c r="I127" s="0" t="n">
        <v>4345</v>
      </c>
      <c r="J127" s="0" t="n">
        <v>100008</v>
      </c>
      <c r="K127" s="0" t="n">
        <v>9</v>
      </c>
      <c r="L127" s="0" t="s">
        <v>2229</v>
      </c>
      <c r="N127" s="0" t="n">
        <v>11.53</v>
      </c>
      <c r="O127" s="60" t="n">
        <v>391.12</v>
      </c>
    </row>
    <row r="128" customFormat="false" ht="15" hidden="false" customHeight="false" outlineLevel="0" collapsed="false">
      <c r="A128" s="0" t="n">
        <v>3</v>
      </c>
      <c r="B128" s="59" t="n">
        <v>46205</v>
      </c>
      <c r="C128" s="0" t="n">
        <v>22</v>
      </c>
      <c r="D128" s="0" t="s">
        <v>2172</v>
      </c>
      <c r="E128" s="0" t="n">
        <v>42</v>
      </c>
      <c r="F128" s="0" t="s">
        <v>81</v>
      </c>
      <c r="I128" s="0" t="n">
        <v>4345</v>
      </c>
      <c r="J128" s="0" t="n">
        <v>100010</v>
      </c>
      <c r="K128" s="0" t="n">
        <v>11</v>
      </c>
      <c r="L128" s="0" t="s">
        <v>2230</v>
      </c>
      <c r="N128" s="0" t="n">
        <v>2.624</v>
      </c>
      <c r="O128" s="60" t="n">
        <v>102.04</v>
      </c>
    </row>
    <row r="129" customFormat="false" ht="15" hidden="false" customHeight="false" outlineLevel="0" collapsed="false">
      <c r="A129" s="0" t="n">
        <v>3</v>
      </c>
      <c r="B129" s="59" t="n">
        <v>46205</v>
      </c>
      <c r="C129" s="0" t="n">
        <v>22</v>
      </c>
      <c r="D129" s="0" t="s">
        <v>2172</v>
      </c>
      <c r="E129" s="0" t="n">
        <v>42</v>
      </c>
      <c r="F129" s="0" t="s">
        <v>81</v>
      </c>
      <c r="I129" s="0" t="n">
        <v>4345</v>
      </c>
      <c r="J129" s="0" t="n">
        <v>100011</v>
      </c>
      <c r="K129" s="0" t="n">
        <v>12</v>
      </c>
      <c r="L129" s="0" t="s">
        <v>2231</v>
      </c>
      <c r="N129" s="0" t="n">
        <v>5.21</v>
      </c>
      <c r="O129" s="60" t="n">
        <v>202.6</v>
      </c>
    </row>
    <row r="130" customFormat="false" ht="15" hidden="false" customHeight="false" outlineLevel="0" collapsed="false">
      <c r="A130" s="0" t="n">
        <v>3</v>
      </c>
      <c r="B130" s="59" t="n">
        <v>46205</v>
      </c>
      <c r="C130" s="0" t="n">
        <v>22</v>
      </c>
      <c r="D130" s="0" t="s">
        <v>2172</v>
      </c>
      <c r="E130" s="0" t="n">
        <v>42</v>
      </c>
      <c r="F130" s="0" t="s">
        <v>81</v>
      </c>
      <c r="I130" s="0" t="n">
        <v>4345</v>
      </c>
      <c r="J130" s="0" t="n">
        <v>100012</v>
      </c>
      <c r="K130" s="0" t="n">
        <v>13</v>
      </c>
      <c r="L130" s="0" t="s">
        <v>2232</v>
      </c>
      <c r="N130" s="0" t="n">
        <v>4.684</v>
      </c>
      <c r="O130" s="60" t="n">
        <v>197.65</v>
      </c>
    </row>
    <row r="131" customFormat="false" ht="15" hidden="false" customHeight="false" outlineLevel="0" collapsed="false">
      <c r="A131" s="0" t="n">
        <v>3</v>
      </c>
      <c r="B131" s="59" t="n">
        <v>46205</v>
      </c>
      <c r="C131" s="0" t="n">
        <v>22</v>
      </c>
      <c r="D131" s="0" t="s">
        <v>2172</v>
      </c>
      <c r="E131" s="0" t="n">
        <v>42</v>
      </c>
      <c r="F131" s="0" t="s">
        <v>81</v>
      </c>
      <c r="I131" s="0" t="n">
        <v>4345</v>
      </c>
      <c r="J131" s="0" t="n">
        <v>100013</v>
      </c>
      <c r="K131" s="0" t="n">
        <v>14</v>
      </c>
      <c r="L131" s="0" t="s">
        <v>2233</v>
      </c>
      <c r="N131" s="0" t="n">
        <v>9.06</v>
      </c>
      <c r="O131" s="60" t="n">
        <v>412.3</v>
      </c>
    </row>
    <row r="132" customFormat="false" ht="15" hidden="false" customHeight="false" outlineLevel="0" collapsed="false">
      <c r="A132" s="0" t="n">
        <v>3</v>
      </c>
      <c r="B132" s="59" t="n">
        <v>46205</v>
      </c>
      <c r="C132" s="0" t="n">
        <v>22</v>
      </c>
      <c r="D132" s="0" t="s">
        <v>2172</v>
      </c>
      <c r="E132" s="0" t="n">
        <v>42</v>
      </c>
      <c r="F132" s="0" t="s">
        <v>81</v>
      </c>
      <c r="I132" s="0" t="n">
        <v>4345</v>
      </c>
      <c r="J132" s="0" t="n">
        <v>100014</v>
      </c>
      <c r="K132" s="0" t="n">
        <v>15</v>
      </c>
      <c r="L132" s="0" t="s">
        <v>2234</v>
      </c>
      <c r="N132" s="0" t="n">
        <v>3.682</v>
      </c>
      <c r="O132" s="60" t="n">
        <v>170.61</v>
      </c>
    </row>
    <row r="133" customFormat="false" ht="15" hidden="false" customHeight="false" outlineLevel="0" collapsed="false">
      <c r="A133" s="0" t="n">
        <v>3</v>
      </c>
      <c r="B133" s="59" t="n">
        <v>46205</v>
      </c>
      <c r="C133" s="0" t="n">
        <v>22</v>
      </c>
      <c r="D133" s="0" t="s">
        <v>2172</v>
      </c>
      <c r="E133" s="0" t="n">
        <v>42</v>
      </c>
      <c r="F133" s="0" t="s">
        <v>81</v>
      </c>
      <c r="I133" s="0" t="n">
        <v>4345</v>
      </c>
      <c r="J133" s="0" t="n">
        <v>100015</v>
      </c>
      <c r="K133" s="0" t="n">
        <v>16</v>
      </c>
      <c r="L133" s="0" t="s">
        <v>2235</v>
      </c>
      <c r="N133" s="0" t="n">
        <v>1.26</v>
      </c>
      <c r="O133" s="60" t="n">
        <v>53.17</v>
      </c>
    </row>
    <row r="134" customFormat="false" ht="15" hidden="false" customHeight="false" outlineLevel="0" collapsed="false">
      <c r="A134" s="0" t="n">
        <v>3</v>
      </c>
      <c r="B134" s="59" t="n">
        <v>46205</v>
      </c>
      <c r="C134" s="0" t="n">
        <v>22</v>
      </c>
      <c r="D134" s="0" t="s">
        <v>2172</v>
      </c>
      <c r="E134" s="0" t="n">
        <v>42</v>
      </c>
      <c r="F134" s="0" t="s">
        <v>81</v>
      </c>
      <c r="I134" s="0" t="n">
        <v>4345</v>
      </c>
      <c r="J134" s="0" t="n">
        <v>100016</v>
      </c>
      <c r="K134" s="0" t="n">
        <v>17</v>
      </c>
      <c r="L134" s="0" t="s">
        <v>2236</v>
      </c>
      <c r="N134" s="0" t="n">
        <v>1.682</v>
      </c>
      <c r="O134" s="60" t="n">
        <v>76.54</v>
      </c>
    </row>
    <row r="135" customFormat="false" ht="15" hidden="false" customHeight="false" outlineLevel="0" collapsed="false">
      <c r="A135" s="0" t="n">
        <v>3</v>
      </c>
      <c r="B135" s="59" t="n">
        <v>46205</v>
      </c>
      <c r="C135" s="0" t="n">
        <v>22</v>
      </c>
      <c r="D135" s="0" t="s">
        <v>2172</v>
      </c>
      <c r="E135" s="0" t="n">
        <v>42</v>
      </c>
      <c r="F135" s="0" t="s">
        <v>81</v>
      </c>
      <c r="I135" s="0" t="n">
        <v>4345</v>
      </c>
      <c r="J135" s="0" t="n">
        <v>100017</v>
      </c>
      <c r="K135" s="0" t="n">
        <v>18</v>
      </c>
      <c r="L135" s="0" t="s">
        <v>2237</v>
      </c>
      <c r="N135" s="0" t="n">
        <v>1.732</v>
      </c>
      <c r="O135" s="60" t="n">
        <v>93.15</v>
      </c>
    </row>
    <row r="136" customFormat="false" ht="15" hidden="false" customHeight="false" outlineLevel="0" collapsed="false">
      <c r="A136" s="0" t="n">
        <v>3</v>
      </c>
      <c r="B136" s="59" t="n">
        <v>46205</v>
      </c>
      <c r="C136" s="0" t="n">
        <v>22</v>
      </c>
      <c r="D136" s="0" t="s">
        <v>2172</v>
      </c>
      <c r="E136" s="0" t="n">
        <v>42</v>
      </c>
      <c r="F136" s="0" t="s">
        <v>81</v>
      </c>
      <c r="I136" s="0" t="n">
        <v>4345</v>
      </c>
      <c r="J136" s="0" t="n">
        <v>100053</v>
      </c>
      <c r="K136" s="0" t="n">
        <v>54</v>
      </c>
      <c r="L136" s="0" t="s">
        <v>2238</v>
      </c>
      <c r="N136" s="0" t="n">
        <v>1.156</v>
      </c>
      <c r="O136" s="60" t="n">
        <v>43.04</v>
      </c>
    </row>
    <row r="137" customFormat="false" ht="15" hidden="false" customHeight="false" outlineLevel="0" collapsed="false">
      <c r="A137" s="0" t="n">
        <v>3</v>
      </c>
      <c r="B137" s="59" t="n">
        <v>46205</v>
      </c>
      <c r="C137" s="0" t="n">
        <v>22</v>
      </c>
      <c r="D137" s="0" t="s">
        <v>2172</v>
      </c>
      <c r="E137" s="0" t="n">
        <v>42</v>
      </c>
      <c r="F137" s="0" t="s">
        <v>81</v>
      </c>
      <c r="I137" s="0" t="n">
        <v>4345</v>
      </c>
      <c r="J137" s="0" t="n">
        <v>100638</v>
      </c>
      <c r="K137" s="0" t="n">
        <v>508</v>
      </c>
      <c r="L137" s="0" t="s">
        <v>2178</v>
      </c>
      <c r="N137" s="0" t="n">
        <v>3.516</v>
      </c>
      <c r="O137" s="60" t="n">
        <v>5.79</v>
      </c>
    </row>
    <row r="138" customFormat="false" ht="15" hidden="false" customHeight="false" outlineLevel="0" collapsed="false">
      <c r="A138" s="0" t="n">
        <v>3</v>
      </c>
      <c r="B138" s="59" t="n">
        <v>46205</v>
      </c>
      <c r="C138" s="0" t="n">
        <v>22</v>
      </c>
      <c r="D138" s="0" t="s">
        <v>2172</v>
      </c>
      <c r="E138" s="0" t="n">
        <v>42</v>
      </c>
      <c r="F138" s="0" t="s">
        <v>81</v>
      </c>
      <c r="I138" s="0" t="n">
        <v>4345</v>
      </c>
      <c r="J138" s="0" t="n">
        <v>100520</v>
      </c>
      <c r="K138" s="0" t="n">
        <v>507</v>
      </c>
      <c r="L138" s="0" t="s">
        <v>2179</v>
      </c>
      <c r="N138" s="0" t="n">
        <v>8.885</v>
      </c>
      <c r="O138" s="60" t="n">
        <v>21.99</v>
      </c>
    </row>
    <row r="139" customFormat="false" ht="15" hidden="false" customHeight="false" outlineLevel="0" collapsed="false">
      <c r="A139" s="0" t="n">
        <v>3</v>
      </c>
      <c r="B139" s="59" t="n">
        <v>46205</v>
      </c>
      <c r="C139" s="0" t="n">
        <v>22</v>
      </c>
      <c r="D139" s="0" t="s">
        <v>2172</v>
      </c>
      <c r="E139" s="0" t="n">
        <v>42</v>
      </c>
      <c r="F139" s="0" t="s">
        <v>81</v>
      </c>
      <c r="I139" s="0" t="n">
        <v>4345</v>
      </c>
      <c r="J139" s="0" t="n">
        <v>110455</v>
      </c>
      <c r="K139" s="0" t="n">
        <v>53212</v>
      </c>
      <c r="L139" s="0" t="s">
        <v>2180</v>
      </c>
      <c r="N139" s="0" t="n">
        <v>0.499</v>
      </c>
      <c r="O139" s="60" t="n">
        <v>0</v>
      </c>
    </row>
    <row r="140" customFormat="false" ht="15" hidden="false" customHeight="false" outlineLevel="0" collapsed="false">
      <c r="A140" s="0" t="n">
        <v>3</v>
      </c>
      <c r="B140" s="59" t="n">
        <v>46205</v>
      </c>
      <c r="C140" s="0" t="n">
        <v>39</v>
      </c>
      <c r="D140" s="0" t="s">
        <v>2239</v>
      </c>
      <c r="E140" s="0" t="n">
        <v>794</v>
      </c>
      <c r="F140" s="0" t="s">
        <v>153</v>
      </c>
      <c r="I140" s="0" t="n">
        <v>8267</v>
      </c>
      <c r="J140" s="0" t="n">
        <v>107452</v>
      </c>
      <c r="K140" s="0" t="n">
        <v>7898560800221</v>
      </c>
      <c r="L140" s="0" t="s">
        <v>2240</v>
      </c>
      <c r="N140" s="0" t="n">
        <v>100</v>
      </c>
      <c r="O140" s="60" t="n">
        <v>460</v>
      </c>
    </row>
    <row r="141" customFormat="false" ht="15" hidden="false" customHeight="false" outlineLevel="0" collapsed="false">
      <c r="A141" s="0" t="n">
        <v>3</v>
      </c>
      <c r="B141" s="59" t="n">
        <v>46205</v>
      </c>
      <c r="C141" s="0" t="n">
        <v>39</v>
      </c>
      <c r="D141" s="0" t="s">
        <v>2239</v>
      </c>
      <c r="E141" s="0" t="n">
        <v>794</v>
      </c>
      <c r="F141" s="0" t="s">
        <v>153</v>
      </c>
      <c r="I141" s="0" t="n">
        <v>8267</v>
      </c>
      <c r="J141" s="0" t="n">
        <v>67465</v>
      </c>
      <c r="K141" s="0" t="n">
        <v>7898560800184</v>
      </c>
      <c r="L141" s="0" t="s">
        <v>2241</v>
      </c>
      <c r="N141" s="0" t="n">
        <v>100</v>
      </c>
      <c r="O141" s="60" t="n">
        <v>529.8</v>
      </c>
    </row>
    <row r="142" customFormat="false" ht="15" hidden="false" customHeight="false" outlineLevel="0" collapsed="false">
      <c r="A142" s="0" t="n">
        <v>3</v>
      </c>
      <c r="B142" s="59" t="n">
        <v>46205</v>
      </c>
      <c r="C142" s="0" t="n">
        <v>39</v>
      </c>
      <c r="D142" s="0" t="s">
        <v>2239</v>
      </c>
      <c r="E142" s="0" t="n">
        <v>794</v>
      </c>
      <c r="F142" s="0" t="s">
        <v>153</v>
      </c>
      <c r="I142" s="0" t="n">
        <v>8267</v>
      </c>
      <c r="J142" s="0" t="n">
        <v>67471</v>
      </c>
      <c r="K142" s="0" t="n">
        <v>7898560800177</v>
      </c>
      <c r="L142" s="0" t="s">
        <v>2242</v>
      </c>
      <c r="N142" s="0" t="n">
        <v>80</v>
      </c>
      <c r="O142" s="60" t="n">
        <v>636.4</v>
      </c>
    </row>
    <row r="143" customFormat="false" ht="15" hidden="false" customHeight="false" outlineLevel="0" collapsed="false">
      <c r="A143" s="0" t="n">
        <v>3</v>
      </c>
      <c r="B143" s="59" t="n">
        <v>46205</v>
      </c>
      <c r="C143" s="0" t="n">
        <v>39</v>
      </c>
      <c r="D143" s="0" t="s">
        <v>2239</v>
      </c>
      <c r="E143" s="0" t="n">
        <v>794</v>
      </c>
      <c r="F143" s="0" t="s">
        <v>153</v>
      </c>
      <c r="I143" s="0" t="n">
        <v>8267</v>
      </c>
      <c r="J143" s="0" t="n">
        <v>67472</v>
      </c>
      <c r="K143" s="0" t="n">
        <v>7898560800214</v>
      </c>
      <c r="L143" s="0" t="s">
        <v>2243</v>
      </c>
      <c r="N143" s="0" t="n">
        <v>20</v>
      </c>
      <c r="O143" s="60" t="n">
        <v>277.6</v>
      </c>
    </row>
    <row r="144" customFormat="false" ht="15" hidden="false" customHeight="false" outlineLevel="0" collapsed="false">
      <c r="A144" s="0" t="n">
        <v>3</v>
      </c>
      <c r="B144" s="59" t="n">
        <v>46205</v>
      </c>
      <c r="C144" s="0" t="n">
        <v>100</v>
      </c>
      <c r="D144" s="0" t="s">
        <v>2181</v>
      </c>
      <c r="E144" s="0" t="n">
        <v>42</v>
      </c>
      <c r="F144" s="0" t="s">
        <v>81</v>
      </c>
      <c r="I144" s="0" t="n">
        <v>1339499</v>
      </c>
      <c r="J144" s="0" t="n">
        <v>100006</v>
      </c>
      <c r="K144" s="0" t="n">
        <v>7</v>
      </c>
      <c r="L144" s="0" t="s">
        <v>2228</v>
      </c>
      <c r="N144" s="0" t="n">
        <v>6.08</v>
      </c>
      <c r="O144" s="60" t="n">
        <v>201.21</v>
      </c>
    </row>
    <row r="145" customFormat="false" ht="15" hidden="false" customHeight="false" outlineLevel="0" collapsed="false">
      <c r="A145" s="0" t="n">
        <v>3</v>
      </c>
      <c r="B145" s="59" t="n">
        <v>46205</v>
      </c>
      <c r="C145" s="0" t="n">
        <v>100</v>
      </c>
      <c r="D145" s="0" t="s">
        <v>2181</v>
      </c>
      <c r="E145" s="0" t="n">
        <v>42</v>
      </c>
      <c r="F145" s="0" t="s">
        <v>81</v>
      </c>
      <c r="I145" s="0" t="n">
        <v>1339499</v>
      </c>
      <c r="J145" s="0" t="n">
        <v>100008</v>
      </c>
      <c r="K145" s="0" t="n">
        <v>9</v>
      </c>
      <c r="L145" s="0" t="s">
        <v>2229</v>
      </c>
      <c r="N145" s="0" t="n">
        <v>11.53</v>
      </c>
      <c r="O145" s="60" t="n">
        <v>391.12</v>
      </c>
    </row>
    <row r="146" customFormat="false" ht="15" hidden="false" customHeight="false" outlineLevel="0" collapsed="false">
      <c r="A146" s="0" t="n">
        <v>3</v>
      </c>
      <c r="B146" s="59" t="n">
        <v>46205</v>
      </c>
      <c r="C146" s="0" t="n">
        <v>100</v>
      </c>
      <c r="D146" s="0" t="s">
        <v>2181</v>
      </c>
      <c r="E146" s="0" t="n">
        <v>42</v>
      </c>
      <c r="F146" s="0" t="s">
        <v>81</v>
      </c>
      <c r="I146" s="0" t="n">
        <v>1339499</v>
      </c>
      <c r="J146" s="0" t="n">
        <v>100010</v>
      </c>
      <c r="K146" s="0" t="n">
        <v>11</v>
      </c>
      <c r="L146" s="0" t="s">
        <v>2230</v>
      </c>
      <c r="N146" s="0" t="n">
        <v>2.624</v>
      </c>
      <c r="O146" s="60" t="n">
        <v>102.04</v>
      </c>
    </row>
    <row r="147" customFormat="false" ht="15" hidden="false" customHeight="false" outlineLevel="0" collapsed="false">
      <c r="A147" s="0" t="n">
        <v>3</v>
      </c>
      <c r="B147" s="59" t="n">
        <v>46205</v>
      </c>
      <c r="C147" s="0" t="n">
        <v>100</v>
      </c>
      <c r="D147" s="0" t="s">
        <v>2181</v>
      </c>
      <c r="E147" s="0" t="n">
        <v>42</v>
      </c>
      <c r="F147" s="0" t="s">
        <v>81</v>
      </c>
      <c r="I147" s="0" t="n">
        <v>1339499</v>
      </c>
      <c r="J147" s="0" t="n">
        <v>100011</v>
      </c>
      <c r="K147" s="0" t="n">
        <v>12</v>
      </c>
      <c r="L147" s="0" t="s">
        <v>2231</v>
      </c>
      <c r="N147" s="0" t="n">
        <v>5.21</v>
      </c>
      <c r="O147" s="60" t="n">
        <v>202.6</v>
      </c>
    </row>
    <row r="148" customFormat="false" ht="15" hidden="false" customHeight="false" outlineLevel="0" collapsed="false">
      <c r="A148" s="0" t="n">
        <v>3</v>
      </c>
      <c r="B148" s="59" t="n">
        <v>46205</v>
      </c>
      <c r="C148" s="0" t="n">
        <v>100</v>
      </c>
      <c r="D148" s="0" t="s">
        <v>2181</v>
      </c>
      <c r="E148" s="0" t="n">
        <v>42</v>
      </c>
      <c r="F148" s="0" t="s">
        <v>81</v>
      </c>
      <c r="I148" s="0" t="n">
        <v>1339499</v>
      </c>
      <c r="J148" s="0" t="n">
        <v>100012</v>
      </c>
      <c r="K148" s="0" t="n">
        <v>13</v>
      </c>
      <c r="L148" s="0" t="s">
        <v>2232</v>
      </c>
      <c r="N148" s="0" t="n">
        <v>4.684</v>
      </c>
      <c r="O148" s="60" t="n">
        <v>197.65</v>
      </c>
    </row>
    <row r="149" customFormat="false" ht="15" hidden="false" customHeight="false" outlineLevel="0" collapsed="false">
      <c r="A149" s="0" t="n">
        <v>3</v>
      </c>
      <c r="B149" s="59" t="n">
        <v>46205</v>
      </c>
      <c r="C149" s="0" t="n">
        <v>100</v>
      </c>
      <c r="D149" s="0" t="s">
        <v>2181</v>
      </c>
      <c r="E149" s="0" t="n">
        <v>42</v>
      </c>
      <c r="F149" s="0" t="s">
        <v>81</v>
      </c>
      <c r="I149" s="0" t="n">
        <v>1339499</v>
      </c>
      <c r="J149" s="0" t="n">
        <v>100013</v>
      </c>
      <c r="K149" s="0" t="n">
        <v>14</v>
      </c>
      <c r="L149" s="0" t="s">
        <v>2233</v>
      </c>
      <c r="N149" s="0" t="n">
        <v>9.06</v>
      </c>
      <c r="O149" s="60" t="n">
        <v>412.3</v>
      </c>
    </row>
    <row r="150" customFormat="false" ht="15" hidden="false" customHeight="false" outlineLevel="0" collapsed="false">
      <c r="A150" s="0" t="n">
        <v>3</v>
      </c>
      <c r="B150" s="59" t="n">
        <v>46205</v>
      </c>
      <c r="C150" s="0" t="n">
        <v>100</v>
      </c>
      <c r="D150" s="0" t="s">
        <v>2181</v>
      </c>
      <c r="E150" s="0" t="n">
        <v>42</v>
      </c>
      <c r="F150" s="0" t="s">
        <v>81</v>
      </c>
      <c r="I150" s="0" t="n">
        <v>1339499</v>
      </c>
      <c r="J150" s="0" t="n">
        <v>100014</v>
      </c>
      <c r="K150" s="0" t="n">
        <v>15</v>
      </c>
      <c r="L150" s="0" t="s">
        <v>2234</v>
      </c>
      <c r="N150" s="0" t="n">
        <v>3.682</v>
      </c>
      <c r="O150" s="60" t="n">
        <v>170.61</v>
      </c>
    </row>
    <row r="151" customFormat="false" ht="15" hidden="false" customHeight="false" outlineLevel="0" collapsed="false">
      <c r="A151" s="0" t="n">
        <v>3</v>
      </c>
      <c r="B151" s="59" t="n">
        <v>46205</v>
      </c>
      <c r="C151" s="0" t="n">
        <v>100</v>
      </c>
      <c r="D151" s="0" t="s">
        <v>2181</v>
      </c>
      <c r="E151" s="0" t="n">
        <v>42</v>
      </c>
      <c r="F151" s="0" t="s">
        <v>81</v>
      </c>
      <c r="I151" s="0" t="n">
        <v>1339499</v>
      </c>
      <c r="J151" s="0" t="n">
        <v>100015</v>
      </c>
      <c r="K151" s="0" t="n">
        <v>16</v>
      </c>
      <c r="L151" s="0" t="s">
        <v>2235</v>
      </c>
      <c r="N151" s="0" t="n">
        <v>1.26</v>
      </c>
      <c r="O151" s="60" t="n">
        <v>53.17</v>
      </c>
    </row>
    <row r="152" customFormat="false" ht="15" hidden="false" customHeight="false" outlineLevel="0" collapsed="false">
      <c r="A152" s="0" t="n">
        <v>3</v>
      </c>
      <c r="B152" s="59" t="n">
        <v>46205</v>
      </c>
      <c r="C152" s="0" t="n">
        <v>100</v>
      </c>
      <c r="D152" s="0" t="s">
        <v>2181</v>
      </c>
      <c r="E152" s="0" t="n">
        <v>42</v>
      </c>
      <c r="F152" s="0" t="s">
        <v>81</v>
      </c>
      <c r="I152" s="0" t="n">
        <v>1339499</v>
      </c>
      <c r="J152" s="0" t="n">
        <v>100016</v>
      </c>
      <c r="K152" s="0" t="n">
        <v>17</v>
      </c>
      <c r="L152" s="0" t="s">
        <v>2236</v>
      </c>
      <c r="N152" s="0" t="n">
        <v>1.682</v>
      </c>
      <c r="O152" s="60" t="n">
        <v>76.54</v>
      </c>
    </row>
    <row r="153" customFormat="false" ht="15" hidden="false" customHeight="false" outlineLevel="0" collapsed="false">
      <c r="A153" s="0" t="n">
        <v>3</v>
      </c>
      <c r="B153" s="59" t="n">
        <v>46205</v>
      </c>
      <c r="C153" s="0" t="n">
        <v>100</v>
      </c>
      <c r="D153" s="0" t="s">
        <v>2181</v>
      </c>
      <c r="E153" s="0" t="n">
        <v>42</v>
      </c>
      <c r="F153" s="0" t="s">
        <v>81</v>
      </c>
      <c r="I153" s="0" t="n">
        <v>1339499</v>
      </c>
      <c r="J153" s="0" t="n">
        <v>100017</v>
      </c>
      <c r="K153" s="0" t="n">
        <v>18</v>
      </c>
      <c r="L153" s="0" t="s">
        <v>2237</v>
      </c>
      <c r="N153" s="0" t="n">
        <v>1.732</v>
      </c>
      <c r="O153" s="60" t="n">
        <v>93.15</v>
      </c>
    </row>
    <row r="154" customFormat="false" ht="15" hidden="false" customHeight="false" outlineLevel="0" collapsed="false">
      <c r="A154" s="0" t="n">
        <v>3</v>
      </c>
      <c r="B154" s="59" t="n">
        <v>46205</v>
      </c>
      <c r="C154" s="0" t="n">
        <v>100</v>
      </c>
      <c r="D154" s="0" t="s">
        <v>2181</v>
      </c>
      <c r="E154" s="0" t="n">
        <v>42</v>
      </c>
      <c r="F154" s="0" t="s">
        <v>81</v>
      </c>
      <c r="I154" s="0" t="n">
        <v>1339499</v>
      </c>
      <c r="J154" s="0" t="n">
        <v>100053</v>
      </c>
      <c r="K154" s="0" t="n">
        <v>54</v>
      </c>
      <c r="L154" s="0" t="s">
        <v>2238</v>
      </c>
      <c r="N154" s="0" t="n">
        <v>1.156</v>
      </c>
      <c r="O154" s="60" t="n">
        <v>43.04</v>
      </c>
    </row>
    <row r="155" customFormat="false" ht="15" hidden="false" customHeight="false" outlineLevel="0" collapsed="false">
      <c r="A155" s="0" t="n">
        <v>3</v>
      </c>
      <c r="B155" s="59" t="n">
        <v>46205</v>
      </c>
      <c r="C155" s="0" t="n">
        <v>100</v>
      </c>
      <c r="D155" s="0" t="s">
        <v>2181</v>
      </c>
      <c r="E155" s="0" t="n">
        <v>42</v>
      </c>
      <c r="F155" s="0" t="s">
        <v>81</v>
      </c>
      <c r="I155" s="0" t="n">
        <v>1339499</v>
      </c>
      <c r="J155" s="0" t="n">
        <v>100638</v>
      </c>
      <c r="K155" s="0" t="n">
        <v>508</v>
      </c>
      <c r="L155" s="0" t="s">
        <v>2178</v>
      </c>
      <c r="N155" s="0" t="n">
        <v>3.516</v>
      </c>
      <c r="O155" s="60" t="n">
        <v>5.79</v>
      </c>
    </row>
    <row r="156" customFormat="false" ht="15" hidden="false" customHeight="false" outlineLevel="0" collapsed="false">
      <c r="A156" s="0" t="n">
        <v>3</v>
      </c>
      <c r="B156" s="59" t="n">
        <v>46205</v>
      </c>
      <c r="C156" s="0" t="n">
        <v>100</v>
      </c>
      <c r="D156" s="0" t="s">
        <v>2181</v>
      </c>
      <c r="E156" s="0" t="n">
        <v>42</v>
      </c>
      <c r="F156" s="0" t="s">
        <v>81</v>
      </c>
      <c r="I156" s="0" t="n">
        <v>1339499</v>
      </c>
      <c r="J156" s="0" t="n">
        <v>100520</v>
      </c>
      <c r="K156" s="0" t="n">
        <v>507</v>
      </c>
      <c r="L156" s="0" t="s">
        <v>2179</v>
      </c>
      <c r="N156" s="0" t="n">
        <v>8.885</v>
      </c>
      <c r="O156" s="60" t="n">
        <v>21.99</v>
      </c>
    </row>
    <row r="157" customFormat="false" ht="15" hidden="false" customHeight="false" outlineLevel="0" collapsed="false">
      <c r="A157" s="0" t="n">
        <v>3</v>
      </c>
      <c r="B157" s="59" t="n">
        <v>46205</v>
      </c>
      <c r="C157" s="0" t="n">
        <v>100</v>
      </c>
      <c r="D157" s="0" t="s">
        <v>2181</v>
      </c>
      <c r="E157" s="0" t="n">
        <v>42</v>
      </c>
      <c r="F157" s="0" t="s">
        <v>81</v>
      </c>
      <c r="I157" s="0" t="n">
        <v>1339499</v>
      </c>
      <c r="J157" s="0" t="n">
        <v>110455</v>
      </c>
      <c r="K157" s="0" t="n">
        <v>53212</v>
      </c>
      <c r="L157" s="0" t="s">
        <v>2180</v>
      </c>
      <c r="N157" s="0" t="n">
        <v>0.499</v>
      </c>
      <c r="O157" s="60" t="n">
        <v>0</v>
      </c>
    </row>
    <row r="158" customFormat="false" ht="15" hidden="false" customHeight="false" outlineLevel="0" collapsed="false">
      <c r="A158" s="0" t="n">
        <v>3</v>
      </c>
      <c r="B158" s="59" t="n">
        <v>46205</v>
      </c>
      <c r="C158" s="0" t="n">
        <v>107</v>
      </c>
      <c r="D158" s="0" t="s">
        <v>2244</v>
      </c>
      <c r="E158" s="0" t="n">
        <v>1664</v>
      </c>
      <c r="F158" s="0" t="s">
        <v>1085</v>
      </c>
      <c r="I158" s="0" t="n">
        <v>78423</v>
      </c>
      <c r="J158" s="0" t="n">
        <v>66941</v>
      </c>
      <c r="K158" s="0" t="n">
        <v>7898080665355</v>
      </c>
      <c r="L158" s="0" t="s">
        <v>2245</v>
      </c>
      <c r="N158" s="0" t="n">
        <v>6</v>
      </c>
      <c r="O158" s="60" t="n">
        <v>79.68</v>
      </c>
    </row>
    <row r="159" customFormat="false" ht="15" hidden="false" customHeight="false" outlineLevel="0" collapsed="false">
      <c r="A159" s="0" t="n">
        <v>3</v>
      </c>
      <c r="B159" s="59" t="n">
        <v>46206</v>
      </c>
      <c r="C159" s="0" t="n">
        <v>1</v>
      </c>
      <c r="D159" s="0" t="s">
        <v>2118</v>
      </c>
      <c r="E159" s="0" t="n">
        <v>10035</v>
      </c>
      <c r="F159" s="0" t="s">
        <v>229</v>
      </c>
      <c r="I159" s="0" t="n">
        <v>339</v>
      </c>
      <c r="J159" s="0" t="n">
        <v>38652</v>
      </c>
      <c r="K159" s="0" t="n">
        <v>7898994684220</v>
      </c>
      <c r="L159" s="0" t="s">
        <v>2246</v>
      </c>
      <c r="N159" s="0" t="n">
        <v>80</v>
      </c>
      <c r="O159" s="60" t="n">
        <v>704</v>
      </c>
    </row>
    <row r="160" customFormat="false" ht="15" hidden="false" customHeight="false" outlineLevel="0" collapsed="false">
      <c r="A160" s="0" t="n">
        <v>3</v>
      </c>
      <c r="B160" s="59" t="n">
        <v>46206</v>
      </c>
      <c r="C160" s="0" t="n">
        <v>1</v>
      </c>
      <c r="D160" s="0" t="s">
        <v>2118</v>
      </c>
      <c r="E160" s="0" t="n">
        <v>1828</v>
      </c>
      <c r="F160" s="0" t="s">
        <v>280</v>
      </c>
      <c r="I160" s="0" t="n">
        <v>1365</v>
      </c>
      <c r="J160" s="0" t="n">
        <v>14247</v>
      </c>
      <c r="K160" s="0" t="n">
        <v>2229416</v>
      </c>
      <c r="L160" s="0" t="s">
        <v>2247</v>
      </c>
      <c r="N160" s="0" t="n">
        <v>30</v>
      </c>
      <c r="O160" s="60" t="n">
        <v>174</v>
      </c>
    </row>
    <row r="161" customFormat="false" ht="15" hidden="false" customHeight="false" outlineLevel="0" collapsed="false">
      <c r="A161" s="0" t="n">
        <v>3</v>
      </c>
      <c r="B161" s="59" t="n">
        <v>46206</v>
      </c>
      <c r="C161" s="0" t="n">
        <v>1</v>
      </c>
      <c r="D161" s="0" t="s">
        <v>2118</v>
      </c>
      <c r="E161" s="0" t="n">
        <v>1828</v>
      </c>
      <c r="F161" s="0" t="s">
        <v>280</v>
      </c>
      <c r="I161" s="0" t="n">
        <v>1365</v>
      </c>
      <c r="J161" s="0" t="n">
        <v>14248</v>
      </c>
      <c r="K161" s="0" t="n">
        <v>2229423</v>
      </c>
      <c r="L161" s="0" t="s">
        <v>2248</v>
      </c>
      <c r="N161" s="0" t="n">
        <v>42</v>
      </c>
      <c r="O161" s="60" t="n">
        <v>294</v>
      </c>
    </row>
    <row r="162" customFormat="false" ht="15" hidden="false" customHeight="false" outlineLevel="0" collapsed="false">
      <c r="A162" s="0" t="n">
        <v>3</v>
      </c>
      <c r="B162" s="59" t="n">
        <v>46206</v>
      </c>
      <c r="C162" s="0" t="n">
        <v>1</v>
      </c>
      <c r="D162" s="0" t="s">
        <v>2118</v>
      </c>
      <c r="E162" s="0" t="n">
        <v>1828</v>
      </c>
      <c r="F162" s="0" t="s">
        <v>280</v>
      </c>
      <c r="I162" s="0" t="n">
        <v>1365</v>
      </c>
      <c r="J162" s="0" t="n">
        <v>20541</v>
      </c>
      <c r="K162" s="0" t="n">
        <v>2232829</v>
      </c>
      <c r="L162" s="0" t="s">
        <v>2249</v>
      </c>
      <c r="N162" s="0" t="n">
        <v>50</v>
      </c>
      <c r="O162" s="60" t="n">
        <v>469.9</v>
      </c>
    </row>
    <row r="163" customFormat="false" ht="15" hidden="false" customHeight="false" outlineLevel="0" collapsed="false">
      <c r="A163" s="0" t="n">
        <v>3</v>
      </c>
      <c r="B163" s="59" t="n">
        <v>46206</v>
      </c>
      <c r="C163" s="0" t="n">
        <v>1</v>
      </c>
      <c r="D163" s="0" t="s">
        <v>2118</v>
      </c>
      <c r="E163" s="0" t="n">
        <v>10063</v>
      </c>
      <c r="F163" s="0" t="s">
        <v>220</v>
      </c>
      <c r="I163" s="0" t="n">
        <v>2423</v>
      </c>
      <c r="J163" s="0" t="n">
        <v>100174</v>
      </c>
      <c r="K163" s="0" t="n">
        <v>7898141930286</v>
      </c>
      <c r="L163" s="0" t="s">
        <v>2250</v>
      </c>
      <c r="N163" s="0" t="n">
        <v>1080</v>
      </c>
      <c r="O163" s="60" t="n">
        <v>555</v>
      </c>
    </row>
    <row r="164" customFormat="false" ht="15" hidden="false" customHeight="false" outlineLevel="0" collapsed="false">
      <c r="A164" s="0" t="n">
        <v>3</v>
      </c>
      <c r="B164" s="59" t="n">
        <v>46206</v>
      </c>
      <c r="C164" s="0" t="n">
        <v>1</v>
      </c>
      <c r="D164" s="0" t="s">
        <v>2118</v>
      </c>
      <c r="E164" s="0" t="n">
        <v>10063</v>
      </c>
      <c r="F164" s="0" t="s">
        <v>220</v>
      </c>
      <c r="I164" s="0" t="n">
        <v>2423</v>
      </c>
      <c r="J164" s="0" t="n">
        <v>100933</v>
      </c>
      <c r="K164" s="0" t="n">
        <v>7896982100059</v>
      </c>
      <c r="L164" s="0" t="s">
        <v>2251</v>
      </c>
      <c r="N164" s="0" t="n">
        <v>2520</v>
      </c>
      <c r="O164" s="60" t="n">
        <v>1260</v>
      </c>
    </row>
    <row r="165" customFormat="false" ht="15" hidden="false" customHeight="false" outlineLevel="0" collapsed="false">
      <c r="A165" s="0" t="n">
        <v>3</v>
      </c>
      <c r="B165" s="59" t="n">
        <v>46206</v>
      </c>
      <c r="C165" s="0" t="n">
        <v>1</v>
      </c>
      <c r="D165" s="0" t="s">
        <v>2118</v>
      </c>
      <c r="E165" s="0" t="n">
        <v>1916</v>
      </c>
      <c r="F165" s="0" t="s">
        <v>353</v>
      </c>
      <c r="I165" s="0" t="n">
        <v>2477</v>
      </c>
      <c r="J165" s="0" t="n">
        <v>62034</v>
      </c>
      <c r="K165" s="0" t="n">
        <v>7898592350367</v>
      </c>
      <c r="L165" s="0" t="s">
        <v>2252</v>
      </c>
      <c r="N165" s="0" t="n">
        <v>30</v>
      </c>
      <c r="O165" s="60" t="n">
        <v>105</v>
      </c>
    </row>
    <row r="166" customFormat="false" ht="15" hidden="false" customHeight="false" outlineLevel="0" collapsed="false">
      <c r="A166" s="0" t="n">
        <v>3</v>
      </c>
      <c r="B166" s="59" t="n">
        <v>46206</v>
      </c>
      <c r="C166" s="0" t="n">
        <v>1</v>
      </c>
      <c r="D166" s="0" t="s">
        <v>2118</v>
      </c>
      <c r="E166" s="0" t="n">
        <v>1615</v>
      </c>
      <c r="F166" s="0" t="s">
        <v>131</v>
      </c>
      <c r="I166" s="0" t="n">
        <v>14792</v>
      </c>
      <c r="J166" s="0" t="n">
        <v>100114</v>
      </c>
      <c r="K166" s="0" t="n">
        <v>115</v>
      </c>
      <c r="L166" s="0" t="s">
        <v>2253</v>
      </c>
      <c r="N166" s="0" t="n">
        <v>18</v>
      </c>
      <c r="O166" s="60" t="n">
        <v>170</v>
      </c>
    </row>
    <row r="167" customFormat="false" ht="15" hidden="false" customHeight="false" outlineLevel="0" collapsed="false">
      <c r="A167" s="0" t="n">
        <v>3</v>
      </c>
      <c r="B167" s="59" t="n">
        <v>46206</v>
      </c>
      <c r="C167" s="0" t="n">
        <v>1</v>
      </c>
      <c r="D167" s="0" t="s">
        <v>2118</v>
      </c>
      <c r="E167" s="0" t="n">
        <v>1615</v>
      </c>
      <c r="F167" s="0" t="s">
        <v>131</v>
      </c>
      <c r="I167" s="0" t="n">
        <v>14792</v>
      </c>
      <c r="J167" s="0" t="n">
        <v>100119</v>
      </c>
      <c r="K167" s="0" t="n">
        <v>120</v>
      </c>
      <c r="L167" s="0" t="s">
        <v>2254</v>
      </c>
      <c r="N167" s="0" t="n">
        <v>9</v>
      </c>
      <c r="O167" s="60" t="n">
        <v>130</v>
      </c>
    </row>
    <row r="168" customFormat="false" ht="15" hidden="false" customHeight="false" outlineLevel="0" collapsed="false">
      <c r="A168" s="0" t="n">
        <v>3</v>
      </c>
      <c r="B168" s="59" t="n">
        <v>46206</v>
      </c>
      <c r="C168" s="0" t="n">
        <v>1</v>
      </c>
      <c r="D168" s="0" t="s">
        <v>2118</v>
      </c>
      <c r="E168" s="0" t="n">
        <v>1615</v>
      </c>
      <c r="F168" s="0" t="s">
        <v>131</v>
      </c>
      <c r="I168" s="0" t="n">
        <v>14792</v>
      </c>
      <c r="J168" s="0" t="n">
        <v>37771</v>
      </c>
      <c r="K168" s="0" t="n">
        <v>774574</v>
      </c>
      <c r="L168" s="0" t="s">
        <v>2255</v>
      </c>
      <c r="N168" s="0" t="n">
        <v>20</v>
      </c>
      <c r="O168" s="60" t="n">
        <v>140</v>
      </c>
    </row>
    <row r="169" customFormat="false" ht="15" hidden="false" customHeight="false" outlineLevel="0" collapsed="false">
      <c r="A169" s="0" t="n">
        <v>3</v>
      </c>
      <c r="B169" s="59" t="n">
        <v>46206</v>
      </c>
      <c r="C169" s="0" t="n">
        <v>1</v>
      </c>
      <c r="D169" s="0" t="s">
        <v>2118</v>
      </c>
      <c r="E169" s="0" t="n">
        <v>1916</v>
      </c>
      <c r="F169" s="0" t="s">
        <v>353</v>
      </c>
      <c r="I169" s="0" t="n">
        <v>39615</v>
      </c>
      <c r="J169" s="0" t="n">
        <v>43963</v>
      </c>
      <c r="K169" s="0" t="n">
        <v>7890000002844</v>
      </c>
      <c r="L169" s="0" t="s">
        <v>2256</v>
      </c>
      <c r="N169" s="0" t="n">
        <v>40</v>
      </c>
      <c r="O169" s="60" t="n">
        <v>112</v>
      </c>
    </row>
    <row r="170" customFormat="false" ht="15" hidden="false" customHeight="false" outlineLevel="0" collapsed="false">
      <c r="A170" s="0" t="n">
        <v>3</v>
      </c>
      <c r="B170" s="59" t="n">
        <v>46206</v>
      </c>
      <c r="C170" s="0" t="n">
        <v>1</v>
      </c>
      <c r="D170" s="0" t="s">
        <v>2118</v>
      </c>
      <c r="E170" s="0" t="n">
        <v>1916</v>
      </c>
      <c r="F170" s="0" t="s">
        <v>353</v>
      </c>
      <c r="I170" s="0" t="n">
        <v>39615</v>
      </c>
      <c r="J170" s="0" t="n">
        <v>43965</v>
      </c>
      <c r="K170" s="0" t="n">
        <v>7898567710226</v>
      </c>
      <c r="L170" s="0" t="s">
        <v>2257</v>
      </c>
      <c r="N170" s="0" t="n">
        <v>25</v>
      </c>
      <c r="O170" s="60" t="n">
        <v>137.5</v>
      </c>
    </row>
    <row r="171" customFormat="false" ht="15" hidden="false" customHeight="false" outlineLevel="0" collapsed="false">
      <c r="A171" s="0" t="n">
        <v>3</v>
      </c>
      <c r="B171" s="59" t="n">
        <v>46206</v>
      </c>
      <c r="C171" s="0" t="n">
        <v>1</v>
      </c>
      <c r="D171" s="0" t="s">
        <v>2118</v>
      </c>
      <c r="E171" s="0" t="n">
        <v>1916</v>
      </c>
      <c r="F171" s="0" t="s">
        <v>353</v>
      </c>
      <c r="I171" s="0" t="n">
        <v>39618</v>
      </c>
      <c r="J171" s="0" t="n">
        <v>48436</v>
      </c>
      <c r="K171" s="0" t="n">
        <v>7898592350251</v>
      </c>
      <c r="L171" s="0" t="s">
        <v>2258</v>
      </c>
      <c r="N171" s="0" t="n">
        <v>150</v>
      </c>
      <c r="O171" s="60" t="n">
        <v>1440</v>
      </c>
    </row>
    <row r="172" customFormat="false" ht="15" hidden="false" customHeight="false" outlineLevel="0" collapsed="false">
      <c r="A172" s="0" t="n">
        <v>3</v>
      </c>
      <c r="B172" s="59" t="n">
        <v>46206</v>
      </c>
      <c r="C172" s="0" t="n">
        <v>2</v>
      </c>
      <c r="D172" s="0" t="s">
        <v>2122</v>
      </c>
      <c r="E172" s="0" t="n">
        <v>42</v>
      </c>
      <c r="F172" s="0" t="s">
        <v>81</v>
      </c>
      <c r="I172" s="0" t="n">
        <v>30701</v>
      </c>
      <c r="J172" s="0" t="n">
        <v>109791</v>
      </c>
      <c r="K172" s="0" t="n">
        <v>9667</v>
      </c>
      <c r="L172" s="0" t="s">
        <v>2123</v>
      </c>
      <c r="N172" s="0" t="n">
        <v>8</v>
      </c>
      <c r="O172" s="60" t="n">
        <v>20</v>
      </c>
    </row>
    <row r="173" customFormat="false" ht="15" hidden="false" customHeight="false" outlineLevel="0" collapsed="false">
      <c r="A173" s="0" t="n">
        <v>3</v>
      </c>
      <c r="B173" s="59" t="n">
        <v>46206</v>
      </c>
      <c r="C173" s="0" t="n">
        <v>2</v>
      </c>
      <c r="D173" s="0" t="s">
        <v>2122</v>
      </c>
      <c r="E173" s="0" t="n">
        <v>42</v>
      </c>
      <c r="F173" s="0" t="s">
        <v>81</v>
      </c>
      <c r="I173" s="0" t="n">
        <v>30701</v>
      </c>
      <c r="J173" s="0" t="n">
        <v>37359</v>
      </c>
      <c r="K173" s="0" t="n">
        <v>55526</v>
      </c>
      <c r="L173" s="0" t="s">
        <v>2194</v>
      </c>
      <c r="N173" s="0" t="n">
        <v>5</v>
      </c>
      <c r="O173" s="60" t="n">
        <v>30</v>
      </c>
    </row>
    <row r="174" customFormat="false" ht="15" hidden="false" customHeight="false" outlineLevel="0" collapsed="false">
      <c r="A174" s="0" t="n">
        <v>3</v>
      </c>
      <c r="B174" s="59" t="n">
        <v>46206</v>
      </c>
      <c r="C174" s="0" t="n">
        <v>2</v>
      </c>
      <c r="D174" s="0" t="s">
        <v>2122</v>
      </c>
      <c r="E174" s="0" t="n">
        <v>42</v>
      </c>
      <c r="F174" s="0" t="s">
        <v>81</v>
      </c>
      <c r="I174" s="0" t="n">
        <v>30701</v>
      </c>
      <c r="J174" s="0" t="n">
        <v>37361</v>
      </c>
      <c r="K174" s="0" t="n">
        <v>2240817</v>
      </c>
      <c r="L174" s="0" t="s">
        <v>2124</v>
      </c>
      <c r="N174" s="0" t="n">
        <v>30</v>
      </c>
      <c r="O174" s="60" t="n">
        <v>60</v>
      </c>
    </row>
    <row r="175" customFormat="false" ht="15" hidden="false" customHeight="false" outlineLevel="0" collapsed="false">
      <c r="A175" s="0" t="n">
        <v>3</v>
      </c>
      <c r="B175" s="59" t="n">
        <v>46206</v>
      </c>
      <c r="C175" s="0" t="n">
        <v>2</v>
      </c>
      <c r="D175" s="0" t="s">
        <v>2122</v>
      </c>
      <c r="E175" s="0" t="n">
        <v>42</v>
      </c>
      <c r="F175" s="0" t="s">
        <v>81</v>
      </c>
      <c r="I175" s="0" t="n">
        <v>30702</v>
      </c>
      <c r="J175" s="0" t="n">
        <v>100062</v>
      </c>
      <c r="K175" s="0" t="n">
        <v>63</v>
      </c>
      <c r="L175" s="0" t="s">
        <v>2259</v>
      </c>
      <c r="N175" s="0" t="n">
        <v>10.75</v>
      </c>
      <c r="O175" s="60" t="n">
        <v>129</v>
      </c>
    </row>
    <row r="176" customFormat="false" ht="15" hidden="false" customHeight="false" outlineLevel="0" collapsed="false">
      <c r="A176" s="0" t="n">
        <v>3</v>
      </c>
      <c r="B176" s="59" t="n">
        <v>46206</v>
      </c>
      <c r="C176" s="0" t="n">
        <v>2</v>
      </c>
      <c r="D176" s="0" t="s">
        <v>2122</v>
      </c>
      <c r="E176" s="0" t="n">
        <v>42</v>
      </c>
      <c r="F176" s="0" t="s">
        <v>81</v>
      </c>
      <c r="I176" s="0" t="n">
        <v>30702</v>
      </c>
      <c r="J176" s="0" t="n">
        <v>100104</v>
      </c>
      <c r="K176" s="0" t="n">
        <v>105</v>
      </c>
      <c r="L176" s="0" t="s">
        <v>2260</v>
      </c>
      <c r="N176" s="0" t="n">
        <v>4</v>
      </c>
      <c r="O176" s="60" t="n">
        <v>28</v>
      </c>
    </row>
    <row r="177" customFormat="false" ht="15" hidden="false" customHeight="false" outlineLevel="0" collapsed="false">
      <c r="A177" s="0" t="n">
        <v>3</v>
      </c>
      <c r="B177" s="59" t="n">
        <v>46206</v>
      </c>
      <c r="C177" s="0" t="n">
        <v>2</v>
      </c>
      <c r="D177" s="0" t="s">
        <v>2122</v>
      </c>
      <c r="E177" s="0" t="n">
        <v>42</v>
      </c>
      <c r="F177" s="0" t="s">
        <v>81</v>
      </c>
      <c r="I177" s="0" t="n">
        <v>30702</v>
      </c>
      <c r="J177" s="0" t="n">
        <v>100109</v>
      </c>
      <c r="K177" s="0" t="n">
        <v>110</v>
      </c>
      <c r="L177" s="0" t="s">
        <v>2261</v>
      </c>
      <c r="N177" s="0" t="n">
        <v>40</v>
      </c>
      <c r="O177" s="60" t="n">
        <v>280</v>
      </c>
    </row>
    <row r="178" customFormat="false" ht="15" hidden="false" customHeight="false" outlineLevel="0" collapsed="false">
      <c r="A178" s="0" t="n">
        <v>3</v>
      </c>
      <c r="B178" s="59" t="n">
        <v>46206</v>
      </c>
      <c r="C178" s="0" t="n">
        <v>2</v>
      </c>
      <c r="D178" s="0" t="s">
        <v>2122</v>
      </c>
      <c r="E178" s="0" t="n">
        <v>42</v>
      </c>
      <c r="F178" s="0" t="s">
        <v>81</v>
      </c>
      <c r="I178" s="0" t="n">
        <v>30702</v>
      </c>
      <c r="J178" s="0" t="n">
        <v>100110</v>
      </c>
      <c r="K178" s="0" t="n">
        <v>111</v>
      </c>
      <c r="L178" s="0" t="s">
        <v>2262</v>
      </c>
      <c r="N178" s="0" t="n">
        <v>10</v>
      </c>
      <c r="O178" s="60" t="n">
        <v>130</v>
      </c>
    </row>
    <row r="179" customFormat="false" ht="15" hidden="false" customHeight="false" outlineLevel="0" collapsed="false">
      <c r="A179" s="0" t="n">
        <v>3</v>
      </c>
      <c r="B179" s="59" t="n">
        <v>46206</v>
      </c>
      <c r="C179" s="0" t="n">
        <v>2</v>
      </c>
      <c r="D179" s="0" t="s">
        <v>2122</v>
      </c>
      <c r="E179" s="0" t="n">
        <v>42</v>
      </c>
      <c r="F179" s="0" t="s">
        <v>81</v>
      </c>
      <c r="I179" s="0" t="n">
        <v>30702</v>
      </c>
      <c r="J179" s="0" t="n">
        <v>100112</v>
      </c>
      <c r="K179" s="0" t="n">
        <v>113</v>
      </c>
      <c r="L179" s="0" t="s">
        <v>2263</v>
      </c>
      <c r="N179" s="0" t="n">
        <v>33.9</v>
      </c>
      <c r="O179" s="60" t="n">
        <v>135</v>
      </c>
    </row>
    <row r="180" customFormat="false" ht="15" hidden="false" customHeight="false" outlineLevel="0" collapsed="false">
      <c r="A180" s="0" t="n">
        <v>3</v>
      </c>
      <c r="B180" s="59" t="n">
        <v>46206</v>
      </c>
      <c r="C180" s="0" t="n">
        <v>2</v>
      </c>
      <c r="D180" s="0" t="s">
        <v>2122</v>
      </c>
      <c r="E180" s="0" t="n">
        <v>42</v>
      </c>
      <c r="F180" s="0" t="s">
        <v>81</v>
      </c>
      <c r="I180" s="0" t="n">
        <v>30702</v>
      </c>
      <c r="J180" s="0" t="n">
        <v>100113</v>
      </c>
      <c r="K180" s="0" t="n">
        <v>114</v>
      </c>
      <c r="L180" s="0" t="s">
        <v>2264</v>
      </c>
      <c r="N180" s="0" t="n">
        <v>40</v>
      </c>
      <c r="O180" s="60" t="n">
        <v>180</v>
      </c>
    </row>
    <row r="181" customFormat="false" ht="15" hidden="false" customHeight="false" outlineLevel="0" collapsed="false">
      <c r="A181" s="0" t="n">
        <v>3</v>
      </c>
      <c r="B181" s="59" t="n">
        <v>46206</v>
      </c>
      <c r="C181" s="0" t="n">
        <v>2</v>
      </c>
      <c r="D181" s="0" t="s">
        <v>2122</v>
      </c>
      <c r="E181" s="0" t="n">
        <v>42</v>
      </c>
      <c r="F181" s="0" t="s">
        <v>81</v>
      </c>
      <c r="I181" s="0" t="n">
        <v>30702</v>
      </c>
      <c r="J181" s="0" t="n">
        <v>100115</v>
      </c>
      <c r="K181" s="0" t="n">
        <v>116</v>
      </c>
      <c r="L181" s="0" t="s">
        <v>2265</v>
      </c>
      <c r="N181" s="0" t="n">
        <v>15</v>
      </c>
      <c r="O181" s="60" t="n">
        <v>105</v>
      </c>
    </row>
    <row r="182" customFormat="false" ht="15" hidden="false" customHeight="false" outlineLevel="0" collapsed="false">
      <c r="A182" s="0" t="n">
        <v>3</v>
      </c>
      <c r="B182" s="59" t="n">
        <v>46206</v>
      </c>
      <c r="C182" s="0" t="n">
        <v>2</v>
      </c>
      <c r="D182" s="0" t="s">
        <v>2122</v>
      </c>
      <c r="E182" s="0" t="n">
        <v>42</v>
      </c>
      <c r="F182" s="0" t="s">
        <v>81</v>
      </c>
      <c r="I182" s="0" t="n">
        <v>30702</v>
      </c>
      <c r="J182" s="0" t="n">
        <v>100116</v>
      </c>
      <c r="K182" s="0" t="n">
        <v>117</v>
      </c>
      <c r="L182" s="0" t="s">
        <v>2266</v>
      </c>
      <c r="N182" s="0" t="n">
        <v>4</v>
      </c>
      <c r="O182" s="60" t="n">
        <v>40</v>
      </c>
    </row>
    <row r="183" customFormat="false" ht="15" hidden="false" customHeight="false" outlineLevel="0" collapsed="false">
      <c r="A183" s="0" t="n">
        <v>3</v>
      </c>
      <c r="B183" s="59" t="n">
        <v>46206</v>
      </c>
      <c r="C183" s="0" t="n">
        <v>2</v>
      </c>
      <c r="D183" s="0" t="s">
        <v>2122</v>
      </c>
      <c r="E183" s="0" t="n">
        <v>42</v>
      </c>
      <c r="F183" s="0" t="s">
        <v>81</v>
      </c>
      <c r="I183" s="0" t="n">
        <v>30702</v>
      </c>
      <c r="J183" s="0" t="n">
        <v>100118</v>
      </c>
      <c r="K183" s="0" t="n">
        <v>119</v>
      </c>
      <c r="L183" s="0" t="s">
        <v>2267</v>
      </c>
      <c r="N183" s="0" t="n">
        <v>5</v>
      </c>
      <c r="O183" s="60" t="n">
        <v>20</v>
      </c>
    </row>
    <row r="184" customFormat="false" ht="15" hidden="false" customHeight="false" outlineLevel="0" collapsed="false">
      <c r="A184" s="0" t="n">
        <v>3</v>
      </c>
      <c r="B184" s="59" t="n">
        <v>46206</v>
      </c>
      <c r="C184" s="0" t="n">
        <v>2</v>
      </c>
      <c r="D184" s="0" t="s">
        <v>2122</v>
      </c>
      <c r="E184" s="0" t="n">
        <v>42</v>
      </c>
      <c r="F184" s="0" t="s">
        <v>81</v>
      </c>
      <c r="I184" s="0" t="n">
        <v>30702</v>
      </c>
      <c r="J184" s="0" t="n">
        <v>100123</v>
      </c>
      <c r="K184" s="0" t="n">
        <v>124</v>
      </c>
      <c r="L184" s="0" t="s">
        <v>2268</v>
      </c>
      <c r="N184" s="0" t="n">
        <v>2</v>
      </c>
      <c r="O184" s="60" t="n">
        <v>20</v>
      </c>
    </row>
    <row r="185" customFormat="false" ht="15" hidden="false" customHeight="false" outlineLevel="0" collapsed="false">
      <c r="A185" s="0" t="n">
        <v>3</v>
      </c>
      <c r="B185" s="59" t="n">
        <v>46206</v>
      </c>
      <c r="C185" s="0" t="n">
        <v>2</v>
      </c>
      <c r="D185" s="0" t="s">
        <v>2122</v>
      </c>
      <c r="E185" s="0" t="n">
        <v>42</v>
      </c>
      <c r="F185" s="0" t="s">
        <v>81</v>
      </c>
      <c r="I185" s="0" t="n">
        <v>30702</v>
      </c>
      <c r="J185" s="0" t="n">
        <v>100124</v>
      </c>
      <c r="K185" s="0" t="n">
        <v>125</v>
      </c>
      <c r="L185" s="0" t="s">
        <v>2269</v>
      </c>
      <c r="N185" s="0" t="n">
        <v>8.9</v>
      </c>
      <c r="O185" s="60" t="n">
        <v>80</v>
      </c>
    </row>
    <row r="186" customFormat="false" ht="15" hidden="false" customHeight="false" outlineLevel="0" collapsed="false">
      <c r="A186" s="0" t="n">
        <v>3</v>
      </c>
      <c r="B186" s="59" t="n">
        <v>46206</v>
      </c>
      <c r="C186" s="0" t="n">
        <v>2</v>
      </c>
      <c r="D186" s="0" t="s">
        <v>2122</v>
      </c>
      <c r="E186" s="0" t="n">
        <v>42</v>
      </c>
      <c r="F186" s="0" t="s">
        <v>81</v>
      </c>
      <c r="I186" s="0" t="n">
        <v>30702</v>
      </c>
      <c r="J186" s="0" t="n">
        <v>100132</v>
      </c>
      <c r="K186" s="0" t="n">
        <v>133</v>
      </c>
      <c r="L186" s="0" t="s">
        <v>2270</v>
      </c>
      <c r="N186" s="0" t="n">
        <v>61.196</v>
      </c>
      <c r="O186" s="60" t="n">
        <v>224</v>
      </c>
    </row>
    <row r="187" customFormat="false" ht="15" hidden="false" customHeight="false" outlineLevel="0" collapsed="false">
      <c r="A187" s="0" t="n">
        <v>3</v>
      </c>
      <c r="B187" s="59" t="n">
        <v>46206</v>
      </c>
      <c r="C187" s="0" t="n">
        <v>2</v>
      </c>
      <c r="D187" s="0" t="s">
        <v>2122</v>
      </c>
      <c r="E187" s="0" t="n">
        <v>42</v>
      </c>
      <c r="F187" s="0" t="s">
        <v>81</v>
      </c>
      <c r="I187" s="0" t="n">
        <v>30702</v>
      </c>
      <c r="J187" s="0" t="n">
        <v>100133</v>
      </c>
      <c r="K187" s="0" t="n">
        <v>134</v>
      </c>
      <c r="L187" s="0" t="s">
        <v>2271</v>
      </c>
      <c r="N187" s="0" t="n">
        <v>10</v>
      </c>
      <c r="O187" s="60" t="n">
        <v>50</v>
      </c>
    </row>
    <row r="188" customFormat="false" ht="15" hidden="false" customHeight="false" outlineLevel="0" collapsed="false">
      <c r="A188" s="0" t="n">
        <v>3</v>
      </c>
      <c r="B188" s="59" t="n">
        <v>46206</v>
      </c>
      <c r="C188" s="0" t="n">
        <v>2</v>
      </c>
      <c r="D188" s="0" t="s">
        <v>2122</v>
      </c>
      <c r="E188" s="0" t="n">
        <v>42</v>
      </c>
      <c r="F188" s="0" t="s">
        <v>81</v>
      </c>
      <c r="I188" s="0" t="n">
        <v>30702</v>
      </c>
      <c r="J188" s="0" t="n">
        <v>100148</v>
      </c>
      <c r="K188" s="0" t="n">
        <v>149</v>
      </c>
      <c r="L188" s="0" t="s">
        <v>2272</v>
      </c>
      <c r="N188" s="0" t="n">
        <v>6.2</v>
      </c>
      <c r="O188" s="60" t="n">
        <v>74</v>
      </c>
    </row>
    <row r="189" customFormat="false" ht="15" hidden="false" customHeight="false" outlineLevel="0" collapsed="false">
      <c r="A189" s="0" t="n">
        <v>3</v>
      </c>
      <c r="B189" s="59" t="n">
        <v>46206</v>
      </c>
      <c r="C189" s="0" t="n">
        <v>2</v>
      </c>
      <c r="D189" s="0" t="s">
        <v>2122</v>
      </c>
      <c r="E189" s="0" t="n">
        <v>42</v>
      </c>
      <c r="F189" s="0" t="s">
        <v>81</v>
      </c>
      <c r="I189" s="0" t="n">
        <v>30702</v>
      </c>
      <c r="J189" s="0" t="n">
        <v>110142</v>
      </c>
      <c r="K189" s="0" t="n">
        <v>16699</v>
      </c>
      <c r="L189" s="0" t="s">
        <v>2273</v>
      </c>
      <c r="N189" s="0" t="n">
        <v>20</v>
      </c>
      <c r="O189" s="60" t="n">
        <v>120</v>
      </c>
    </row>
    <row r="190" customFormat="false" ht="15" hidden="false" customHeight="false" outlineLevel="0" collapsed="false">
      <c r="A190" s="0" t="n">
        <v>3</v>
      </c>
      <c r="B190" s="59" t="n">
        <v>46206</v>
      </c>
      <c r="C190" s="0" t="n">
        <v>2</v>
      </c>
      <c r="D190" s="0" t="s">
        <v>2122</v>
      </c>
      <c r="E190" s="0" t="n">
        <v>42</v>
      </c>
      <c r="F190" s="0" t="s">
        <v>81</v>
      </c>
      <c r="I190" s="0" t="n">
        <v>30703</v>
      </c>
      <c r="J190" s="0" t="n">
        <v>100103</v>
      </c>
      <c r="K190" s="0" t="n">
        <v>104</v>
      </c>
      <c r="L190" s="0" t="s">
        <v>2193</v>
      </c>
      <c r="N190" s="0" t="n">
        <v>40</v>
      </c>
      <c r="O190" s="60" t="n">
        <v>240</v>
      </c>
    </row>
    <row r="191" customFormat="false" ht="15" hidden="false" customHeight="false" outlineLevel="0" collapsed="false">
      <c r="A191" s="0" t="n">
        <v>3</v>
      </c>
      <c r="B191" s="59" t="n">
        <v>46206</v>
      </c>
      <c r="C191" s="0" t="n">
        <v>6</v>
      </c>
      <c r="D191" s="0" t="s">
        <v>2125</v>
      </c>
      <c r="E191" s="0" t="n">
        <v>42</v>
      </c>
      <c r="F191" s="0" t="s">
        <v>81</v>
      </c>
      <c r="I191" s="0" t="n">
        <v>4347</v>
      </c>
      <c r="J191" s="0" t="n">
        <v>109791</v>
      </c>
      <c r="K191" s="0" t="n">
        <v>9667</v>
      </c>
      <c r="L191" s="0" t="s">
        <v>2123</v>
      </c>
      <c r="N191" s="0" t="n">
        <v>8</v>
      </c>
      <c r="O191" s="60" t="n">
        <v>20</v>
      </c>
    </row>
    <row r="192" customFormat="false" ht="15" hidden="false" customHeight="false" outlineLevel="0" collapsed="false">
      <c r="A192" s="0" t="n">
        <v>3</v>
      </c>
      <c r="B192" s="59" t="n">
        <v>46206</v>
      </c>
      <c r="C192" s="0" t="n">
        <v>6</v>
      </c>
      <c r="D192" s="0" t="s">
        <v>2125</v>
      </c>
      <c r="E192" s="0" t="n">
        <v>42</v>
      </c>
      <c r="F192" s="0" t="s">
        <v>81</v>
      </c>
      <c r="I192" s="0" t="n">
        <v>4347</v>
      </c>
      <c r="J192" s="0" t="n">
        <v>37359</v>
      </c>
      <c r="K192" s="0" t="n">
        <v>55526</v>
      </c>
      <c r="L192" s="0" t="s">
        <v>2194</v>
      </c>
      <c r="N192" s="0" t="n">
        <v>5</v>
      </c>
      <c r="O192" s="60" t="n">
        <v>30</v>
      </c>
    </row>
    <row r="193" customFormat="false" ht="15" hidden="false" customHeight="false" outlineLevel="0" collapsed="false">
      <c r="A193" s="0" t="n">
        <v>3</v>
      </c>
      <c r="B193" s="59" t="n">
        <v>46206</v>
      </c>
      <c r="C193" s="0" t="n">
        <v>6</v>
      </c>
      <c r="D193" s="0" t="s">
        <v>2125</v>
      </c>
      <c r="E193" s="0" t="n">
        <v>42</v>
      </c>
      <c r="F193" s="0" t="s">
        <v>81</v>
      </c>
      <c r="I193" s="0" t="n">
        <v>4347</v>
      </c>
      <c r="J193" s="0" t="n">
        <v>37361</v>
      </c>
      <c r="K193" s="0" t="n">
        <v>2240817</v>
      </c>
      <c r="L193" s="0" t="s">
        <v>2124</v>
      </c>
      <c r="N193" s="0" t="n">
        <v>30</v>
      </c>
      <c r="O193" s="60" t="n">
        <v>60</v>
      </c>
    </row>
    <row r="194" customFormat="false" ht="15" hidden="false" customHeight="false" outlineLevel="0" collapsed="false">
      <c r="A194" s="0" t="n">
        <v>3</v>
      </c>
      <c r="B194" s="59" t="n">
        <v>46206</v>
      </c>
      <c r="C194" s="0" t="n">
        <v>6</v>
      </c>
      <c r="D194" s="0" t="s">
        <v>2125</v>
      </c>
      <c r="E194" s="0" t="n">
        <v>42</v>
      </c>
      <c r="F194" s="0" t="s">
        <v>81</v>
      </c>
      <c r="I194" s="0" t="n">
        <v>4348</v>
      </c>
      <c r="J194" s="0" t="n">
        <v>100062</v>
      </c>
      <c r="K194" s="0" t="n">
        <v>63</v>
      </c>
      <c r="L194" s="0" t="s">
        <v>2259</v>
      </c>
      <c r="N194" s="0" t="n">
        <v>10.75</v>
      </c>
      <c r="O194" s="60" t="n">
        <v>129</v>
      </c>
    </row>
    <row r="195" customFormat="false" ht="15" hidden="false" customHeight="false" outlineLevel="0" collapsed="false">
      <c r="A195" s="0" t="n">
        <v>3</v>
      </c>
      <c r="B195" s="59" t="n">
        <v>46206</v>
      </c>
      <c r="C195" s="0" t="n">
        <v>6</v>
      </c>
      <c r="D195" s="0" t="s">
        <v>2125</v>
      </c>
      <c r="E195" s="0" t="n">
        <v>42</v>
      </c>
      <c r="F195" s="0" t="s">
        <v>81</v>
      </c>
      <c r="I195" s="0" t="n">
        <v>4348</v>
      </c>
      <c r="J195" s="0" t="n">
        <v>100104</v>
      </c>
      <c r="K195" s="0" t="n">
        <v>105</v>
      </c>
      <c r="L195" s="0" t="s">
        <v>2260</v>
      </c>
      <c r="N195" s="0" t="n">
        <v>4</v>
      </c>
      <c r="O195" s="60" t="n">
        <v>28</v>
      </c>
    </row>
    <row r="196" customFormat="false" ht="15" hidden="false" customHeight="false" outlineLevel="0" collapsed="false">
      <c r="A196" s="0" t="n">
        <v>3</v>
      </c>
      <c r="B196" s="59" t="n">
        <v>46206</v>
      </c>
      <c r="C196" s="0" t="n">
        <v>6</v>
      </c>
      <c r="D196" s="0" t="s">
        <v>2125</v>
      </c>
      <c r="E196" s="0" t="n">
        <v>42</v>
      </c>
      <c r="F196" s="0" t="s">
        <v>81</v>
      </c>
      <c r="I196" s="0" t="n">
        <v>4348</v>
      </c>
      <c r="J196" s="0" t="n">
        <v>100109</v>
      </c>
      <c r="K196" s="0" t="n">
        <v>110</v>
      </c>
      <c r="L196" s="0" t="s">
        <v>2261</v>
      </c>
      <c r="N196" s="0" t="n">
        <v>40</v>
      </c>
      <c r="O196" s="60" t="n">
        <v>280</v>
      </c>
    </row>
    <row r="197" customFormat="false" ht="15" hidden="false" customHeight="false" outlineLevel="0" collapsed="false">
      <c r="A197" s="0" t="n">
        <v>3</v>
      </c>
      <c r="B197" s="59" t="n">
        <v>46206</v>
      </c>
      <c r="C197" s="0" t="n">
        <v>6</v>
      </c>
      <c r="D197" s="0" t="s">
        <v>2125</v>
      </c>
      <c r="E197" s="0" t="n">
        <v>42</v>
      </c>
      <c r="F197" s="0" t="s">
        <v>81</v>
      </c>
      <c r="I197" s="0" t="n">
        <v>4348</v>
      </c>
      <c r="J197" s="0" t="n">
        <v>100110</v>
      </c>
      <c r="K197" s="0" t="n">
        <v>111</v>
      </c>
      <c r="L197" s="0" t="s">
        <v>2262</v>
      </c>
      <c r="N197" s="0" t="n">
        <v>10</v>
      </c>
      <c r="O197" s="60" t="n">
        <v>130</v>
      </c>
    </row>
    <row r="198" customFormat="false" ht="15" hidden="false" customHeight="false" outlineLevel="0" collapsed="false">
      <c r="A198" s="0" t="n">
        <v>3</v>
      </c>
      <c r="B198" s="59" t="n">
        <v>46206</v>
      </c>
      <c r="C198" s="0" t="n">
        <v>6</v>
      </c>
      <c r="D198" s="0" t="s">
        <v>2125</v>
      </c>
      <c r="E198" s="0" t="n">
        <v>42</v>
      </c>
      <c r="F198" s="0" t="s">
        <v>81</v>
      </c>
      <c r="I198" s="0" t="n">
        <v>4348</v>
      </c>
      <c r="J198" s="0" t="n">
        <v>100112</v>
      </c>
      <c r="K198" s="0" t="n">
        <v>113</v>
      </c>
      <c r="L198" s="0" t="s">
        <v>2263</v>
      </c>
      <c r="N198" s="0" t="n">
        <v>33.9</v>
      </c>
      <c r="O198" s="60" t="n">
        <v>135</v>
      </c>
    </row>
    <row r="199" customFormat="false" ht="15" hidden="false" customHeight="false" outlineLevel="0" collapsed="false">
      <c r="A199" s="0" t="n">
        <v>3</v>
      </c>
      <c r="B199" s="59" t="n">
        <v>46206</v>
      </c>
      <c r="C199" s="0" t="n">
        <v>6</v>
      </c>
      <c r="D199" s="0" t="s">
        <v>2125</v>
      </c>
      <c r="E199" s="0" t="n">
        <v>42</v>
      </c>
      <c r="F199" s="0" t="s">
        <v>81</v>
      </c>
      <c r="I199" s="0" t="n">
        <v>4348</v>
      </c>
      <c r="J199" s="0" t="n">
        <v>100113</v>
      </c>
      <c r="K199" s="0" t="n">
        <v>114</v>
      </c>
      <c r="L199" s="0" t="s">
        <v>2264</v>
      </c>
      <c r="N199" s="0" t="n">
        <v>40</v>
      </c>
      <c r="O199" s="60" t="n">
        <v>180</v>
      </c>
    </row>
    <row r="200" customFormat="false" ht="15" hidden="false" customHeight="false" outlineLevel="0" collapsed="false">
      <c r="A200" s="0" t="n">
        <v>3</v>
      </c>
      <c r="B200" s="59" t="n">
        <v>46206</v>
      </c>
      <c r="C200" s="0" t="n">
        <v>6</v>
      </c>
      <c r="D200" s="0" t="s">
        <v>2125</v>
      </c>
      <c r="E200" s="0" t="n">
        <v>42</v>
      </c>
      <c r="F200" s="0" t="s">
        <v>81</v>
      </c>
      <c r="I200" s="0" t="n">
        <v>4348</v>
      </c>
      <c r="J200" s="0" t="n">
        <v>100115</v>
      </c>
      <c r="K200" s="0" t="n">
        <v>116</v>
      </c>
      <c r="L200" s="0" t="s">
        <v>2265</v>
      </c>
      <c r="N200" s="0" t="n">
        <v>15</v>
      </c>
      <c r="O200" s="60" t="n">
        <v>105</v>
      </c>
    </row>
    <row r="201" customFormat="false" ht="15" hidden="false" customHeight="false" outlineLevel="0" collapsed="false">
      <c r="A201" s="0" t="n">
        <v>3</v>
      </c>
      <c r="B201" s="59" t="n">
        <v>46206</v>
      </c>
      <c r="C201" s="0" t="n">
        <v>6</v>
      </c>
      <c r="D201" s="0" t="s">
        <v>2125</v>
      </c>
      <c r="E201" s="0" t="n">
        <v>42</v>
      </c>
      <c r="F201" s="0" t="s">
        <v>81</v>
      </c>
      <c r="I201" s="0" t="n">
        <v>4348</v>
      </c>
      <c r="J201" s="0" t="n">
        <v>100116</v>
      </c>
      <c r="K201" s="0" t="n">
        <v>117</v>
      </c>
      <c r="L201" s="0" t="s">
        <v>2266</v>
      </c>
      <c r="N201" s="0" t="n">
        <v>4</v>
      </c>
      <c r="O201" s="60" t="n">
        <v>40</v>
      </c>
    </row>
    <row r="202" customFormat="false" ht="15" hidden="false" customHeight="false" outlineLevel="0" collapsed="false">
      <c r="A202" s="0" t="n">
        <v>3</v>
      </c>
      <c r="B202" s="59" t="n">
        <v>46206</v>
      </c>
      <c r="C202" s="0" t="n">
        <v>6</v>
      </c>
      <c r="D202" s="0" t="s">
        <v>2125</v>
      </c>
      <c r="E202" s="0" t="n">
        <v>42</v>
      </c>
      <c r="F202" s="0" t="s">
        <v>81</v>
      </c>
      <c r="I202" s="0" t="n">
        <v>4348</v>
      </c>
      <c r="J202" s="0" t="n">
        <v>100118</v>
      </c>
      <c r="K202" s="0" t="n">
        <v>119</v>
      </c>
      <c r="L202" s="0" t="s">
        <v>2267</v>
      </c>
      <c r="N202" s="0" t="n">
        <v>5</v>
      </c>
      <c r="O202" s="60" t="n">
        <v>20</v>
      </c>
    </row>
    <row r="203" customFormat="false" ht="15" hidden="false" customHeight="false" outlineLevel="0" collapsed="false">
      <c r="A203" s="0" t="n">
        <v>3</v>
      </c>
      <c r="B203" s="59" t="n">
        <v>46206</v>
      </c>
      <c r="C203" s="0" t="n">
        <v>6</v>
      </c>
      <c r="D203" s="0" t="s">
        <v>2125</v>
      </c>
      <c r="E203" s="0" t="n">
        <v>42</v>
      </c>
      <c r="F203" s="0" t="s">
        <v>81</v>
      </c>
      <c r="I203" s="0" t="n">
        <v>4348</v>
      </c>
      <c r="J203" s="0" t="n">
        <v>100123</v>
      </c>
      <c r="K203" s="0" t="n">
        <v>124</v>
      </c>
      <c r="L203" s="0" t="s">
        <v>2268</v>
      </c>
      <c r="N203" s="0" t="n">
        <v>2</v>
      </c>
      <c r="O203" s="60" t="n">
        <v>20</v>
      </c>
    </row>
    <row r="204" customFormat="false" ht="15" hidden="false" customHeight="false" outlineLevel="0" collapsed="false">
      <c r="A204" s="0" t="n">
        <v>3</v>
      </c>
      <c r="B204" s="59" t="n">
        <v>46206</v>
      </c>
      <c r="C204" s="0" t="n">
        <v>6</v>
      </c>
      <c r="D204" s="0" t="s">
        <v>2125</v>
      </c>
      <c r="E204" s="0" t="n">
        <v>42</v>
      </c>
      <c r="F204" s="0" t="s">
        <v>81</v>
      </c>
      <c r="I204" s="0" t="n">
        <v>4348</v>
      </c>
      <c r="J204" s="0" t="n">
        <v>100124</v>
      </c>
      <c r="K204" s="0" t="n">
        <v>125</v>
      </c>
      <c r="L204" s="0" t="s">
        <v>2269</v>
      </c>
      <c r="N204" s="0" t="n">
        <v>8.9</v>
      </c>
      <c r="O204" s="60" t="n">
        <v>80</v>
      </c>
    </row>
    <row r="205" customFormat="false" ht="15" hidden="false" customHeight="false" outlineLevel="0" collapsed="false">
      <c r="A205" s="0" t="n">
        <v>3</v>
      </c>
      <c r="B205" s="59" t="n">
        <v>46206</v>
      </c>
      <c r="C205" s="0" t="n">
        <v>6</v>
      </c>
      <c r="D205" s="0" t="s">
        <v>2125</v>
      </c>
      <c r="E205" s="0" t="n">
        <v>42</v>
      </c>
      <c r="F205" s="0" t="s">
        <v>81</v>
      </c>
      <c r="I205" s="0" t="n">
        <v>4348</v>
      </c>
      <c r="J205" s="0" t="n">
        <v>100132</v>
      </c>
      <c r="K205" s="0" t="n">
        <v>133</v>
      </c>
      <c r="L205" s="0" t="s">
        <v>2270</v>
      </c>
      <c r="N205" s="0" t="n">
        <v>61.196</v>
      </c>
      <c r="O205" s="60" t="n">
        <v>224</v>
      </c>
    </row>
    <row r="206" customFormat="false" ht="15" hidden="false" customHeight="false" outlineLevel="0" collapsed="false">
      <c r="A206" s="0" t="n">
        <v>3</v>
      </c>
      <c r="B206" s="59" t="n">
        <v>46206</v>
      </c>
      <c r="C206" s="0" t="n">
        <v>6</v>
      </c>
      <c r="D206" s="0" t="s">
        <v>2125</v>
      </c>
      <c r="E206" s="0" t="n">
        <v>42</v>
      </c>
      <c r="F206" s="0" t="s">
        <v>81</v>
      </c>
      <c r="I206" s="0" t="n">
        <v>4348</v>
      </c>
      <c r="J206" s="0" t="n">
        <v>100133</v>
      </c>
      <c r="K206" s="0" t="n">
        <v>134</v>
      </c>
      <c r="L206" s="0" t="s">
        <v>2271</v>
      </c>
      <c r="N206" s="0" t="n">
        <v>10</v>
      </c>
      <c r="O206" s="60" t="n">
        <v>50</v>
      </c>
    </row>
    <row r="207" customFormat="false" ht="15" hidden="false" customHeight="false" outlineLevel="0" collapsed="false">
      <c r="A207" s="0" t="n">
        <v>3</v>
      </c>
      <c r="B207" s="59" t="n">
        <v>46206</v>
      </c>
      <c r="C207" s="0" t="n">
        <v>6</v>
      </c>
      <c r="D207" s="0" t="s">
        <v>2125</v>
      </c>
      <c r="E207" s="0" t="n">
        <v>42</v>
      </c>
      <c r="F207" s="0" t="s">
        <v>81</v>
      </c>
      <c r="I207" s="0" t="n">
        <v>4348</v>
      </c>
      <c r="J207" s="0" t="n">
        <v>100148</v>
      </c>
      <c r="K207" s="0" t="n">
        <v>149</v>
      </c>
      <c r="L207" s="0" t="s">
        <v>2272</v>
      </c>
      <c r="N207" s="0" t="n">
        <v>6.2</v>
      </c>
      <c r="O207" s="60" t="n">
        <v>74</v>
      </c>
    </row>
    <row r="208" customFormat="false" ht="15" hidden="false" customHeight="false" outlineLevel="0" collapsed="false">
      <c r="A208" s="0" t="n">
        <v>3</v>
      </c>
      <c r="B208" s="59" t="n">
        <v>46206</v>
      </c>
      <c r="C208" s="0" t="n">
        <v>6</v>
      </c>
      <c r="D208" s="0" t="s">
        <v>2125</v>
      </c>
      <c r="E208" s="0" t="n">
        <v>42</v>
      </c>
      <c r="F208" s="0" t="s">
        <v>81</v>
      </c>
      <c r="I208" s="0" t="n">
        <v>4348</v>
      </c>
      <c r="J208" s="0" t="n">
        <v>110142</v>
      </c>
      <c r="K208" s="0" t="n">
        <v>16699</v>
      </c>
      <c r="L208" s="0" t="s">
        <v>2273</v>
      </c>
      <c r="N208" s="0" t="n">
        <v>20</v>
      </c>
      <c r="O208" s="60" t="n">
        <v>120</v>
      </c>
    </row>
    <row r="209" customFormat="false" ht="15" hidden="false" customHeight="false" outlineLevel="0" collapsed="false">
      <c r="A209" s="0" t="n">
        <v>3</v>
      </c>
      <c r="B209" s="59" t="n">
        <v>46206</v>
      </c>
      <c r="C209" s="0" t="n">
        <v>6</v>
      </c>
      <c r="D209" s="0" t="s">
        <v>2125</v>
      </c>
      <c r="E209" s="0" t="n">
        <v>42</v>
      </c>
      <c r="F209" s="0" t="s">
        <v>81</v>
      </c>
      <c r="I209" s="0" t="n">
        <v>4349</v>
      </c>
      <c r="J209" s="0" t="n">
        <v>100103</v>
      </c>
      <c r="K209" s="0" t="n">
        <v>104</v>
      </c>
      <c r="L209" s="0" t="s">
        <v>2193</v>
      </c>
      <c r="N209" s="0" t="n">
        <v>40</v>
      </c>
      <c r="O209" s="60" t="n">
        <v>240</v>
      </c>
    </row>
    <row r="210" customFormat="false" ht="15" hidden="false" customHeight="false" outlineLevel="0" collapsed="false">
      <c r="A210" s="0" t="n">
        <v>3</v>
      </c>
      <c r="B210" s="59" t="n">
        <v>46206</v>
      </c>
      <c r="C210" s="0" t="n">
        <v>11</v>
      </c>
      <c r="D210" s="0" t="s">
        <v>2126</v>
      </c>
      <c r="E210" s="0" t="n">
        <v>10088</v>
      </c>
      <c r="F210" s="0" t="s">
        <v>1079</v>
      </c>
      <c r="I210" s="0" t="n">
        <v>4</v>
      </c>
      <c r="J210" s="0" t="n">
        <v>81626</v>
      </c>
      <c r="K210" s="0" t="n">
        <v>2024199720066</v>
      </c>
      <c r="L210" s="0" t="s">
        <v>2274</v>
      </c>
      <c r="N210" s="0" t="n">
        <v>50</v>
      </c>
      <c r="O210" s="60" t="n">
        <v>90</v>
      </c>
    </row>
    <row r="211" customFormat="false" ht="15" hidden="false" customHeight="false" outlineLevel="0" collapsed="false">
      <c r="A211" s="0" t="n">
        <v>3</v>
      </c>
      <c r="B211" s="59" t="n">
        <v>46206</v>
      </c>
      <c r="C211" s="0" t="n">
        <v>11</v>
      </c>
      <c r="D211" s="0" t="s">
        <v>2126</v>
      </c>
      <c r="E211" s="0" t="n">
        <v>10088</v>
      </c>
      <c r="F211" s="0" t="s">
        <v>1079</v>
      </c>
      <c r="I211" s="0" t="n">
        <v>4</v>
      </c>
      <c r="J211" s="0" t="n">
        <v>81627</v>
      </c>
      <c r="K211" s="0" t="n">
        <v>816304</v>
      </c>
      <c r="L211" s="0" t="s">
        <v>2275</v>
      </c>
      <c r="N211" s="0" t="n">
        <v>50</v>
      </c>
      <c r="O211" s="60" t="n">
        <v>90</v>
      </c>
    </row>
    <row r="212" customFormat="false" ht="15" hidden="false" customHeight="false" outlineLevel="0" collapsed="false">
      <c r="A212" s="0" t="n">
        <v>3</v>
      </c>
      <c r="B212" s="59" t="n">
        <v>46206</v>
      </c>
      <c r="C212" s="0" t="n">
        <v>11</v>
      </c>
      <c r="D212" s="0" t="s">
        <v>2126</v>
      </c>
      <c r="E212" s="0" t="n">
        <v>10088</v>
      </c>
      <c r="F212" s="0" t="s">
        <v>1079</v>
      </c>
      <c r="I212" s="0" t="n">
        <v>4</v>
      </c>
      <c r="J212" s="0" t="n">
        <v>81628</v>
      </c>
      <c r="K212" s="0" t="n">
        <v>2024199720103</v>
      </c>
      <c r="L212" s="0" t="s">
        <v>2276</v>
      </c>
      <c r="N212" s="0" t="n">
        <v>50</v>
      </c>
      <c r="O212" s="60" t="n">
        <v>90</v>
      </c>
    </row>
    <row r="213" customFormat="false" ht="15" hidden="false" customHeight="false" outlineLevel="0" collapsed="false">
      <c r="A213" s="0" t="n">
        <v>3</v>
      </c>
      <c r="B213" s="59" t="n">
        <v>46206</v>
      </c>
      <c r="C213" s="0" t="n">
        <v>11</v>
      </c>
      <c r="D213" s="0" t="s">
        <v>2126</v>
      </c>
      <c r="E213" s="0" t="n">
        <v>10088</v>
      </c>
      <c r="F213" s="0" t="s">
        <v>1079</v>
      </c>
      <c r="I213" s="0" t="n">
        <v>4</v>
      </c>
      <c r="J213" s="0" t="n">
        <v>81629</v>
      </c>
      <c r="K213" s="0" t="n">
        <v>2024199720110</v>
      </c>
      <c r="L213" s="0" t="s">
        <v>2277</v>
      </c>
      <c r="N213" s="0" t="n">
        <v>50</v>
      </c>
      <c r="O213" s="60" t="n">
        <v>90</v>
      </c>
    </row>
    <row r="214" customFormat="false" ht="15" hidden="false" customHeight="false" outlineLevel="0" collapsed="false">
      <c r="A214" s="0" t="n">
        <v>3</v>
      </c>
      <c r="B214" s="59" t="n">
        <v>46206</v>
      </c>
      <c r="C214" s="0" t="n">
        <v>11</v>
      </c>
      <c r="D214" s="0" t="s">
        <v>2126</v>
      </c>
      <c r="E214" s="0" t="n">
        <v>10088</v>
      </c>
      <c r="F214" s="0" t="s">
        <v>1079</v>
      </c>
      <c r="I214" s="0" t="n">
        <v>4</v>
      </c>
      <c r="J214" s="0" t="n">
        <v>81631</v>
      </c>
      <c r="K214" s="0" t="n">
        <v>2024199720097</v>
      </c>
      <c r="L214" s="0" t="s">
        <v>2278</v>
      </c>
      <c r="N214" s="0" t="n">
        <v>50</v>
      </c>
      <c r="O214" s="60" t="n">
        <v>90</v>
      </c>
    </row>
    <row r="215" customFormat="false" ht="15" hidden="false" customHeight="false" outlineLevel="0" collapsed="false">
      <c r="A215" s="0" t="n">
        <v>3</v>
      </c>
      <c r="B215" s="59" t="n">
        <v>46206</v>
      </c>
      <c r="C215" s="0" t="n">
        <v>11</v>
      </c>
      <c r="D215" s="0" t="s">
        <v>2126</v>
      </c>
      <c r="E215" s="0" t="n">
        <v>754</v>
      </c>
      <c r="F215" s="0" t="s">
        <v>225</v>
      </c>
      <c r="I215" s="0" t="n">
        <v>31558</v>
      </c>
      <c r="J215" s="0" t="n">
        <v>100073</v>
      </c>
      <c r="K215" s="0" t="n">
        <v>74</v>
      </c>
      <c r="L215" s="0" t="s">
        <v>2279</v>
      </c>
      <c r="N215" s="0" t="n">
        <v>100</v>
      </c>
      <c r="O215" s="60" t="n">
        <v>2190</v>
      </c>
    </row>
    <row r="216" customFormat="false" ht="15" hidden="false" customHeight="false" outlineLevel="0" collapsed="false">
      <c r="A216" s="0" t="n">
        <v>3</v>
      </c>
      <c r="B216" s="59" t="n">
        <v>46206</v>
      </c>
      <c r="C216" s="0" t="n">
        <v>11</v>
      </c>
      <c r="D216" s="0" t="s">
        <v>2126</v>
      </c>
      <c r="E216" s="0" t="n">
        <v>754</v>
      </c>
      <c r="F216" s="0" t="s">
        <v>225</v>
      </c>
      <c r="I216" s="0" t="n">
        <v>31558</v>
      </c>
      <c r="J216" s="0" t="n">
        <v>110184</v>
      </c>
      <c r="K216" s="0" t="n">
        <v>37393</v>
      </c>
      <c r="L216" s="0" t="s">
        <v>2280</v>
      </c>
      <c r="N216" s="0" t="n">
        <v>120</v>
      </c>
      <c r="O216" s="60" t="n">
        <v>1104</v>
      </c>
    </row>
    <row r="217" customFormat="false" ht="15" hidden="false" customHeight="false" outlineLevel="0" collapsed="false">
      <c r="A217" s="0" t="n">
        <v>3</v>
      </c>
      <c r="B217" s="59" t="n">
        <v>46206</v>
      </c>
      <c r="C217" s="0" t="n">
        <v>11</v>
      </c>
      <c r="D217" s="0" t="s">
        <v>2126</v>
      </c>
      <c r="E217" s="0" t="n">
        <v>1664</v>
      </c>
      <c r="F217" s="0" t="s">
        <v>1085</v>
      </c>
      <c r="I217" s="0" t="n">
        <v>78422</v>
      </c>
      <c r="J217" s="0" t="n">
        <v>30574</v>
      </c>
      <c r="K217" s="0" t="n">
        <v>7898080662668</v>
      </c>
      <c r="L217" s="0" t="s">
        <v>2281</v>
      </c>
      <c r="N217" s="0" t="n">
        <v>12</v>
      </c>
      <c r="O217" s="60" t="n">
        <v>164.88</v>
      </c>
    </row>
    <row r="218" customFormat="false" ht="15" hidden="false" customHeight="false" outlineLevel="0" collapsed="false">
      <c r="A218" s="0" t="n">
        <v>3</v>
      </c>
      <c r="B218" s="59" t="n">
        <v>46206</v>
      </c>
      <c r="C218" s="0" t="n">
        <v>11</v>
      </c>
      <c r="D218" s="0" t="s">
        <v>2126</v>
      </c>
      <c r="E218" s="0" t="n">
        <v>1664</v>
      </c>
      <c r="F218" s="0" t="s">
        <v>1085</v>
      </c>
      <c r="I218" s="0" t="n">
        <v>78422</v>
      </c>
      <c r="J218" s="0" t="n">
        <v>41169</v>
      </c>
      <c r="K218" s="0" t="n">
        <v>7898080664112</v>
      </c>
      <c r="L218" s="0" t="s">
        <v>2282</v>
      </c>
      <c r="N218" s="0" t="n">
        <v>6</v>
      </c>
      <c r="O218" s="60" t="n">
        <v>82.44</v>
      </c>
    </row>
    <row r="219" customFormat="false" ht="15" hidden="false" customHeight="false" outlineLevel="0" collapsed="false">
      <c r="A219" s="0" t="n">
        <v>3</v>
      </c>
      <c r="B219" s="59" t="n">
        <v>46206</v>
      </c>
      <c r="C219" s="0" t="n">
        <v>11</v>
      </c>
      <c r="D219" s="0" t="s">
        <v>2126</v>
      </c>
      <c r="E219" s="0" t="n">
        <v>1664</v>
      </c>
      <c r="F219" s="0" t="s">
        <v>1085</v>
      </c>
      <c r="I219" s="0" t="n">
        <v>78422</v>
      </c>
      <c r="J219" s="0" t="n">
        <v>44180</v>
      </c>
      <c r="K219" s="0" t="n">
        <v>7898080663733</v>
      </c>
      <c r="L219" s="0" t="s">
        <v>2283</v>
      </c>
      <c r="N219" s="0" t="n">
        <v>6</v>
      </c>
      <c r="O219" s="60" t="n">
        <v>41.1</v>
      </c>
    </row>
    <row r="220" customFormat="false" ht="15" hidden="false" customHeight="false" outlineLevel="0" collapsed="false">
      <c r="A220" s="0" t="n">
        <v>3</v>
      </c>
      <c r="B220" s="59" t="n">
        <v>46206</v>
      </c>
      <c r="C220" s="0" t="n">
        <v>11</v>
      </c>
      <c r="D220" s="0" t="s">
        <v>2126</v>
      </c>
      <c r="E220" s="0" t="n">
        <v>1664</v>
      </c>
      <c r="F220" s="0" t="s">
        <v>1085</v>
      </c>
      <c r="I220" s="0" t="n">
        <v>78422</v>
      </c>
      <c r="J220" s="0" t="n">
        <v>44181</v>
      </c>
      <c r="K220" s="0" t="n">
        <v>7898080664273</v>
      </c>
      <c r="L220" s="0" t="s">
        <v>2284</v>
      </c>
      <c r="N220" s="0" t="n">
        <v>6</v>
      </c>
      <c r="O220" s="60" t="n">
        <v>41.1</v>
      </c>
    </row>
    <row r="221" customFormat="false" ht="15" hidden="false" customHeight="false" outlineLevel="0" collapsed="false">
      <c r="A221" s="0" t="n">
        <v>3</v>
      </c>
      <c r="B221" s="59" t="n">
        <v>46206</v>
      </c>
      <c r="C221" s="0" t="n">
        <v>11</v>
      </c>
      <c r="D221" s="0" t="s">
        <v>2126</v>
      </c>
      <c r="E221" s="0" t="n">
        <v>1664</v>
      </c>
      <c r="F221" s="0" t="s">
        <v>1085</v>
      </c>
      <c r="I221" s="0" t="n">
        <v>78422</v>
      </c>
      <c r="J221" s="0" t="n">
        <v>45279</v>
      </c>
      <c r="K221" s="0" t="n">
        <v>7898080664402</v>
      </c>
      <c r="L221" s="0" t="s">
        <v>2285</v>
      </c>
      <c r="N221" s="0" t="n">
        <v>6</v>
      </c>
      <c r="O221" s="60" t="n">
        <v>41.1</v>
      </c>
    </row>
    <row r="222" customFormat="false" ht="15" hidden="false" customHeight="false" outlineLevel="0" collapsed="false">
      <c r="A222" s="0" t="n">
        <v>3</v>
      </c>
      <c r="B222" s="59" t="n">
        <v>46206</v>
      </c>
      <c r="C222" s="0" t="n">
        <v>11</v>
      </c>
      <c r="D222" s="0" t="s">
        <v>2126</v>
      </c>
      <c r="E222" s="0" t="n">
        <v>1664</v>
      </c>
      <c r="F222" s="0" t="s">
        <v>1085</v>
      </c>
      <c r="I222" s="0" t="n">
        <v>78422</v>
      </c>
      <c r="J222" s="0" t="n">
        <v>47398</v>
      </c>
      <c r="K222" s="0" t="n">
        <v>7898080664389</v>
      </c>
      <c r="L222" s="0" t="s">
        <v>2285</v>
      </c>
      <c r="N222" s="0" t="n">
        <v>12</v>
      </c>
      <c r="O222" s="60" t="n">
        <v>164.88</v>
      </c>
    </row>
    <row r="223" customFormat="false" ht="15" hidden="false" customHeight="false" outlineLevel="0" collapsed="false">
      <c r="A223" s="0" t="n">
        <v>3</v>
      </c>
      <c r="B223" s="59" t="n">
        <v>46206</v>
      </c>
      <c r="C223" s="0" t="n">
        <v>11</v>
      </c>
      <c r="D223" s="0" t="s">
        <v>2126</v>
      </c>
      <c r="E223" s="0" t="n">
        <v>1664</v>
      </c>
      <c r="F223" s="0" t="s">
        <v>1085</v>
      </c>
      <c r="I223" s="0" t="n">
        <v>78422</v>
      </c>
      <c r="J223" s="0" t="n">
        <v>68435</v>
      </c>
      <c r="K223" s="0" t="n">
        <v>7898080665409</v>
      </c>
      <c r="L223" s="0" t="s">
        <v>2286</v>
      </c>
      <c r="N223" s="0" t="n">
        <v>6</v>
      </c>
      <c r="O223" s="60" t="n">
        <v>82.44</v>
      </c>
    </row>
    <row r="224" customFormat="false" ht="15" hidden="false" customHeight="false" outlineLevel="0" collapsed="false">
      <c r="A224" s="0" t="n">
        <v>3</v>
      </c>
      <c r="B224" s="59" t="n">
        <v>46206</v>
      </c>
      <c r="C224" s="0" t="n">
        <v>11</v>
      </c>
      <c r="D224" s="0" t="s">
        <v>2126</v>
      </c>
      <c r="E224" s="0" t="n">
        <v>1664</v>
      </c>
      <c r="F224" s="0" t="s">
        <v>1085</v>
      </c>
      <c r="I224" s="0" t="n">
        <v>78422</v>
      </c>
      <c r="J224" s="0" t="n">
        <v>81100</v>
      </c>
      <c r="K224" s="0" t="n">
        <v>78948884</v>
      </c>
      <c r="L224" s="0" t="s">
        <v>2287</v>
      </c>
      <c r="N224" s="0" t="n">
        <v>10</v>
      </c>
      <c r="O224" s="60" t="n">
        <v>99.6</v>
      </c>
    </row>
    <row r="225" customFormat="false" ht="15" hidden="false" customHeight="false" outlineLevel="0" collapsed="false">
      <c r="A225" s="0" t="n">
        <v>3</v>
      </c>
      <c r="B225" s="59" t="n">
        <v>46206</v>
      </c>
      <c r="C225" s="0" t="n">
        <v>11</v>
      </c>
      <c r="D225" s="0" t="s">
        <v>2126</v>
      </c>
      <c r="E225" s="0" t="n">
        <v>1664</v>
      </c>
      <c r="F225" s="0" t="s">
        <v>1085</v>
      </c>
      <c r="I225" s="0" t="n">
        <v>78422</v>
      </c>
      <c r="J225" s="0" t="n">
        <v>81244</v>
      </c>
      <c r="K225" s="0" t="n">
        <v>7898080666161</v>
      </c>
      <c r="L225" s="0" t="s">
        <v>2288</v>
      </c>
      <c r="N225" s="0" t="n">
        <v>6</v>
      </c>
      <c r="O225" s="60" t="n">
        <v>82.44</v>
      </c>
    </row>
    <row r="226" customFormat="false" ht="15" hidden="false" customHeight="false" outlineLevel="0" collapsed="false">
      <c r="A226" s="0" t="n">
        <v>3</v>
      </c>
      <c r="B226" s="59" t="n">
        <v>46206</v>
      </c>
      <c r="C226" s="0" t="n">
        <v>11</v>
      </c>
      <c r="D226" s="0" t="s">
        <v>2126</v>
      </c>
      <c r="E226" s="0" t="n">
        <v>1664</v>
      </c>
      <c r="F226" s="0" t="s">
        <v>1085</v>
      </c>
      <c r="I226" s="0" t="n">
        <v>78422</v>
      </c>
      <c r="J226" s="0" t="n">
        <v>81646</v>
      </c>
      <c r="K226" s="0" t="n">
        <v>78943438</v>
      </c>
      <c r="L226" s="0" t="s">
        <v>2289</v>
      </c>
      <c r="N226" s="0" t="n">
        <v>10</v>
      </c>
      <c r="O226" s="60" t="n">
        <v>131.4</v>
      </c>
    </row>
    <row r="227" customFormat="false" ht="15" hidden="false" customHeight="false" outlineLevel="0" collapsed="false">
      <c r="A227" s="0" t="n">
        <v>3</v>
      </c>
      <c r="B227" s="59" t="n">
        <v>46206</v>
      </c>
      <c r="C227" s="0" t="n">
        <v>11</v>
      </c>
      <c r="D227" s="0" t="s">
        <v>2126</v>
      </c>
      <c r="E227" s="0" t="n">
        <v>1664</v>
      </c>
      <c r="F227" s="0" t="s">
        <v>1085</v>
      </c>
      <c r="I227" s="0" t="n">
        <v>78422</v>
      </c>
      <c r="J227" s="0" t="n">
        <v>81647</v>
      </c>
      <c r="K227" s="0" t="n">
        <v>7898080665782</v>
      </c>
      <c r="L227" s="0" t="s">
        <v>2290</v>
      </c>
      <c r="N227" s="0" t="n">
        <v>6</v>
      </c>
      <c r="O227" s="60" t="n">
        <v>39.96</v>
      </c>
    </row>
    <row r="228" customFormat="false" ht="15" hidden="false" customHeight="false" outlineLevel="0" collapsed="false">
      <c r="A228" s="0" t="n">
        <v>3</v>
      </c>
      <c r="B228" s="59" t="n">
        <v>46206</v>
      </c>
      <c r="C228" s="0" t="n">
        <v>171</v>
      </c>
      <c r="D228" s="0" t="s">
        <v>2182</v>
      </c>
      <c r="E228" s="0" t="n">
        <v>1636</v>
      </c>
      <c r="F228" s="0" t="s">
        <v>50</v>
      </c>
      <c r="I228" s="0" t="n">
        <v>3183489</v>
      </c>
      <c r="J228" s="0" t="n">
        <v>19771</v>
      </c>
      <c r="K228" s="0" t="n">
        <v>7891051028791</v>
      </c>
      <c r="L228" s="0" t="s">
        <v>2291</v>
      </c>
      <c r="N228" s="0" t="n">
        <v>2</v>
      </c>
      <c r="O228" s="60" t="n">
        <v>2.67</v>
      </c>
    </row>
    <row r="229" customFormat="false" ht="15" hidden="false" customHeight="false" outlineLevel="0" collapsed="false">
      <c r="A229" s="0" t="n">
        <v>3</v>
      </c>
      <c r="B229" s="59" t="n">
        <v>46206</v>
      </c>
      <c r="C229" s="0" t="n">
        <v>171</v>
      </c>
      <c r="D229" s="0" t="s">
        <v>2182</v>
      </c>
      <c r="E229" s="0" t="n">
        <v>1636</v>
      </c>
      <c r="F229" s="0" t="s">
        <v>50</v>
      </c>
      <c r="I229" s="0" t="n">
        <v>3183489</v>
      </c>
      <c r="J229" s="0" t="n">
        <v>21723</v>
      </c>
      <c r="K229" s="0" t="n">
        <v>7506339394603</v>
      </c>
      <c r="L229" s="0" t="s">
        <v>2292</v>
      </c>
      <c r="N229" s="0" t="n">
        <v>1</v>
      </c>
      <c r="O229" s="60" t="n">
        <v>5.57</v>
      </c>
    </row>
    <row r="230" customFormat="false" ht="15" hidden="false" customHeight="false" outlineLevel="0" collapsed="false">
      <c r="A230" s="0" t="n">
        <v>3</v>
      </c>
      <c r="B230" s="59" t="n">
        <v>46206</v>
      </c>
      <c r="C230" s="0" t="n">
        <v>171</v>
      </c>
      <c r="D230" s="0" t="s">
        <v>2182</v>
      </c>
      <c r="E230" s="0" t="n">
        <v>1636</v>
      </c>
      <c r="F230" s="0" t="s">
        <v>50</v>
      </c>
      <c r="I230" s="0" t="n">
        <v>3183489</v>
      </c>
      <c r="J230" s="0" t="n">
        <v>21807</v>
      </c>
      <c r="K230" s="0" t="n">
        <v>7506339394535</v>
      </c>
      <c r="L230" s="0" t="s">
        <v>2293</v>
      </c>
      <c r="N230" s="0" t="n">
        <v>1</v>
      </c>
      <c r="O230" s="60" t="n">
        <v>5.57</v>
      </c>
    </row>
    <row r="231" customFormat="false" ht="15" hidden="false" customHeight="false" outlineLevel="0" collapsed="false">
      <c r="A231" s="0" t="n">
        <v>3</v>
      </c>
      <c r="B231" s="59" t="n">
        <v>46206</v>
      </c>
      <c r="C231" s="0" t="n">
        <v>171</v>
      </c>
      <c r="D231" s="0" t="s">
        <v>2182</v>
      </c>
      <c r="E231" s="0" t="n">
        <v>1636</v>
      </c>
      <c r="F231" s="0" t="s">
        <v>50</v>
      </c>
      <c r="I231" s="0" t="n">
        <v>3183489</v>
      </c>
      <c r="J231" s="0" t="n">
        <v>26860</v>
      </c>
      <c r="K231" s="0" t="n">
        <v>7500435127240</v>
      </c>
      <c r="L231" s="0" t="s">
        <v>2294</v>
      </c>
      <c r="N231" s="0" t="n">
        <v>1</v>
      </c>
      <c r="O231" s="60" t="n">
        <v>3.01</v>
      </c>
    </row>
    <row r="232" customFormat="false" ht="15" hidden="false" customHeight="false" outlineLevel="0" collapsed="false">
      <c r="A232" s="0" t="n">
        <v>3</v>
      </c>
      <c r="B232" s="59" t="n">
        <v>46206</v>
      </c>
      <c r="C232" s="0" t="n">
        <v>171</v>
      </c>
      <c r="D232" s="0" t="s">
        <v>2182</v>
      </c>
      <c r="E232" s="0" t="n">
        <v>1636</v>
      </c>
      <c r="F232" s="0" t="s">
        <v>50</v>
      </c>
      <c r="I232" s="0" t="n">
        <v>3183489</v>
      </c>
      <c r="J232" s="0" t="n">
        <v>27206</v>
      </c>
      <c r="K232" s="0" t="n">
        <v>7500435122764</v>
      </c>
      <c r="L232" s="0" t="s">
        <v>2295</v>
      </c>
      <c r="N232" s="0" t="n">
        <v>1</v>
      </c>
      <c r="O232" s="60" t="n">
        <v>2.99</v>
      </c>
    </row>
    <row r="233" customFormat="false" ht="15" hidden="false" customHeight="false" outlineLevel="0" collapsed="false">
      <c r="A233" s="0" t="n">
        <v>3</v>
      </c>
      <c r="B233" s="59" t="n">
        <v>46206</v>
      </c>
      <c r="C233" s="0" t="n">
        <v>171</v>
      </c>
      <c r="D233" s="0" t="s">
        <v>2182</v>
      </c>
      <c r="E233" s="0" t="n">
        <v>1636</v>
      </c>
      <c r="F233" s="0" t="s">
        <v>50</v>
      </c>
      <c r="I233" s="0" t="n">
        <v>3183489</v>
      </c>
      <c r="J233" s="0" t="n">
        <v>33273</v>
      </c>
      <c r="K233" s="0" t="n">
        <v>7500435154222</v>
      </c>
      <c r="L233" s="0" t="s">
        <v>2296</v>
      </c>
      <c r="N233" s="0" t="n">
        <v>1</v>
      </c>
      <c r="O233" s="60" t="n">
        <v>10.27</v>
      </c>
    </row>
    <row r="234" customFormat="false" ht="15" hidden="false" customHeight="false" outlineLevel="0" collapsed="false">
      <c r="A234" s="0" t="n">
        <v>3</v>
      </c>
      <c r="B234" s="59" t="n">
        <v>46207</v>
      </c>
      <c r="C234" s="0" t="n">
        <v>1</v>
      </c>
      <c r="D234" s="0" t="s">
        <v>2118</v>
      </c>
      <c r="E234" s="0" t="n">
        <v>1378</v>
      </c>
      <c r="F234" s="0" t="s">
        <v>121</v>
      </c>
      <c r="I234" s="0" t="n">
        <v>18065</v>
      </c>
      <c r="J234" s="0" t="n">
        <v>74061</v>
      </c>
      <c r="K234" s="0" t="n">
        <v>42882264255</v>
      </c>
      <c r="L234" s="0" t="s">
        <v>2297</v>
      </c>
      <c r="N234" s="0" t="n">
        <v>6</v>
      </c>
      <c r="O234" s="60" t="n">
        <v>30.6</v>
      </c>
    </row>
    <row r="235" customFormat="false" ht="15" hidden="false" customHeight="false" outlineLevel="0" collapsed="false">
      <c r="A235" s="0" t="n">
        <v>3</v>
      </c>
      <c r="B235" s="59" t="n">
        <v>46207</v>
      </c>
      <c r="C235" s="0" t="n">
        <v>1</v>
      </c>
      <c r="D235" s="0" t="s">
        <v>2118</v>
      </c>
      <c r="E235" s="0" t="n">
        <v>1378</v>
      </c>
      <c r="F235" s="0" t="s">
        <v>121</v>
      </c>
      <c r="I235" s="0" t="n">
        <v>18065</v>
      </c>
      <c r="J235" s="0" t="n">
        <v>74063</v>
      </c>
      <c r="K235" s="0" t="n">
        <v>42882264262</v>
      </c>
      <c r="L235" s="0" t="s">
        <v>2298</v>
      </c>
      <c r="N235" s="0" t="n">
        <v>6</v>
      </c>
      <c r="O235" s="60" t="n">
        <v>27</v>
      </c>
    </row>
    <row r="236" customFormat="false" ht="15" hidden="false" customHeight="false" outlineLevel="0" collapsed="false">
      <c r="A236" s="0" t="n">
        <v>3</v>
      </c>
      <c r="B236" s="59" t="n">
        <v>46207</v>
      </c>
      <c r="C236" s="0" t="n">
        <v>1</v>
      </c>
      <c r="D236" s="0" t="s">
        <v>2118</v>
      </c>
      <c r="E236" s="0" t="n">
        <v>1378</v>
      </c>
      <c r="F236" s="0" t="s">
        <v>121</v>
      </c>
      <c r="I236" s="0" t="n">
        <v>18065</v>
      </c>
      <c r="J236" s="0" t="n">
        <v>74064</v>
      </c>
      <c r="K236" s="0" t="n">
        <v>42882264279</v>
      </c>
      <c r="L236" s="0" t="s">
        <v>2299</v>
      </c>
      <c r="N236" s="0" t="n">
        <v>6</v>
      </c>
      <c r="O236" s="60" t="n">
        <v>28.8</v>
      </c>
    </row>
    <row r="237" customFormat="false" ht="15" hidden="false" customHeight="false" outlineLevel="0" collapsed="false">
      <c r="A237" s="0" t="n">
        <v>3</v>
      </c>
      <c r="B237" s="59" t="n">
        <v>46207</v>
      </c>
      <c r="C237" s="0" t="n">
        <v>1</v>
      </c>
      <c r="D237" s="0" t="s">
        <v>2118</v>
      </c>
      <c r="E237" s="0" t="n">
        <v>1378</v>
      </c>
      <c r="F237" s="0" t="s">
        <v>121</v>
      </c>
      <c r="I237" s="0" t="n">
        <v>18065</v>
      </c>
      <c r="J237" s="0" t="n">
        <v>74065</v>
      </c>
      <c r="K237" s="0" t="n">
        <v>602883558090</v>
      </c>
      <c r="L237" s="0" t="s">
        <v>2300</v>
      </c>
      <c r="N237" s="0" t="n">
        <v>4</v>
      </c>
      <c r="O237" s="60" t="n">
        <v>31.2</v>
      </c>
    </row>
    <row r="238" customFormat="false" ht="15" hidden="false" customHeight="false" outlineLevel="0" collapsed="false">
      <c r="A238" s="0" t="n">
        <v>3</v>
      </c>
      <c r="B238" s="59" t="n">
        <v>46207</v>
      </c>
      <c r="C238" s="0" t="n">
        <v>1</v>
      </c>
      <c r="D238" s="0" t="s">
        <v>2118</v>
      </c>
      <c r="E238" s="0" t="n">
        <v>1378</v>
      </c>
      <c r="F238" s="0" t="s">
        <v>121</v>
      </c>
      <c r="I238" s="0" t="n">
        <v>18065</v>
      </c>
      <c r="J238" s="0" t="n">
        <v>77994</v>
      </c>
      <c r="K238" s="0" t="n">
        <v>780117</v>
      </c>
      <c r="L238" s="0" t="s">
        <v>2301</v>
      </c>
      <c r="N238" s="0" t="n">
        <v>30</v>
      </c>
      <c r="O238" s="60" t="n">
        <v>174</v>
      </c>
    </row>
    <row r="239" customFormat="false" ht="15" hidden="false" customHeight="false" outlineLevel="0" collapsed="false">
      <c r="A239" s="0" t="n">
        <v>3</v>
      </c>
      <c r="B239" s="59" t="n">
        <v>46207</v>
      </c>
      <c r="C239" s="0" t="n">
        <v>1</v>
      </c>
      <c r="D239" s="0" t="s">
        <v>2118</v>
      </c>
      <c r="E239" s="0" t="n">
        <v>1814</v>
      </c>
      <c r="F239" s="0" t="s">
        <v>341</v>
      </c>
      <c r="I239" s="0" t="n">
        <v>27252</v>
      </c>
      <c r="J239" s="0" t="n">
        <v>25090</v>
      </c>
      <c r="K239" s="0" t="n">
        <v>7898951519152</v>
      </c>
      <c r="L239" s="0" t="s">
        <v>2302</v>
      </c>
      <c r="N239" s="0" t="n">
        <v>50</v>
      </c>
      <c r="O239" s="60" t="n">
        <v>108.01</v>
      </c>
    </row>
    <row r="240" customFormat="false" ht="15" hidden="false" customHeight="false" outlineLevel="0" collapsed="false">
      <c r="A240" s="0" t="n">
        <v>3</v>
      </c>
      <c r="B240" s="59" t="n">
        <v>46207</v>
      </c>
      <c r="C240" s="0" t="n">
        <v>1</v>
      </c>
      <c r="D240" s="0" t="s">
        <v>2118</v>
      </c>
      <c r="E240" s="0" t="n">
        <v>1814</v>
      </c>
      <c r="F240" s="0" t="s">
        <v>341</v>
      </c>
      <c r="I240" s="0" t="n">
        <v>27252</v>
      </c>
      <c r="J240" s="0" t="n">
        <v>25091</v>
      </c>
      <c r="K240" s="0" t="n">
        <v>7898951519176</v>
      </c>
      <c r="L240" s="0" t="s">
        <v>2303</v>
      </c>
      <c r="N240" s="0" t="n">
        <v>50</v>
      </c>
      <c r="O240" s="60" t="n">
        <v>151.73</v>
      </c>
    </row>
    <row r="241" customFormat="false" ht="15" hidden="false" customHeight="false" outlineLevel="0" collapsed="false">
      <c r="A241" s="0" t="n">
        <v>3</v>
      </c>
      <c r="B241" s="59" t="n">
        <v>46207</v>
      </c>
      <c r="C241" s="0" t="n">
        <v>1</v>
      </c>
      <c r="D241" s="0" t="s">
        <v>2118</v>
      </c>
      <c r="E241" s="0" t="n">
        <v>1814</v>
      </c>
      <c r="F241" s="0" t="s">
        <v>341</v>
      </c>
      <c r="I241" s="0" t="n">
        <v>27252</v>
      </c>
      <c r="J241" s="0" t="n">
        <v>25092</v>
      </c>
      <c r="K241" s="0" t="n">
        <v>7896883601105</v>
      </c>
      <c r="L241" s="0" t="s">
        <v>2304</v>
      </c>
      <c r="N241" s="0" t="n">
        <v>30</v>
      </c>
      <c r="O241" s="60" t="n">
        <v>52.15</v>
      </c>
    </row>
    <row r="242" customFormat="false" ht="15" hidden="false" customHeight="false" outlineLevel="0" collapsed="false">
      <c r="A242" s="0" t="n">
        <v>3</v>
      </c>
      <c r="B242" s="59" t="n">
        <v>46207</v>
      </c>
      <c r="C242" s="0" t="n">
        <v>1</v>
      </c>
      <c r="D242" s="0" t="s">
        <v>2118</v>
      </c>
      <c r="E242" s="0" t="n">
        <v>1814</v>
      </c>
      <c r="F242" s="0" t="s">
        <v>341</v>
      </c>
      <c r="I242" s="0" t="n">
        <v>27252</v>
      </c>
      <c r="J242" s="0" t="n">
        <v>25093</v>
      </c>
      <c r="K242" s="0" t="n">
        <v>7898951519169</v>
      </c>
      <c r="L242" s="0" t="s">
        <v>2305</v>
      </c>
      <c r="N242" s="0" t="n">
        <v>50</v>
      </c>
      <c r="O242" s="60" t="n">
        <v>56.58</v>
      </c>
    </row>
    <row r="243" customFormat="false" ht="15" hidden="false" customHeight="false" outlineLevel="0" collapsed="false">
      <c r="A243" s="0" t="n">
        <v>3</v>
      </c>
      <c r="B243" s="59" t="n">
        <v>46207</v>
      </c>
      <c r="C243" s="0" t="n">
        <v>1</v>
      </c>
      <c r="D243" s="0" t="s">
        <v>2118</v>
      </c>
      <c r="E243" s="0" t="n">
        <v>1814</v>
      </c>
      <c r="F243" s="0" t="s">
        <v>341</v>
      </c>
      <c r="I243" s="0" t="n">
        <v>27252</v>
      </c>
      <c r="J243" s="0" t="n">
        <v>25095</v>
      </c>
      <c r="K243" s="0" t="n">
        <v>7898951519145</v>
      </c>
      <c r="L243" s="0" t="s">
        <v>2306</v>
      </c>
      <c r="N243" s="0" t="n">
        <v>100</v>
      </c>
      <c r="O243" s="60" t="n">
        <v>128.59</v>
      </c>
    </row>
    <row r="244" customFormat="false" ht="15" hidden="false" customHeight="false" outlineLevel="0" collapsed="false">
      <c r="A244" s="0" t="n">
        <v>3</v>
      </c>
      <c r="B244" s="59" t="n">
        <v>46207</v>
      </c>
      <c r="C244" s="0" t="n">
        <v>1</v>
      </c>
      <c r="D244" s="0" t="s">
        <v>2118</v>
      </c>
      <c r="E244" s="0" t="n">
        <v>1814</v>
      </c>
      <c r="F244" s="0" t="s">
        <v>341</v>
      </c>
      <c r="I244" s="0" t="n">
        <v>27252</v>
      </c>
      <c r="J244" s="0" t="n">
        <v>25096</v>
      </c>
      <c r="K244" s="0" t="n">
        <v>7898951519138</v>
      </c>
      <c r="L244" s="0" t="s">
        <v>2307</v>
      </c>
      <c r="N244" s="0" t="n">
        <v>50</v>
      </c>
      <c r="O244" s="60" t="n">
        <v>89.5</v>
      </c>
    </row>
    <row r="245" customFormat="false" ht="15" hidden="false" customHeight="false" outlineLevel="0" collapsed="false">
      <c r="A245" s="0" t="n">
        <v>3</v>
      </c>
      <c r="B245" s="59" t="n">
        <v>46207</v>
      </c>
      <c r="C245" s="0" t="n">
        <v>1</v>
      </c>
      <c r="D245" s="0" t="s">
        <v>2118</v>
      </c>
      <c r="E245" s="0" t="n">
        <v>1814</v>
      </c>
      <c r="F245" s="0" t="s">
        <v>341</v>
      </c>
      <c r="I245" s="0" t="n">
        <v>27252</v>
      </c>
      <c r="J245" s="0" t="n">
        <v>25134</v>
      </c>
      <c r="K245" s="0" t="n">
        <v>7898951519114</v>
      </c>
      <c r="L245" s="0" t="s">
        <v>2308</v>
      </c>
      <c r="N245" s="0" t="n">
        <v>50</v>
      </c>
      <c r="O245" s="60" t="n">
        <v>69.43</v>
      </c>
    </row>
    <row r="246" customFormat="false" ht="15" hidden="false" customHeight="false" outlineLevel="0" collapsed="false">
      <c r="A246" s="0" t="n">
        <v>3</v>
      </c>
      <c r="B246" s="59" t="n">
        <v>46207</v>
      </c>
      <c r="C246" s="0" t="n">
        <v>1</v>
      </c>
      <c r="D246" s="0" t="s">
        <v>2118</v>
      </c>
      <c r="E246" s="0" t="n">
        <v>1814</v>
      </c>
      <c r="F246" s="0" t="s">
        <v>341</v>
      </c>
      <c r="I246" s="0" t="n">
        <v>27252</v>
      </c>
      <c r="J246" s="0" t="n">
        <v>39927</v>
      </c>
      <c r="K246" s="0" t="n">
        <v>7898951519077</v>
      </c>
      <c r="L246" s="0" t="s">
        <v>2309</v>
      </c>
      <c r="N246" s="0" t="n">
        <v>6</v>
      </c>
      <c r="O246" s="60" t="n">
        <v>57.4</v>
      </c>
    </row>
    <row r="247" customFormat="false" ht="15" hidden="false" customHeight="false" outlineLevel="0" collapsed="false">
      <c r="A247" s="0" t="n">
        <v>3</v>
      </c>
      <c r="B247" s="59" t="n">
        <v>46207</v>
      </c>
      <c r="C247" s="0" t="n">
        <v>1</v>
      </c>
      <c r="D247" s="0" t="s">
        <v>2118</v>
      </c>
      <c r="E247" s="0" t="n">
        <v>1814</v>
      </c>
      <c r="F247" s="0" t="s">
        <v>341</v>
      </c>
      <c r="I247" s="0" t="n">
        <v>27252</v>
      </c>
      <c r="J247" s="0" t="n">
        <v>39932</v>
      </c>
      <c r="K247" s="0" t="n">
        <v>7898951519091</v>
      </c>
      <c r="L247" s="0" t="s">
        <v>2310</v>
      </c>
      <c r="N247" s="0" t="n">
        <v>6</v>
      </c>
      <c r="O247" s="60" t="n">
        <v>89.5</v>
      </c>
    </row>
    <row r="248" customFormat="false" ht="15" hidden="false" customHeight="false" outlineLevel="0" collapsed="false">
      <c r="A248" s="0" t="n">
        <v>3</v>
      </c>
      <c r="B248" s="59" t="n">
        <v>46207</v>
      </c>
      <c r="C248" s="0" t="n">
        <v>1</v>
      </c>
      <c r="D248" s="0" t="s">
        <v>2118</v>
      </c>
      <c r="E248" s="0" t="n">
        <v>1814</v>
      </c>
      <c r="F248" s="0" t="s">
        <v>341</v>
      </c>
      <c r="I248" s="0" t="n">
        <v>27252</v>
      </c>
      <c r="J248" s="0" t="n">
        <v>39933</v>
      </c>
      <c r="K248" s="0" t="n">
        <v>7898951519046</v>
      </c>
      <c r="L248" s="0" t="s">
        <v>2311</v>
      </c>
      <c r="N248" s="0" t="n">
        <v>6</v>
      </c>
      <c r="O248" s="60" t="n">
        <v>95.4</v>
      </c>
    </row>
    <row r="249" customFormat="false" ht="15" hidden="false" customHeight="false" outlineLevel="0" collapsed="false">
      <c r="A249" s="0" t="n">
        <v>3</v>
      </c>
      <c r="B249" s="59" t="n">
        <v>46207</v>
      </c>
      <c r="C249" s="0" t="n">
        <v>1</v>
      </c>
      <c r="D249" s="0" t="s">
        <v>2118</v>
      </c>
      <c r="E249" s="0" t="n">
        <v>1814</v>
      </c>
      <c r="F249" s="0" t="s">
        <v>341</v>
      </c>
      <c r="I249" s="0" t="n">
        <v>27252</v>
      </c>
      <c r="J249" s="0" t="n">
        <v>39935</v>
      </c>
      <c r="K249" s="0" t="n">
        <v>7898951519053</v>
      </c>
      <c r="L249" s="0" t="s">
        <v>2312</v>
      </c>
      <c r="N249" s="0" t="n">
        <v>15</v>
      </c>
      <c r="O249" s="60" t="n">
        <v>143.51</v>
      </c>
    </row>
    <row r="250" customFormat="false" ht="15" hidden="false" customHeight="false" outlineLevel="0" collapsed="false">
      <c r="A250" s="0" t="n">
        <v>3</v>
      </c>
      <c r="B250" s="59" t="n">
        <v>46207</v>
      </c>
      <c r="C250" s="0" t="n">
        <v>1</v>
      </c>
      <c r="D250" s="0" t="s">
        <v>2118</v>
      </c>
      <c r="E250" s="0" t="n">
        <v>1814</v>
      </c>
      <c r="F250" s="0" t="s">
        <v>341</v>
      </c>
      <c r="I250" s="0" t="n">
        <v>27252</v>
      </c>
      <c r="J250" s="0" t="n">
        <v>39937</v>
      </c>
      <c r="K250" s="0" t="n">
        <v>7898951519022</v>
      </c>
      <c r="L250" s="0" t="s">
        <v>2313</v>
      </c>
      <c r="N250" s="0" t="n">
        <v>6</v>
      </c>
      <c r="O250" s="60" t="n">
        <v>73.45</v>
      </c>
    </row>
    <row r="251" customFormat="false" ht="15" hidden="false" customHeight="false" outlineLevel="0" collapsed="false">
      <c r="A251" s="0" t="n">
        <v>3</v>
      </c>
      <c r="B251" s="59" t="n">
        <v>46207</v>
      </c>
      <c r="C251" s="0" t="n">
        <v>1</v>
      </c>
      <c r="D251" s="0" t="s">
        <v>2118</v>
      </c>
      <c r="E251" s="0" t="n">
        <v>1814</v>
      </c>
      <c r="F251" s="0" t="s">
        <v>341</v>
      </c>
      <c r="I251" s="0" t="n">
        <v>27252</v>
      </c>
      <c r="J251" s="0" t="n">
        <v>81422</v>
      </c>
      <c r="K251" s="0" t="n">
        <v>7898951519336</v>
      </c>
      <c r="L251" s="0" t="s">
        <v>2314</v>
      </c>
      <c r="N251" s="0" t="n">
        <v>4</v>
      </c>
      <c r="O251" s="60" t="n">
        <v>60</v>
      </c>
    </row>
    <row r="252" customFormat="false" ht="15" hidden="false" customHeight="false" outlineLevel="0" collapsed="false">
      <c r="A252" s="0" t="n">
        <v>3</v>
      </c>
      <c r="B252" s="59" t="n">
        <v>46207</v>
      </c>
      <c r="C252" s="0" t="n">
        <v>1</v>
      </c>
      <c r="D252" s="0" t="s">
        <v>2118</v>
      </c>
      <c r="E252" s="0" t="n">
        <v>10009</v>
      </c>
      <c r="F252" s="0" t="s">
        <v>375</v>
      </c>
      <c r="I252" s="0" t="n">
        <v>1424294</v>
      </c>
      <c r="J252" s="0" t="n">
        <v>12411</v>
      </c>
      <c r="K252" s="0" t="n">
        <v>7891000050927</v>
      </c>
      <c r="L252" s="0" t="s">
        <v>2315</v>
      </c>
      <c r="N252" s="0" t="n">
        <v>20</v>
      </c>
      <c r="O252" s="60" t="n">
        <v>104.81</v>
      </c>
    </row>
    <row r="253" customFormat="false" ht="15" hidden="false" customHeight="false" outlineLevel="0" collapsed="false">
      <c r="A253" s="0" t="n">
        <v>3</v>
      </c>
      <c r="B253" s="59" t="n">
        <v>46207</v>
      </c>
      <c r="C253" s="0" t="n">
        <v>1</v>
      </c>
      <c r="D253" s="0" t="s">
        <v>2118</v>
      </c>
      <c r="E253" s="0" t="n">
        <v>10009</v>
      </c>
      <c r="F253" s="0" t="s">
        <v>375</v>
      </c>
      <c r="I253" s="0" t="n">
        <v>1424294</v>
      </c>
      <c r="J253" s="0" t="n">
        <v>12803</v>
      </c>
      <c r="K253" s="0" t="n">
        <v>7891000050880</v>
      </c>
      <c r="L253" s="0" t="s">
        <v>2316</v>
      </c>
      <c r="N253" s="0" t="n">
        <v>20</v>
      </c>
      <c r="O253" s="60" t="n">
        <v>104.81</v>
      </c>
    </row>
    <row r="254" customFormat="false" ht="15" hidden="false" customHeight="false" outlineLevel="0" collapsed="false">
      <c r="A254" s="0" t="n">
        <v>3</v>
      </c>
      <c r="B254" s="59" t="n">
        <v>46207</v>
      </c>
      <c r="C254" s="0" t="n">
        <v>1</v>
      </c>
      <c r="D254" s="0" t="s">
        <v>2118</v>
      </c>
      <c r="E254" s="0" t="n">
        <v>10009</v>
      </c>
      <c r="F254" s="0" t="s">
        <v>375</v>
      </c>
      <c r="I254" s="0" t="n">
        <v>1424294</v>
      </c>
      <c r="J254" s="0" t="n">
        <v>15716</v>
      </c>
      <c r="K254" s="0" t="n">
        <v>7891000089231</v>
      </c>
      <c r="L254" s="0" t="s">
        <v>2317</v>
      </c>
      <c r="N254" s="0" t="n">
        <v>30</v>
      </c>
      <c r="O254" s="60" t="n">
        <v>132.66</v>
      </c>
    </row>
    <row r="255" customFormat="false" ht="15" hidden="false" customHeight="false" outlineLevel="0" collapsed="false">
      <c r="A255" s="0" t="n">
        <v>3</v>
      </c>
      <c r="B255" s="59" t="n">
        <v>46207</v>
      </c>
      <c r="C255" s="0" t="n">
        <v>1</v>
      </c>
      <c r="D255" s="0" t="s">
        <v>2118</v>
      </c>
      <c r="E255" s="0" t="n">
        <v>10009</v>
      </c>
      <c r="F255" s="0" t="s">
        <v>375</v>
      </c>
      <c r="I255" s="0" t="n">
        <v>1424294</v>
      </c>
      <c r="J255" s="0" t="n">
        <v>15718</v>
      </c>
      <c r="K255" s="0" t="n">
        <v>7891000089279</v>
      </c>
      <c r="L255" s="0" t="s">
        <v>2318</v>
      </c>
      <c r="N255" s="0" t="n">
        <v>30</v>
      </c>
      <c r="O255" s="60" t="n">
        <v>132.66</v>
      </c>
    </row>
    <row r="256" customFormat="false" ht="15" hidden="false" customHeight="false" outlineLevel="0" collapsed="false">
      <c r="A256" s="0" t="n">
        <v>3</v>
      </c>
      <c r="B256" s="59" t="n">
        <v>46207</v>
      </c>
      <c r="C256" s="0" t="n">
        <v>1</v>
      </c>
      <c r="D256" s="0" t="s">
        <v>2118</v>
      </c>
      <c r="E256" s="0" t="n">
        <v>10009</v>
      </c>
      <c r="F256" s="0" t="s">
        <v>375</v>
      </c>
      <c r="I256" s="0" t="n">
        <v>1424294</v>
      </c>
      <c r="J256" s="0" t="n">
        <v>24777</v>
      </c>
      <c r="K256" s="0" t="n">
        <v>7891000241370</v>
      </c>
      <c r="L256" s="0" t="s">
        <v>2319</v>
      </c>
      <c r="N256" s="0" t="n">
        <v>35</v>
      </c>
      <c r="O256" s="60" t="n">
        <v>88.91</v>
      </c>
    </row>
    <row r="257" customFormat="false" ht="15" hidden="false" customHeight="false" outlineLevel="0" collapsed="false">
      <c r="A257" s="0" t="n">
        <v>3</v>
      </c>
      <c r="B257" s="59" t="n">
        <v>46207</v>
      </c>
      <c r="C257" s="0" t="n">
        <v>1</v>
      </c>
      <c r="D257" s="0" t="s">
        <v>2118</v>
      </c>
      <c r="E257" s="0" t="n">
        <v>10009</v>
      </c>
      <c r="F257" s="0" t="s">
        <v>375</v>
      </c>
      <c r="I257" s="0" t="n">
        <v>1424294</v>
      </c>
      <c r="J257" s="0" t="n">
        <v>78161</v>
      </c>
      <c r="K257" s="0" t="n">
        <v>7891000438466</v>
      </c>
      <c r="L257" s="0" t="s">
        <v>2320</v>
      </c>
      <c r="N257" s="0" t="n">
        <v>9</v>
      </c>
      <c r="O257" s="60" t="n">
        <v>142.91</v>
      </c>
    </row>
    <row r="258" customFormat="false" ht="15" hidden="false" customHeight="false" outlineLevel="0" collapsed="false">
      <c r="A258" s="0" t="n">
        <v>3</v>
      </c>
      <c r="B258" s="59" t="n">
        <v>46207</v>
      </c>
      <c r="C258" s="0" t="n">
        <v>1</v>
      </c>
      <c r="D258" s="0" t="s">
        <v>2118</v>
      </c>
      <c r="E258" s="0" t="n">
        <v>10009</v>
      </c>
      <c r="F258" s="0" t="s">
        <v>375</v>
      </c>
      <c r="I258" s="0" t="n">
        <v>1424294</v>
      </c>
      <c r="J258" s="0" t="n">
        <v>80516</v>
      </c>
      <c r="K258" s="0" t="n">
        <v>7891000438107</v>
      </c>
      <c r="L258" s="0" t="s">
        <v>2321</v>
      </c>
      <c r="N258" s="0" t="n">
        <v>9</v>
      </c>
      <c r="O258" s="60" t="n">
        <v>142.91</v>
      </c>
    </row>
    <row r="259" customFormat="false" ht="15" hidden="false" customHeight="false" outlineLevel="0" collapsed="false">
      <c r="A259" s="0" t="n">
        <v>3</v>
      </c>
      <c r="B259" s="59" t="n">
        <v>46207</v>
      </c>
      <c r="C259" s="0" t="n">
        <v>2</v>
      </c>
      <c r="D259" s="0" t="s">
        <v>2122</v>
      </c>
      <c r="E259" s="0" t="n">
        <v>42</v>
      </c>
      <c r="F259" s="0" t="s">
        <v>81</v>
      </c>
      <c r="I259" s="0" t="n">
        <v>40701</v>
      </c>
      <c r="J259" s="0" t="n">
        <v>109791</v>
      </c>
      <c r="K259" s="0" t="n">
        <v>9667</v>
      </c>
      <c r="L259" s="0" t="s">
        <v>2123</v>
      </c>
      <c r="N259" s="0" t="n">
        <v>12</v>
      </c>
      <c r="O259" s="60" t="n">
        <v>30</v>
      </c>
    </row>
    <row r="260" customFormat="false" ht="15" hidden="false" customHeight="false" outlineLevel="0" collapsed="false">
      <c r="A260" s="0" t="n">
        <v>3</v>
      </c>
      <c r="B260" s="59" t="n">
        <v>46207</v>
      </c>
      <c r="C260" s="0" t="n">
        <v>2</v>
      </c>
      <c r="D260" s="0" t="s">
        <v>2122</v>
      </c>
      <c r="E260" s="0" t="n">
        <v>42</v>
      </c>
      <c r="F260" s="0" t="s">
        <v>81</v>
      </c>
      <c r="I260" s="0" t="n">
        <v>40701</v>
      </c>
      <c r="J260" s="0" t="n">
        <v>37359</v>
      </c>
      <c r="K260" s="0" t="n">
        <v>55526</v>
      </c>
      <c r="L260" s="0" t="s">
        <v>2194</v>
      </c>
      <c r="N260" s="0" t="n">
        <v>120</v>
      </c>
      <c r="O260" s="60" t="n">
        <v>240</v>
      </c>
    </row>
    <row r="261" customFormat="false" ht="15" hidden="false" customHeight="false" outlineLevel="0" collapsed="false">
      <c r="A261" s="0" t="n">
        <v>3</v>
      </c>
      <c r="B261" s="59" t="n">
        <v>46207</v>
      </c>
      <c r="C261" s="0" t="n">
        <v>2</v>
      </c>
      <c r="D261" s="0" t="s">
        <v>2122</v>
      </c>
      <c r="E261" s="0" t="n">
        <v>42</v>
      </c>
      <c r="F261" s="0" t="s">
        <v>81</v>
      </c>
      <c r="I261" s="0" t="n">
        <v>40701</v>
      </c>
      <c r="J261" s="0" t="n">
        <v>37361</v>
      </c>
      <c r="K261" s="0" t="n">
        <v>2240817</v>
      </c>
      <c r="L261" s="0" t="s">
        <v>2124</v>
      </c>
      <c r="N261" s="0" t="n">
        <v>8</v>
      </c>
      <c r="O261" s="60" t="n">
        <v>48</v>
      </c>
    </row>
    <row r="262" customFormat="false" ht="15" hidden="false" customHeight="false" outlineLevel="0" collapsed="false">
      <c r="A262" s="0" t="n">
        <v>3</v>
      </c>
      <c r="B262" s="59" t="n">
        <v>46207</v>
      </c>
      <c r="C262" s="0" t="n">
        <v>6</v>
      </c>
      <c r="D262" s="0" t="s">
        <v>2125</v>
      </c>
      <c r="E262" s="0" t="n">
        <v>42</v>
      </c>
      <c r="F262" s="0" t="s">
        <v>81</v>
      </c>
      <c r="I262" s="0" t="n">
        <v>4350</v>
      </c>
      <c r="J262" s="0" t="n">
        <v>109791</v>
      </c>
      <c r="K262" s="0" t="n">
        <v>9667</v>
      </c>
      <c r="L262" s="0" t="s">
        <v>2123</v>
      </c>
      <c r="N262" s="0" t="n">
        <v>12</v>
      </c>
      <c r="O262" s="60" t="n">
        <v>30</v>
      </c>
    </row>
    <row r="263" customFormat="false" ht="15" hidden="false" customHeight="false" outlineLevel="0" collapsed="false">
      <c r="A263" s="0" t="n">
        <v>3</v>
      </c>
      <c r="B263" s="59" t="n">
        <v>46207</v>
      </c>
      <c r="C263" s="0" t="n">
        <v>6</v>
      </c>
      <c r="D263" s="0" t="s">
        <v>2125</v>
      </c>
      <c r="E263" s="0" t="n">
        <v>42</v>
      </c>
      <c r="F263" s="0" t="s">
        <v>81</v>
      </c>
      <c r="I263" s="0" t="n">
        <v>4350</v>
      </c>
      <c r="J263" s="0" t="n">
        <v>37359</v>
      </c>
      <c r="K263" s="0" t="n">
        <v>55526</v>
      </c>
      <c r="L263" s="0" t="s">
        <v>2194</v>
      </c>
      <c r="N263" s="0" t="n">
        <v>120</v>
      </c>
      <c r="O263" s="60" t="n">
        <v>240</v>
      </c>
    </row>
    <row r="264" customFormat="false" ht="15" hidden="false" customHeight="false" outlineLevel="0" collapsed="false">
      <c r="A264" s="0" t="n">
        <v>3</v>
      </c>
      <c r="B264" s="59" t="n">
        <v>46207</v>
      </c>
      <c r="C264" s="0" t="n">
        <v>6</v>
      </c>
      <c r="D264" s="0" t="s">
        <v>2125</v>
      </c>
      <c r="E264" s="0" t="n">
        <v>42</v>
      </c>
      <c r="F264" s="0" t="s">
        <v>81</v>
      </c>
      <c r="I264" s="0" t="n">
        <v>4350</v>
      </c>
      <c r="J264" s="0" t="n">
        <v>37361</v>
      </c>
      <c r="K264" s="0" t="n">
        <v>2240817</v>
      </c>
      <c r="L264" s="0" t="s">
        <v>2124</v>
      </c>
      <c r="N264" s="0" t="n">
        <v>8</v>
      </c>
      <c r="O264" s="60" t="n">
        <v>48</v>
      </c>
    </row>
    <row r="265" customFormat="false" ht="15" hidden="false" customHeight="false" outlineLevel="0" collapsed="false">
      <c r="A265" s="0" t="n">
        <v>3</v>
      </c>
      <c r="B265" s="59" t="n">
        <v>46207</v>
      </c>
      <c r="C265" s="0" t="n">
        <v>11</v>
      </c>
      <c r="D265" s="0" t="s">
        <v>2126</v>
      </c>
      <c r="E265" s="0" t="n">
        <v>1723</v>
      </c>
      <c r="F265" s="0" t="s">
        <v>77</v>
      </c>
      <c r="I265" s="0" t="n">
        <v>172594</v>
      </c>
      <c r="J265" s="0" t="n">
        <v>29079</v>
      </c>
      <c r="K265" s="0" t="n">
        <v>55515</v>
      </c>
      <c r="L265" s="0" t="s">
        <v>2213</v>
      </c>
      <c r="N265" s="0" t="n">
        <v>137.4</v>
      </c>
      <c r="O265" s="60" t="n">
        <v>4396.8</v>
      </c>
    </row>
    <row r="266" customFormat="false" ht="15" hidden="false" customHeight="false" outlineLevel="0" collapsed="false">
      <c r="A266" s="0" t="n">
        <v>3</v>
      </c>
      <c r="B266" s="59" t="n">
        <v>46207</v>
      </c>
      <c r="C266" s="0" t="n">
        <v>11</v>
      </c>
      <c r="D266" s="0" t="s">
        <v>2126</v>
      </c>
      <c r="E266" s="0" t="n">
        <v>1723</v>
      </c>
      <c r="F266" s="0" t="s">
        <v>77</v>
      </c>
      <c r="I266" s="0" t="n">
        <v>172594</v>
      </c>
      <c r="J266" s="0" t="n">
        <v>29080</v>
      </c>
      <c r="K266" s="0" t="n">
        <v>55516</v>
      </c>
      <c r="L266" s="0" t="s">
        <v>2137</v>
      </c>
      <c r="N266" s="0" t="n">
        <v>55.4</v>
      </c>
      <c r="O266" s="60" t="n">
        <v>1218.8</v>
      </c>
    </row>
    <row r="267" customFormat="false" ht="15" hidden="false" customHeight="false" outlineLevel="0" collapsed="false">
      <c r="A267" s="0" t="n">
        <v>3</v>
      </c>
      <c r="B267" s="59" t="n">
        <v>46207</v>
      </c>
      <c r="C267" s="0" t="n">
        <v>11</v>
      </c>
      <c r="D267" s="0" t="s">
        <v>2126</v>
      </c>
      <c r="E267" s="0" t="n">
        <v>10009</v>
      </c>
      <c r="F267" s="0" t="s">
        <v>375</v>
      </c>
      <c r="I267" s="0" t="n">
        <v>1424293</v>
      </c>
      <c r="J267" s="0" t="n">
        <v>103473</v>
      </c>
      <c r="K267" s="0" t="n">
        <v>7891000367506</v>
      </c>
      <c r="L267" s="0" t="s">
        <v>2322</v>
      </c>
      <c r="N267" s="0" t="n">
        <v>32</v>
      </c>
      <c r="O267" s="60" t="n">
        <v>52.2</v>
      </c>
    </row>
    <row r="268" customFormat="false" ht="15" hidden="false" customHeight="false" outlineLevel="0" collapsed="false">
      <c r="A268" s="0" t="n">
        <v>3</v>
      </c>
      <c r="B268" s="59" t="n">
        <v>46207</v>
      </c>
      <c r="C268" s="0" t="n">
        <v>11</v>
      </c>
      <c r="D268" s="0" t="s">
        <v>2126</v>
      </c>
      <c r="E268" s="0" t="n">
        <v>10009</v>
      </c>
      <c r="F268" s="0" t="s">
        <v>375</v>
      </c>
      <c r="I268" s="0" t="n">
        <v>1424293</v>
      </c>
      <c r="J268" s="0" t="n">
        <v>15573</v>
      </c>
      <c r="K268" s="0" t="n">
        <v>7891000089194</v>
      </c>
      <c r="L268" s="0" t="s">
        <v>2323</v>
      </c>
      <c r="N268" s="0" t="n">
        <v>30</v>
      </c>
      <c r="O268" s="60" t="n">
        <v>132.44</v>
      </c>
    </row>
    <row r="269" customFormat="false" ht="15" hidden="false" customHeight="false" outlineLevel="0" collapsed="false">
      <c r="A269" s="0" t="n">
        <v>3</v>
      </c>
      <c r="B269" s="59" t="n">
        <v>46207</v>
      </c>
      <c r="C269" s="0" t="n">
        <v>11</v>
      </c>
      <c r="D269" s="0" t="s">
        <v>2126</v>
      </c>
      <c r="E269" s="0" t="n">
        <v>10009</v>
      </c>
      <c r="F269" s="0" t="s">
        <v>375</v>
      </c>
      <c r="I269" s="0" t="n">
        <v>1424293</v>
      </c>
      <c r="J269" s="0" t="n">
        <v>17241</v>
      </c>
      <c r="K269" s="0" t="n">
        <v>78910041</v>
      </c>
      <c r="L269" s="0" t="s">
        <v>2324</v>
      </c>
      <c r="N269" s="0" t="n">
        <v>40</v>
      </c>
      <c r="O269" s="60" t="n">
        <v>34.79</v>
      </c>
    </row>
    <row r="270" customFormat="false" ht="15" hidden="false" customHeight="false" outlineLevel="0" collapsed="false">
      <c r="A270" s="0" t="n">
        <v>3</v>
      </c>
      <c r="B270" s="59" t="n">
        <v>46207</v>
      </c>
      <c r="C270" s="0" t="n">
        <v>11</v>
      </c>
      <c r="D270" s="0" t="s">
        <v>2126</v>
      </c>
      <c r="E270" s="0" t="n">
        <v>10009</v>
      </c>
      <c r="F270" s="0" t="s">
        <v>375</v>
      </c>
      <c r="I270" s="0" t="n">
        <v>1424293</v>
      </c>
      <c r="J270" s="0" t="n">
        <v>25948</v>
      </c>
      <c r="K270" s="0" t="n">
        <v>7891000247624</v>
      </c>
      <c r="L270" s="0" t="s">
        <v>2325</v>
      </c>
      <c r="N270" s="0" t="n">
        <v>12</v>
      </c>
      <c r="O270" s="60" t="n">
        <v>31.09</v>
      </c>
    </row>
    <row r="271" customFormat="false" ht="15" hidden="false" customHeight="false" outlineLevel="0" collapsed="false">
      <c r="A271" s="0" t="n">
        <v>3</v>
      </c>
      <c r="B271" s="59" t="n">
        <v>46207</v>
      </c>
      <c r="C271" s="0" t="n">
        <v>11</v>
      </c>
      <c r="D271" s="0" t="s">
        <v>2126</v>
      </c>
      <c r="E271" s="0" t="n">
        <v>10009</v>
      </c>
      <c r="F271" s="0" t="s">
        <v>375</v>
      </c>
      <c r="I271" s="0" t="n">
        <v>1424293</v>
      </c>
      <c r="J271" s="0" t="n">
        <v>26982</v>
      </c>
      <c r="K271" s="0" t="n">
        <v>7891000255445</v>
      </c>
      <c r="L271" s="0" t="s">
        <v>2326</v>
      </c>
      <c r="N271" s="0" t="n">
        <v>20</v>
      </c>
      <c r="O271" s="60" t="n">
        <v>104.56</v>
      </c>
    </row>
    <row r="272" customFormat="false" ht="15" hidden="false" customHeight="false" outlineLevel="0" collapsed="false">
      <c r="A272" s="0" t="n">
        <v>3</v>
      </c>
      <c r="B272" s="59" t="n">
        <v>46207</v>
      </c>
      <c r="C272" s="0" t="n">
        <v>11</v>
      </c>
      <c r="D272" s="0" t="s">
        <v>2126</v>
      </c>
      <c r="E272" s="0" t="n">
        <v>10009</v>
      </c>
      <c r="F272" s="0" t="s">
        <v>375</v>
      </c>
      <c r="I272" s="0" t="n">
        <v>1424293</v>
      </c>
      <c r="J272" s="0" t="n">
        <v>27690</v>
      </c>
      <c r="K272" s="0" t="n">
        <v>7891000111161</v>
      </c>
      <c r="L272" s="0" t="s">
        <v>2327</v>
      </c>
      <c r="N272" s="0" t="n">
        <v>6</v>
      </c>
      <c r="O272" s="60" t="n">
        <v>63.51</v>
      </c>
    </row>
    <row r="273" customFormat="false" ht="15" hidden="false" customHeight="false" outlineLevel="0" collapsed="false">
      <c r="A273" s="0" t="n">
        <v>3</v>
      </c>
      <c r="B273" s="59" t="n">
        <v>46207</v>
      </c>
      <c r="C273" s="0" t="n">
        <v>11</v>
      </c>
      <c r="D273" s="0" t="s">
        <v>2126</v>
      </c>
      <c r="E273" s="0" t="n">
        <v>10009</v>
      </c>
      <c r="F273" s="0" t="s">
        <v>375</v>
      </c>
      <c r="I273" s="0" t="n">
        <v>1424293</v>
      </c>
      <c r="J273" s="0" t="n">
        <v>28349</v>
      </c>
      <c r="K273" s="0" t="n">
        <v>7891000258613</v>
      </c>
      <c r="L273" s="0" t="s">
        <v>2328</v>
      </c>
      <c r="N273" s="0" t="n">
        <v>6</v>
      </c>
      <c r="O273" s="60" t="n">
        <v>63.48</v>
      </c>
    </row>
    <row r="274" customFormat="false" ht="15" hidden="false" customHeight="false" outlineLevel="0" collapsed="false">
      <c r="A274" s="0" t="n">
        <v>3</v>
      </c>
      <c r="B274" s="59" t="n">
        <v>46207</v>
      </c>
      <c r="C274" s="0" t="n">
        <v>11</v>
      </c>
      <c r="D274" s="0" t="s">
        <v>2126</v>
      </c>
      <c r="E274" s="0" t="n">
        <v>10009</v>
      </c>
      <c r="F274" s="0" t="s">
        <v>375</v>
      </c>
      <c r="I274" s="0" t="n">
        <v>1424293</v>
      </c>
      <c r="J274" s="0" t="n">
        <v>36740</v>
      </c>
      <c r="K274" s="0" t="n">
        <v>7891008116823</v>
      </c>
      <c r="L274" s="0" t="s">
        <v>2329</v>
      </c>
      <c r="N274" s="0" t="n">
        <v>40</v>
      </c>
      <c r="O274" s="60" t="n">
        <v>34.79</v>
      </c>
    </row>
    <row r="275" customFormat="false" ht="15" hidden="false" customHeight="false" outlineLevel="0" collapsed="false">
      <c r="A275" s="0" t="n">
        <v>3</v>
      </c>
      <c r="B275" s="59" t="n">
        <v>46207</v>
      </c>
      <c r="C275" s="0" t="n">
        <v>11</v>
      </c>
      <c r="D275" s="0" t="s">
        <v>2126</v>
      </c>
      <c r="E275" s="0" t="n">
        <v>10009</v>
      </c>
      <c r="F275" s="0" t="s">
        <v>375</v>
      </c>
      <c r="I275" s="0" t="n">
        <v>1424293</v>
      </c>
      <c r="J275" s="0" t="n">
        <v>43621</v>
      </c>
      <c r="K275" s="0" t="n">
        <v>7891000357460</v>
      </c>
      <c r="L275" s="0" t="s">
        <v>2330</v>
      </c>
      <c r="N275" s="0" t="n">
        <v>6</v>
      </c>
      <c r="O275" s="60" t="n">
        <v>51.62</v>
      </c>
    </row>
    <row r="276" customFormat="false" ht="15" hidden="false" customHeight="false" outlineLevel="0" collapsed="false">
      <c r="A276" s="0" t="n">
        <v>3</v>
      </c>
      <c r="B276" s="59" t="n">
        <v>46207</v>
      </c>
      <c r="C276" s="0" t="n">
        <v>11</v>
      </c>
      <c r="D276" s="0" t="s">
        <v>2126</v>
      </c>
      <c r="E276" s="0" t="n">
        <v>10009</v>
      </c>
      <c r="F276" s="0" t="s">
        <v>375</v>
      </c>
      <c r="I276" s="0" t="n">
        <v>1424293</v>
      </c>
      <c r="J276" s="0" t="n">
        <v>44416</v>
      </c>
      <c r="K276" s="0" t="n">
        <v>7891000356791</v>
      </c>
      <c r="L276" s="0" t="s">
        <v>2331</v>
      </c>
      <c r="N276" s="0" t="n">
        <v>6</v>
      </c>
      <c r="O276" s="60" t="n">
        <v>93.06</v>
      </c>
    </row>
    <row r="277" customFormat="false" ht="15" hidden="false" customHeight="false" outlineLevel="0" collapsed="false">
      <c r="A277" s="0" t="n">
        <v>3</v>
      </c>
      <c r="B277" s="59" t="n">
        <v>46207</v>
      </c>
      <c r="C277" s="0" t="n">
        <v>11</v>
      </c>
      <c r="D277" s="0" t="s">
        <v>2126</v>
      </c>
      <c r="E277" s="0" t="n">
        <v>10009</v>
      </c>
      <c r="F277" s="0" t="s">
        <v>375</v>
      </c>
      <c r="I277" s="0" t="n">
        <v>1424293</v>
      </c>
      <c r="J277" s="0" t="n">
        <v>48754</v>
      </c>
      <c r="K277" s="0" t="n">
        <v>7891000339558</v>
      </c>
      <c r="L277" s="0" t="s">
        <v>2332</v>
      </c>
      <c r="N277" s="0" t="n">
        <v>12</v>
      </c>
      <c r="O277" s="60" t="n">
        <v>31.11</v>
      </c>
    </row>
    <row r="278" customFormat="false" ht="15" hidden="false" customHeight="false" outlineLevel="0" collapsed="false">
      <c r="A278" s="0" t="n">
        <v>3</v>
      </c>
      <c r="B278" s="59" t="n">
        <v>46207</v>
      </c>
      <c r="C278" s="0" t="n">
        <v>11</v>
      </c>
      <c r="D278" s="0" t="s">
        <v>2126</v>
      </c>
      <c r="E278" s="0" t="n">
        <v>10009</v>
      </c>
      <c r="F278" s="0" t="s">
        <v>375</v>
      </c>
      <c r="I278" s="0" t="n">
        <v>1424293</v>
      </c>
      <c r="J278" s="0" t="n">
        <v>54906</v>
      </c>
      <c r="K278" s="0" t="n">
        <v>7891000377130</v>
      </c>
      <c r="L278" s="0" t="s">
        <v>2333</v>
      </c>
      <c r="N278" s="0" t="n">
        <v>2</v>
      </c>
      <c r="O278" s="60" t="n">
        <v>4.5</v>
      </c>
    </row>
    <row r="279" customFormat="false" ht="15" hidden="false" customHeight="false" outlineLevel="0" collapsed="false">
      <c r="A279" s="0" t="n">
        <v>3</v>
      </c>
      <c r="B279" s="59" t="n">
        <v>46207</v>
      </c>
      <c r="C279" s="0" t="n">
        <v>11</v>
      </c>
      <c r="D279" s="0" t="s">
        <v>2126</v>
      </c>
      <c r="E279" s="0" t="n">
        <v>10009</v>
      </c>
      <c r="F279" s="0" t="s">
        <v>375</v>
      </c>
      <c r="I279" s="0" t="n">
        <v>1424293</v>
      </c>
      <c r="J279" s="0" t="n">
        <v>61565</v>
      </c>
      <c r="K279" s="0" t="n">
        <v>7891000385791</v>
      </c>
      <c r="L279" s="0" t="s">
        <v>2334</v>
      </c>
      <c r="N279" s="0" t="n">
        <v>6</v>
      </c>
      <c r="O279" s="60" t="n">
        <v>63.52</v>
      </c>
    </row>
    <row r="280" customFormat="false" ht="15" hidden="false" customHeight="false" outlineLevel="0" collapsed="false">
      <c r="A280" s="0" t="n">
        <v>3</v>
      </c>
      <c r="B280" s="59" t="n">
        <v>46207</v>
      </c>
      <c r="C280" s="0" t="n">
        <v>11</v>
      </c>
      <c r="D280" s="0" t="s">
        <v>2126</v>
      </c>
      <c r="E280" s="0" t="n">
        <v>10009</v>
      </c>
      <c r="F280" s="0" t="s">
        <v>375</v>
      </c>
      <c r="I280" s="0" t="n">
        <v>1424293</v>
      </c>
      <c r="J280" s="0" t="n">
        <v>64041</v>
      </c>
      <c r="K280" s="0" t="n">
        <v>7891000394939</v>
      </c>
      <c r="L280" s="0" t="s">
        <v>2335</v>
      </c>
      <c r="N280" s="0" t="n">
        <v>6</v>
      </c>
      <c r="O280" s="60" t="n">
        <v>73.94</v>
      </c>
    </row>
    <row r="281" customFormat="false" ht="15" hidden="false" customHeight="false" outlineLevel="0" collapsed="false">
      <c r="A281" s="0" t="n">
        <v>3</v>
      </c>
      <c r="B281" s="59" t="n">
        <v>46207</v>
      </c>
      <c r="C281" s="0" t="n">
        <v>11</v>
      </c>
      <c r="D281" s="0" t="s">
        <v>2126</v>
      </c>
      <c r="E281" s="0" t="n">
        <v>10009</v>
      </c>
      <c r="F281" s="0" t="s">
        <v>375</v>
      </c>
      <c r="I281" s="0" t="n">
        <v>1424293</v>
      </c>
      <c r="J281" s="0" t="n">
        <v>81180</v>
      </c>
      <c r="K281" s="0" t="n">
        <v>7891000457368</v>
      </c>
      <c r="L281" s="0" t="s">
        <v>2336</v>
      </c>
      <c r="N281" s="0" t="n">
        <v>35</v>
      </c>
      <c r="O281" s="60" t="n">
        <v>79.81</v>
      </c>
    </row>
    <row r="282" customFormat="false" ht="15" hidden="false" customHeight="false" outlineLevel="0" collapsed="false">
      <c r="A282" s="0" t="n">
        <v>3</v>
      </c>
      <c r="B282" s="59" t="n">
        <v>46207</v>
      </c>
      <c r="C282" s="0" t="n">
        <v>22</v>
      </c>
      <c r="D282" s="0" t="s">
        <v>2172</v>
      </c>
      <c r="E282" s="0" t="n">
        <v>42</v>
      </c>
      <c r="F282" s="0" t="s">
        <v>81</v>
      </c>
      <c r="I282" s="0" t="n">
        <v>4352</v>
      </c>
      <c r="J282" s="0" t="n">
        <v>100000</v>
      </c>
      <c r="K282" s="0" t="n">
        <v>1</v>
      </c>
      <c r="L282" s="0" t="s">
        <v>2173</v>
      </c>
      <c r="N282" s="0" t="n">
        <v>2.03</v>
      </c>
      <c r="O282" s="60" t="n">
        <v>44</v>
      </c>
    </row>
    <row r="283" customFormat="false" ht="15" hidden="false" customHeight="false" outlineLevel="0" collapsed="false">
      <c r="A283" s="0" t="n">
        <v>3</v>
      </c>
      <c r="B283" s="59" t="n">
        <v>46207</v>
      </c>
      <c r="C283" s="0" t="n">
        <v>22</v>
      </c>
      <c r="D283" s="0" t="s">
        <v>2172</v>
      </c>
      <c r="E283" s="0" t="n">
        <v>42</v>
      </c>
      <c r="F283" s="0" t="s">
        <v>81</v>
      </c>
      <c r="I283" s="0" t="n">
        <v>4352</v>
      </c>
      <c r="J283" s="0" t="n">
        <v>100000</v>
      </c>
      <c r="K283" s="0" t="n">
        <v>1</v>
      </c>
      <c r="L283" s="0" t="s">
        <v>2173</v>
      </c>
      <c r="N283" s="0" t="n">
        <v>5.561</v>
      </c>
      <c r="O283" s="60" t="n">
        <v>128.14</v>
      </c>
    </row>
    <row r="284" customFormat="false" ht="15" hidden="false" customHeight="false" outlineLevel="0" collapsed="false">
      <c r="A284" s="0" t="n">
        <v>3</v>
      </c>
      <c r="B284" s="59" t="n">
        <v>46207</v>
      </c>
      <c r="C284" s="0" t="n">
        <v>22</v>
      </c>
      <c r="D284" s="0" t="s">
        <v>2172</v>
      </c>
      <c r="E284" s="0" t="n">
        <v>42</v>
      </c>
      <c r="F284" s="0" t="s">
        <v>81</v>
      </c>
      <c r="I284" s="0" t="n">
        <v>4352</v>
      </c>
      <c r="J284" s="0" t="n">
        <v>100001</v>
      </c>
      <c r="K284" s="0" t="n">
        <v>2</v>
      </c>
      <c r="L284" s="0" t="s">
        <v>2174</v>
      </c>
      <c r="N284" s="0" t="n">
        <v>12.365</v>
      </c>
      <c r="O284" s="60" t="n">
        <v>286.53</v>
      </c>
    </row>
    <row r="285" customFormat="false" ht="15" hidden="false" customHeight="false" outlineLevel="0" collapsed="false">
      <c r="A285" s="0" t="n">
        <v>3</v>
      </c>
      <c r="B285" s="59" t="n">
        <v>46207</v>
      </c>
      <c r="C285" s="0" t="n">
        <v>22</v>
      </c>
      <c r="D285" s="0" t="s">
        <v>2172</v>
      </c>
      <c r="E285" s="0" t="n">
        <v>42</v>
      </c>
      <c r="F285" s="0" t="s">
        <v>81</v>
      </c>
      <c r="I285" s="0" t="n">
        <v>4352</v>
      </c>
      <c r="J285" s="0" t="n">
        <v>100002</v>
      </c>
      <c r="K285" s="0" t="n">
        <v>3</v>
      </c>
      <c r="L285" s="0" t="s">
        <v>2175</v>
      </c>
      <c r="N285" s="0" t="n">
        <v>15.875</v>
      </c>
      <c r="O285" s="60" t="n">
        <v>379.74</v>
      </c>
    </row>
    <row r="286" customFormat="false" ht="15" hidden="false" customHeight="false" outlineLevel="0" collapsed="false">
      <c r="A286" s="0" t="n">
        <v>3</v>
      </c>
      <c r="B286" s="59" t="n">
        <v>46207</v>
      </c>
      <c r="C286" s="0" t="n">
        <v>22</v>
      </c>
      <c r="D286" s="0" t="s">
        <v>2172</v>
      </c>
      <c r="E286" s="0" t="n">
        <v>42</v>
      </c>
      <c r="F286" s="0" t="s">
        <v>81</v>
      </c>
      <c r="I286" s="0" t="n">
        <v>4352</v>
      </c>
      <c r="J286" s="0" t="n">
        <v>100003</v>
      </c>
      <c r="K286" s="0" t="n">
        <v>4</v>
      </c>
      <c r="L286" s="0" t="s">
        <v>2176</v>
      </c>
      <c r="N286" s="0" t="n">
        <v>15.821</v>
      </c>
      <c r="O286" s="60" t="n">
        <v>413.94</v>
      </c>
    </row>
    <row r="287" customFormat="false" ht="15" hidden="false" customHeight="false" outlineLevel="0" collapsed="false">
      <c r="A287" s="0" t="n">
        <v>3</v>
      </c>
      <c r="B287" s="59" t="n">
        <v>46207</v>
      </c>
      <c r="C287" s="0" t="n">
        <v>22</v>
      </c>
      <c r="D287" s="0" t="s">
        <v>2172</v>
      </c>
      <c r="E287" s="0" t="n">
        <v>42</v>
      </c>
      <c r="F287" s="0" t="s">
        <v>81</v>
      </c>
      <c r="I287" s="0" t="n">
        <v>4352</v>
      </c>
      <c r="J287" s="0" t="n">
        <v>100006</v>
      </c>
      <c r="K287" s="0" t="n">
        <v>7</v>
      </c>
      <c r="L287" s="0" t="s">
        <v>2228</v>
      </c>
      <c r="N287" s="0" t="n">
        <v>10.414</v>
      </c>
      <c r="O287" s="60" t="n">
        <v>331.02</v>
      </c>
    </row>
    <row r="288" customFormat="false" ht="15" hidden="false" customHeight="false" outlineLevel="0" collapsed="false">
      <c r="A288" s="0" t="n">
        <v>3</v>
      </c>
      <c r="B288" s="59" t="n">
        <v>46207</v>
      </c>
      <c r="C288" s="0" t="n">
        <v>22</v>
      </c>
      <c r="D288" s="0" t="s">
        <v>2172</v>
      </c>
      <c r="E288" s="0" t="n">
        <v>42</v>
      </c>
      <c r="F288" s="0" t="s">
        <v>81</v>
      </c>
      <c r="I288" s="0" t="n">
        <v>4352</v>
      </c>
      <c r="J288" s="0" t="n">
        <v>100007</v>
      </c>
      <c r="K288" s="0" t="n">
        <v>8</v>
      </c>
      <c r="L288" s="0" t="s">
        <v>2177</v>
      </c>
      <c r="N288" s="0" t="n">
        <v>3.29</v>
      </c>
      <c r="O288" s="60" t="n">
        <v>83.62</v>
      </c>
    </row>
    <row r="289" customFormat="false" ht="15" hidden="false" customHeight="false" outlineLevel="0" collapsed="false">
      <c r="A289" s="0" t="n">
        <v>3</v>
      </c>
      <c r="B289" s="59" t="n">
        <v>46207</v>
      </c>
      <c r="C289" s="0" t="n">
        <v>22</v>
      </c>
      <c r="D289" s="0" t="s">
        <v>2172</v>
      </c>
      <c r="E289" s="0" t="n">
        <v>42</v>
      </c>
      <c r="F289" s="0" t="s">
        <v>81</v>
      </c>
      <c r="I289" s="0" t="n">
        <v>4352</v>
      </c>
      <c r="J289" s="0" t="n">
        <v>100008</v>
      </c>
      <c r="K289" s="0" t="n">
        <v>9</v>
      </c>
      <c r="L289" s="0" t="s">
        <v>2229</v>
      </c>
      <c r="N289" s="0" t="n">
        <v>24.439</v>
      </c>
      <c r="O289" s="60" t="n">
        <v>796.23</v>
      </c>
    </row>
    <row r="290" customFormat="false" ht="15" hidden="false" customHeight="false" outlineLevel="0" collapsed="false">
      <c r="A290" s="0" t="n">
        <v>3</v>
      </c>
      <c r="B290" s="59" t="n">
        <v>46207</v>
      </c>
      <c r="C290" s="0" t="n">
        <v>22</v>
      </c>
      <c r="D290" s="0" t="s">
        <v>2172</v>
      </c>
      <c r="E290" s="0" t="n">
        <v>42</v>
      </c>
      <c r="F290" s="0" t="s">
        <v>81</v>
      </c>
      <c r="I290" s="0" t="n">
        <v>4352</v>
      </c>
      <c r="J290" s="0" t="n">
        <v>100010</v>
      </c>
      <c r="K290" s="0" t="n">
        <v>11</v>
      </c>
      <c r="L290" s="0" t="s">
        <v>2230</v>
      </c>
      <c r="N290" s="0" t="n">
        <v>6.068</v>
      </c>
      <c r="O290" s="60" t="n">
        <v>226.64</v>
      </c>
    </row>
    <row r="291" customFormat="false" ht="15" hidden="false" customHeight="false" outlineLevel="0" collapsed="false">
      <c r="A291" s="0" t="n">
        <v>3</v>
      </c>
      <c r="B291" s="59" t="n">
        <v>46207</v>
      </c>
      <c r="C291" s="0" t="n">
        <v>22</v>
      </c>
      <c r="D291" s="0" t="s">
        <v>2172</v>
      </c>
      <c r="E291" s="0" t="n">
        <v>42</v>
      </c>
      <c r="F291" s="0" t="s">
        <v>81</v>
      </c>
      <c r="I291" s="0" t="n">
        <v>4352</v>
      </c>
      <c r="J291" s="0" t="n">
        <v>100011</v>
      </c>
      <c r="K291" s="0" t="n">
        <v>12</v>
      </c>
      <c r="L291" s="0" t="s">
        <v>2231</v>
      </c>
      <c r="N291" s="0" t="n">
        <v>11.924</v>
      </c>
      <c r="O291" s="60" t="n">
        <v>445.36</v>
      </c>
    </row>
    <row r="292" customFormat="false" ht="15" hidden="false" customHeight="false" outlineLevel="0" collapsed="false">
      <c r="A292" s="0" t="n">
        <v>3</v>
      </c>
      <c r="B292" s="59" t="n">
        <v>46207</v>
      </c>
      <c r="C292" s="0" t="n">
        <v>22</v>
      </c>
      <c r="D292" s="0" t="s">
        <v>2172</v>
      </c>
      <c r="E292" s="0" t="n">
        <v>42</v>
      </c>
      <c r="F292" s="0" t="s">
        <v>81</v>
      </c>
      <c r="I292" s="0" t="n">
        <v>4352</v>
      </c>
      <c r="J292" s="0" t="n">
        <v>100012</v>
      </c>
      <c r="K292" s="0" t="n">
        <v>13</v>
      </c>
      <c r="L292" s="0" t="s">
        <v>2232</v>
      </c>
      <c r="N292" s="0" t="n">
        <v>10.699</v>
      </c>
      <c r="O292" s="60" t="n">
        <v>433.62</v>
      </c>
    </row>
    <row r="293" customFormat="false" ht="15" hidden="false" customHeight="false" outlineLevel="0" collapsed="false">
      <c r="A293" s="0" t="n">
        <v>3</v>
      </c>
      <c r="B293" s="59" t="n">
        <v>46207</v>
      </c>
      <c r="C293" s="0" t="n">
        <v>22</v>
      </c>
      <c r="D293" s="0" t="s">
        <v>2172</v>
      </c>
      <c r="E293" s="0" t="n">
        <v>42</v>
      </c>
      <c r="F293" s="0" t="s">
        <v>81</v>
      </c>
      <c r="I293" s="0" t="n">
        <v>4352</v>
      </c>
      <c r="J293" s="0" t="n">
        <v>100013</v>
      </c>
      <c r="K293" s="0" t="n">
        <v>14</v>
      </c>
      <c r="L293" s="0" t="s">
        <v>2233</v>
      </c>
      <c r="N293" s="0" t="n">
        <v>22.84</v>
      </c>
      <c r="O293" s="60" t="n">
        <v>998.3</v>
      </c>
    </row>
    <row r="294" customFormat="false" ht="15" hidden="false" customHeight="false" outlineLevel="0" collapsed="false">
      <c r="A294" s="0" t="n">
        <v>3</v>
      </c>
      <c r="B294" s="59" t="n">
        <v>46207</v>
      </c>
      <c r="C294" s="0" t="n">
        <v>22</v>
      </c>
      <c r="D294" s="0" t="s">
        <v>2172</v>
      </c>
      <c r="E294" s="0" t="n">
        <v>42</v>
      </c>
      <c r="F294" s="0" t="s">
        <v>81</v>
      </c>
      <c r="I294" s="0" t="n">
        <v>4352</v>
      </c>
      <c r="J294" s="0" t="n">
        <v>100014</v>
      </c>
      <c r="K294" s="0" t="n">
        <v>15</v>
      </c>
      <c r="L294" s="0" t="s">
        <v>2234</v>
      </c>
      <c r="N294" s="0" t="n">
        <v>8.486</v>
      </c>
      <c r="O294" s="60" t="n">
        <v>377.65</v>
      </c>
    </row>
    <row r="295" customFormat="false" ht="15" hidden="false" customHeight="false" outlineLevel="0" collapsed="false">
      <c r="A295" s="0" t="n">
        <v>3</v>
      </c>
      <c r="B295" s="59" t="n">
        <v>46207</v>
      </c>
      <c r="C295" s="0" t="n">
        <v>22</v>
      </c>
      <c r="D295" s="0" t="s">
        <v>2172</v>
      </c>
      <c r="E295" s="0" t="n">
        <v>42</v>
      </c>
      <c r="F295" s="0" t="s">
        <v>81</v>
      </c>
      <c r="I295" s="0" t="n">
        <v>4352</v>
      </c>
      <c r="J295" s="0" t="n">
        <v>100015</v>
      </c>
      <c r="K295" s="0" t="n">
        <v>16</v>
      </c>
      <c r="L295" s="0" t="s">
        <v>2235</v>
      </c>
      <c r="N295" s="0" t="n">
        <v>2.857</v>
      </c>
      <c r="O295" s="60" t="n">
        <v>115.79</v>
      </c>
    </row>
    <row r="296" customFormat="false" ht="15" hidden="false" customHeight="false" outlineLevel="0" collapsed="false">
      <c r="A296" s="0" t="n">
        <v>3</v>
      </c>
      <c r="B296" s="59" t="n">
        <v>46207</v>
      </c>
      <c r="C296" s="0" t="n">
        <v>22</v>
      </c>
      <c r="D296" s="0" t="s">
        <v>2172</v>
      </c>
      <c r="E296" s="0" t="n">
        <v>42</v>
      </c>
      <c r="F296" s="0" t="s">
        <v>81</v>
      </c>
      <c r="I296" s="0" t="n">
        <v>4352</v>
      </c>
      <c r="J296" s="0" t="n">
        <v>100016</v>
      </c>
      <c r="K296" s="0" t="n">
        <v>17</v>
      </c>
      <c r="L296" s="0" t="s">
        <v>2236</v>
      </c>
      <c r="N296" s="0" t="n">
        <v>3.583</v>
      </c>
      <c r="O296" s="60" t="n">
        <v>156.61</v>
      </c>
    </row>
    <row r="297" customFormat="false" ht="15" hidden="false" customHeight="false" outlineLevel="0" collapsed="false">
      <c r="A297" s="0" t="n">
        <v>3</v>
      </c>
      <c r="B297" s="59" t="n">
        <v>46207</v>
      </c>
      <c r="C297" s="0" t="n">
        <v>22</v>
      </c>
      <c r="D297" s="0" t="s">
        <v>2172</v>
      </c>
      <c r="E297" s="0" t="n">
        <v>42</v>
      </c>
      <c r="F297" s="0" t="s">
        <v>81</v>
      </c>
      <c r="I297" s="0" t="n">
        <v>4352</v>
      </c>
      <c r="J297" s="0" t="n">
        <v>100017</v>
      </c>
      <c r="K297" s="0" t="n">
        <v>18</v>
      </c>
      <c r="L297" s="0" t="s">
        <v>2237</v>
      </c>
      <c r="N297" s="0" t="n">
        <v>3.261</v>
      </c>
      <c r="O297" s="60" t="n">
        <v>168.45</v>
      </c>
    </row>
    <row r="298" customFormat="false" ht="15" hidden="false" customHeight="false" outlineLevel="0" collapsed="false">
      <c r="A298" s="0" t="n">
        <v>3</v>
      </c>
      <c r="B298" s="59" t="n">
        <v>46207</v>
      </c>
      <c r="C298" s="0" t="n">
        <v>22</v>
      </c>
      <c r="D298" s="0" t="s">
        <v>2172</v>
      </c>
      <c r="E298" s="0" t="n">
        <v>42</v>
      </c>
      <c r="F298" s="0" t="s">
        <v>81</v>
      </c>
      <c r="I298" s="0" t="n">
        <v>4352</v>
      </c>
      <c r="J298" s="0" t="n">
        <v>100020</v>
      </c>
      <c r="K298" s="0" t="n">
        <v>21</v>
      </c>
      <c r="L298" s="0" t="s">
        <v>2337</v>
      </c>
      <c r="N298" s="0" t="n">
        <v>2.22</v>
      </c>
      <c r="O298" s="60" t="n">
        <v>72.33</v>
      </c>
    </row>
    <row r="299" customFormat="false" ht="15" hidden="false" customHeight="false" outlineLevel="0" collapsed="false">
      <c r="A299" s="0" t="n">
        <v>3</v>
      </c>
      <c r="B299" s="59" t="n">
        <v>46207</v>
      </c>
      <c r="C299" s="0" t="n">
        <v>22</v>
      </c>
      <c r="D299" s="0" t="s">
        <v>2172</v>
      </c>
      <c r="E299" s="0" t="n">
        <v>42</v>
      </c>
      <c r="F299" s="0" t="s">
        <v>81</v>
      </c>
      <c r="I299" s="0" t="n">
        <v>4352</v>
      </c>
      <c r="J299" s="0" t="n">
        <v>100053</v>
      </c>
      <c r="K299" s="0" t="n">
        <v>54</v>
      </c>
      <c r="L299" s="0" t="s">
        <v>2238</v>
      </c>
      <c r="N299" s="0" t="n">
        <v>2.734</v>
      </c>
      <c r="O299" s="60" t="n">
        <v>97.77</v>
      </c>
    </row>
    <row r="300" customFormat="false" ht="15" hidden="false" customHeight="false" outlineLevel="0" collapsed="false">
      <c r="A300" s="0" t="n">
        <v>3</v>
      </c>
      <c r="B300" s="59" t="n">
        <v>46207</v>
      </c>
      <c r="C300" s="0" t="n">
        <v>22</v>
      </c>
      <c r="D300" s="0" t="s">
        <v>2172</v>
      </c>
      <c r="E300" s="0" t="n">
        <v>42</v>
      </c>
      <c r="F300" s="0" t="s">
        <v>81</v>
      </c>
      <c r="I300" s="0" t="n">
        <v>4352</v>
      </c>
      <c r="J300" s="0" t="n">
        <v>100638</v>
      </c>
      <c r="K300" s="0" t="n">
        <v>508</v>
      </c>
      <c r="L300" s="0" t="s">
        <v>2178</v>
      </c>
      <c r="N300" s="0" t="n">
        <v>3.542</v>
      </c>
      <c r="O300" s="60" t="n">
        <v>5.6</v>
      </c>
    </row>
    <row r="301" customFormat="false" ht="15" hidden="false" customHeight="false" outlineLevel="0" collapsed="false">
      <c r="A301" s="0" t="n">
        <v>3</v>
      </c>
      <c r="B301" s="59" t="n">
        <v>46207</v>
      </c>
      <c r="C301" s="0" t="n">
        <v>22</v>
      </c>
      <c r="D301" s="0" t="s">
        <v>2172</v>
      </c>
      <c r="E301" s="0" t="n">
        <v>42</v>
      </c>
      <c r="F301" s="0" t="s">
        <v>81</v>
      </c>
      <c r="I301" s="0" t="n">
        <v>4352</v>
      </c>
      <c r="J301" s="0" t="n">
        <v>100638</v>
      </c>
      <c r="K301" s="0" t="n">
        <v>508</v>
      </c>
      <c r="L301" s="0" t="s">
        <v>2178</v>
      </c>
      <c r="N301" s="0" t="n">
        <v>2.122</v>
      </c>
      <c r="O301" s="60" t="n">
        <v>3.16</v>
      </c>
    </row>
    <row r="302" customFormat="false" ht="15" hidden="false" customHeight="false" outlineLevel="0" collapsed="false">
      <c r="A302" s="0" t="n">
        <v>3</v>
      </c>
      <c r="B302" s="59" t="n">
        <v>46207</v>
      </c>
      <c r="C302" s="0" t="n">
        <v>22</v>
      </c>
      <c r="D302" s="0" t="s">
        <v>2172</v>
      </c>
      <c r="E302" s="0" t="n">
        <v>42</v>
      </c>
      <c r="F302" s="0" t="s">
        <v>81</v>
      </c>
      <c r="I302" s="0" t="n">
        <v>4352</v>
      </c>
      <c r="J302" s="0" t="n">
        <v>100520</v>
      </c>
      <c r="K302" s="0" t="n">
        <v>507</v>
      </c>
      <c r="L302" s="0" t="s">
        <v>2179</v>
      </c>
      <c r="N302" s="0" t="n">
        <v>18.221</v>
      </c>
      <c r="O302" s="60" t="n">
        <v>43.3</v>
      </c>
    </row>
    <row r="303" customFormat="false" ht="15" hidden="false" customHeight="false" outlineLevel="0" collapsed="false">
      <c r="A303" s="0" t="n">
        <v>3</v>
      </c>
      <c r="B303" s="59" t="n">
        <v>46207</v>
      </c>
      <c r="C303" s="0" t="n">
        <v>22</v>
      </c>
      <c r="D303" s="0" t="s">
        <v>2172</v>
      </c>
      <c r="E303" s="0" t="n">
        <v>42</v>
      </c>
      <c r="F303" s="0" t="s">
        <v>81</v>
      </c>
      <c r="I303" s="0" t="n">
        <v>4352</v>
      </c>
      <c r="J303" s="0" t="n">
        <v>100520</v>
      </c>
      <c r="K303" s="0" t="n">
        <v>507</v>
      </c>
      <c r="L303" s="0" t="s">
        <v>2179</v>
      </c>
      <c r="N303" s="0" t="n">
        <v>3.496</v>
      </c>
      <c r="O303" s="60" t="n">
        <v>7.82</v>
      </c>
    </row>
    <row r="304" customFormat="false" ht="15" hidden="false" customHeight="false" outlineLevel="0" collapsed="false">
      <c r="A304" s="0" t="n">
        <v>3</v>
      </c>
      <c r="B304" s="59" t="n">
        <v>46207</v>
      </c>
      <c r="C304" s="0" t="n">
        <v>22</v>
      </c>
      <c r="D304" s="0" t="s">
        <v>2172</v>
      </c>
      <c r="E304" s="0" t="n">
        <v>42</v>
      </c>
      <c r="F304" s="0" t="s">
        <v>81</v>
      </c>
      <c r="I304" s="0" t="n">
        <v>4352</v>
      </c>
      <c r="J304" s="0" t="n">
        <v>110455</v>
      </c>
      <c r="K304" s="0" t="n">
        <v>53212</v>
      </c>
      <c r="L304" s="0" t="s">
        <v>2180</v>
      </c>
      <c r="N304" s="0" t="n">
        <v>0.401</v>
      </c>
      <c r="O304" s="60" t="n">
        <v>0</v>
      </c>
    </row>
    <row r="305" customFormat="false" ht="15" hidden="false" customHeight="false" outlineLevel="0" collapsed="false">
      <c r="A305" s="0" t="n">
        <v>3</v>
      </c>
      <c r="B305" s="59" t="n">
        <v>46207</v>
      </c>
      <c r="C305" s="0" t="n">
        <v>22</v>
      </c>
      <c r="D305" s="0" t="s">
        <v>2172</v>
      </c>
      <c r="E305" s="0" t="n">
        <v>42</v>
      </c>
      <c r="F305" s="0" t="s">
        <v>81</v>
      </c>
      <c r="I305" s="0" t="n">
        <v>4352</v>
      </c>
      <c r="J305" s="0" t="n">
        <v>110455</v>
      </c>
      <c r="K305" s="0" t="n">
        <v>53212</v>
      </c>
      <c r="L305" s="0" t="s">
        <v>2180</v>
      </c>
      <c r="N305" s="0" t="n">
        <v>0.551</v>
      </c>
      <c r="O305" s="60" t="n">
        <v>0</v>
      </c>
    </row>
    <row r="306" customFormat="false" ht="15" hidden="false" customHeight="false" outlineLevel="0" collapsed="false">
      <c r="A306" s="0" t="n">
        <v>3</v>
      </c>
      <c r="B306" s="59" t="n">
        <v>46207</v>
      </c>
      <c r="C306" s="0" t="n">
        <v>100</v>
      </c>
      <c r="D306" s="0" t="s">
        <v>2181</v>
      </c>
      <c r="E306" s="0" t="n">
        <v>42</v>
      </c>
      <c r="F306" s="0" t="s">
        <v>81</v>
      </c>
      <c r="I306" s="0" t="n">
        <v>1348493</v>
      </c>
      <c r="J306" s="0" t="n">
        <v>100000</v>
      </c>
      <c r="K306" s="0" t="n">
        <v>1</v>
      </c>
      <c r="L306" s="0" t="s">
        <v>2173</v>
      </c>
      <c r="N306" s="0" t="n">
        <v>2.03</v>
      </c>
      <c r="O306" s="60" t="n">
        <v>44</v>
      </c>
    </row>
    <row r="307" customFormat="false" ht="15" hidden="false" customHeight="false" outlineLevel="0" collapsed="false">
      <c r="A307" s="0" t="n">
        <v>3</v>
      </c>
      <c r="B307" s="59" t="n">
        <v>46207</v>
      </c>
      <c r="C307" s="0" t="n">
        <v>100</v>
      </c>
      <c r="D307" s="0" t="s">
        <v>2181</v>
      </c>
      <c r="E307" s="0" t="n">
        <v>42</v>
      </c>
      <c r="F307" s="0" t="s">
        <v>81</v>
      </c>
      <c r="I307" s="0" t="n">
        <v>1348493</v>
      </c>
      <c r="J307" s="0" t="n">
        <v>100001</v>
      </c>
      <c r="K307" s="0" t="n">
        <v>2</v>
      </c>
      <c r="L307" s="0" t="s">
        <v>2174</v>
      </c>
      <c r="N307" s="0" t="n">
        <v>12.365</v>
      </c>
      <c r="O307" s="60" t="n">
        <v>286.53</v>
      </c>
    </row>
    <row r="308" customFormat="false" ht="15" hidden="false" customHeight="false" outlineLevel="0" collapsed="false">
      <c r="A308" s="0" t="n">
        <v>3</v>
      </c>
      <c r="B308" s="59" t="n">
        <v>46207</v>
      </c>
      <c r="C308" s="0" t="n">
        <v>100</v>
      </c>
      <c r="D308" s="0" t="s">
        <v>2181</v>
      </c>
      <c r="E308" s="0" t="n">
        <v>42</v>
      </c>
      <c r="F308" s="0" t="s">
        <v>81</v>
      </c>
      <c r="I308" s="0" t="n">
        <v>1348493</v>
      </c>
      <c r="J308" s="0" t="n">
        <v>100002</v>
      </c>
      <c r="K308" s="0" t="n">
        <v>3</v>
      </c>
      <c r="L308" s="0" t="s">
        <v>2175</v>
      </c>
      <c r="N308" s="0" t="n">
        <v>15.875</v>
      </c>
      <c r="O308" s="60" t="n">
        <v>379.74</v>
      </c>
    </row>
    <row r="309" customFormat="false" ht="15" hidden="false" customHeight="false" outlineLevel="0" collapsed="false">
      <c r="A309" s="0" t="n">
        <v>3</v>
      </c>
      <c r="B309" s="59" t="n">
        <v>46207</v>
      </c>
      <c r="C309" s="0" t="n">
        <v>100</v>
      </c>
      <c r="D309" s="0" t="s">
        <v>2181</v>
      </c>
      <c r="E309" s="0" t="n">
        <v>42</v>
      </c>
      <c r="F309" s="0" t="s">
        <v>81</v>
      </c>
      <c r="I309" s="0" t="n">
        <v>1348493</v>
      </c>
      <c r="J309" s="0" t="n">
        <v>100003</v>
      </c>
      <c r="K309" s="0" t="n">
        <v>4</v>
      </c>
      <c r="L309" s="0" t="s">
        <v>2176</v>
      </c>
      <c r="N309" s="0" t="n">
        <v>15.821</v>
      </c>
      <c r="O309" s="60" t="n">
        <v>413.94</v>
      </c>
    </row>
    <row r="310" customFormat="false" ht="15" hidden="false" customHeight="false" outlineLevel="0" collapsed="false">
      <c r="A310" s="0" t="n">
        <v>3</v>
      </c>
      <c r="B310" s="59" t="n">
        <v>46207</v>
      </c>
      <c r="C310" s="0" t="n">
        <v>100</v>
      </c>
      <c r="D310" s="0" t="s">
        <v>2181</v>
      </c>
      <c r="E310" s="0" t="n">
        <v>42</v>
      </c>
      <c r="F310" s="0" t="s">
        <v>81</v>
      </c>
      <c r="I310" s="0" t="n">
        <v>1348493</v>
      </c>
      <c r="J310" s="0" t="n">
        <v>100007</v>
      </c>
      <c r="K310" s="0" t="n">
        <v>8</v>
      </c>
      <c r="L310" s="0" t="s">
        <v>2177</v>
      </c>
      <c r="N310" s="0" t="n">
        <v>3.29</v>
      </c>
      <c r="O310" s="60" t="n">
        <v>83.62</v>
      </c>
    </row>
    <row r="311" customFormat="false" ht="15" hidden="false" customHeight="false" outlineLevel="0" collapsed="false">
      <c r="A311" s="0" t="n">
        <v>3</v>
      </c>
      <c r="B311" s="59" t="n">
        <v>46207</v>
      </c>
      <c r="C311" s="0" t="n">
        <v>100</v>
      </c>
      <c r="D311" s="0" t="s">
        <v>2181</v>
      </c>
      <c r="E311" s="0" t="n">
        <v>42</v>
      </c>
      <c r="F311" s="0" t="s">
        <v>81</v>
      </c>
      <c r="I311" s="0" t="n">
        <v>1348493</v>
      </c>
      <c r="J311" s="0" t="n">
        <v>100638</v>
      </c>
      <c r="K311" s="0" t="n">
        <v>508</v>
      </c>
      <c r="L311" s="0" t="s">
        <v>2178</v>
      </c>
      <c r="N311" s="0" t="n">
        <v>2.122</v>
      </c>
      <c r="O311" s="60" t="n">
        <v>3.16</v>
      </c>
    </row>
    <row r="312" customFormat="false" ht="15" hidden="false" customHeight="false" outlineLevel="0" collapsed="false">
      <c r="A312" s="0" t="n">
        <v>3</v>
      </c>
      <c r="B312" s="59" t="n">
        <v>46207</v>
      </c>
      <c r="C312" s="0" t="n">
        <v>100</v>
      </c>
      <c r="D312" s="0" t="s">
        <v>2181</v>
      </c>
      <c r="E312" s="0" t="n">
        <v>42</v>
      </c>
      <c r="F312" s="0" t="s">
        <v>81</v>
      </c>
      <c r="I312" s="0" t="n">
        <v>1348493</v>
      </c>
      <c r="J312" s="0" t="n">
        <v>100520</v>
      </c>
      <c r="K312" s="0" t="n">
        <v>507</v>
      </c>
      <c r="L312" s="0" t="s">
        <v>2179</v>
      </c>
      <c r="N312" s="0" t="n">
        <v>3.496</v>
      </c>
      <c r="O312" s="60" t="n">
        <v>7.82</v>
      </c>
    </row>
    <row r="313" customFormat="false" ht="15" hidden="false" customHeight="false" outlineLevel="0" collapsed="false">
      <c r="A313" s="0" t="n">
        <v>3</v>
      </c>
      <c r="B313" s="59" t="n">
        <v>46207</v>
      </c>
      <c r="C313" s="0" t="n">
        <v>100</v>
      </c>
      <c r="D313" s="0" t="s">
        <v>2181</v>
      </c>
      <c r="E313" s="0" t="n">
        <v>42</v>
      </c>
      <c r="F313" s="0" t="s">
        <v>81</v>
      </c>
      <c r="I313" s="0" t="n">
        <v>1348493</v>
      </c>
      <c r="J313" s="0" t="n">
        <v>110455</v>
      </c>
      <c r="K313" s="0" t="n">
        <v>53212</v>
      </c>
      <c r="L313" s="0" t="s">
        <v>2180</v>
      </c>
      <c r="N313" s="0" t="n">
        <v>0.401</v>
      </c>
      <c r="O313" s="60" t="n">
        <v>0</v>
      </c>
    </row>
    <row r="314" customFormat="false" ht="15" hidden="false" customHeight="false" outlineLevel="0" collapsed="false">
      <c r="A314" s="0" t="n">
        <v>3</v>
      </c>
      <c r="B314" s="59" t="n">
        <v>46207</v>
      </c>
      <c r="C314" s="0" t="n">
        <v>100</v>
      </c>
      <c r="D314" s="0" t="s">
        <v>2181</v>
      </c>
      <c r="E314" s="0" t="n">
        <v>42</v>
      </c>
      <c r="F314" s="0" t="s">
        <v>81</v>
      </c>
      <c r="I314" s="0" t="n">
        <v>1348497</v>
      </c>
      <c r="J314" s="0" t="n">
        <v>100000</v>
      </c>
      <c r="K314" s="0" t="n">
        <v>1</v>
      </c>
      <c r="L314" s="0" t="s">
        <v>2173</v>
      </c>
      <c r="N314" s="0" t="n">
        <v>5.561</v>
      </c>
      <c r="O314" s="60" t="n">
        <v>128.14</v>
      </c>
    </row>
    <row r="315" customFormat="false" ht="15" hidden="false" customHeight="false" outlineLevel="0" collapsed="false">
      <c r="A315" s="0" t="n">
        <v>3</v>
      </c>
      <c r="B315" s="59" t="n">
        <v>46207</v>
      </c>
      <c r="C315" s="0" t="n">
        <v>100</v>
      </c>
      <c r="D315" s="0" t="s">
        <v>2181</v>
      </c>
      <c r="E315" s="0" t="n">
        <v>42</v>
      </c>
      <c r="F315" s="0" t="s">
        <v>81</v>
      </c>
      <c r="I315" s="0" t="n">
        <v>1348497</v>
      </c>
      <c r="J315" s="0" t="n">
        <v>100006</v>
      </c>
      <c r="K315" s="0" t="n">
        <v>7</v>
      </c>
      <c r="L315" s="0" t="s">
        <v>2228</v>
      </c>
      <c r="N315" s="0" t="n">
        <v>10.414</v>
      </c>
      <c r="O315" s="60" t="n">
        <v>331.02</v>
      </c>
    </row>
    <row r="316" customFormat="false" ht="15" hidden="false" customHeight="false" outlineLevel="0" collapsed="false">
      <c r="A316" s="0" t="n">
        <v>3</v>
      </c>
      <c r="B316" s="59" t="n">
        <v>46207</v>
      </c>
      <c r="C316" s="0" t="n">
        <v>100</v>
      </c>
      <c r="D316" s="0" t="s">
        <v>2181</v>
      </c>
      <c r="E316" s="0" t="n">
        <v>42</v>
      </c>
      <c r="F316" s="0" t="s">
        <v>81</v>
      </c>
      <c r="I316" s="0" t="n">
        <v>1348497</v>
      </c>
      <c r="J316" s="0" t="n">
        <v>100008</v>
      </c>
      <c r="K316" s="0" t="n">
        <v>9</v>
      </c>
      <c r="L316" s="0" t="s">
        <v>2229</v>
      </c>
      <c r="N316" s="0" t="n">
        <v>24.439</v>
      </c>
      <c r="O316" s="60" t="n">
        <v>796.23</v>
      </c>
    </row>
    <row r="317" customFormat="false" ht="15" hidden="false" customHeight="false" outlineLevel="0" collapsed="false">
      <c r="A317" s="0" t="n">
        <v>3</v>
      </c>
      <c r="B317" s="59" t="n">
        <v>46207</v>
      </c>
      <c r="C317" s="0" t="n">
        <v>100</v>
      </c>
      <c r="D317" s="0" t="s">
        <v>2181</v>
      </c>
      <c r="E317" s="0" t="n">
        <v>42</v>
      </c>
      <c r="F317" s="0" t="s">
        <v>81</v>
      </c>
      <c r="I317" s="0" t="n">
        <v>1348497</v>
      </c>
      <c r="J317" s="0" t="n">
        <v>100010</v>
      </c>
      <c r="K317" s="0" t="n">
        <v>11</v>
      </c>
      <c r="L317" s="0" t="s">
        <v>2230</v>
      </c>
      <c r="N317" s="0" t="n">
        <v>6.068</v>
      </c>
      <c r="O317" s="60" t="n">
        <v>226.64</v>
      </c>
    </row>
    <row r="318" customFormat="false" ht="15" hidden="false" customHeight="false" outlineLevel="0" collapsed="false">
      <c r="A318" s="0" t="n">
        <v>3</v>
      </c>
      <c r="B318" s="59" t="n">
        <v>46207</v>
      </c>
      <c r="C318" s="0" t="n">
        <v>100</v>
      </c>
      <c r="D318" s="0" t="s">
        <v>2181</v>
      </c>
      <c r="E318" s="0" t="n">
        <v>42</v>
      </c>
      <c r="F318" s="0" t="s">
        <v>81</v>
      </c>
      <c r="I318" s="0" t="n">
        <v>1348497</v>
      </c>
      <c r="J318" s="0" t="n">
        <v>100011</v>
      </c>
      <c r="K318" s="0" t="n">
        <v>12</v>
      </c>
      <c r="L318" s="0" t="s">
        <v>2231</v>
      </c>
      <c r="N318" s="0" t="n">
        <v>11.924</v>
      </c>
      <c r="O318" s="60" t="n">
        <v>445.36</v>
      </c>
    </row>
    <row r="319" customFormat="false" ht="15" hidden="false" customHeight="false" outlineLevel="0" collapsed="false">
      <c r="A319" s="0" t="n">
        <v>3</v>
      </c>
      <c r="B319" s="59" t="n">
        <v>46207</v>
      </c>
      <c r="C319" s="0" t="n">
        <v>100</v>
      </c>
      <c r="D319" s="0" t="s">
        <v>2181</v>
      </c>
      <c r="E319" s="0" t="n">
        <v>42</v>
      </c>
      <c r="F319" s="0" t="s">
        <v>81</v>
      </c>
      <c r="I319" s="0" t="n">
        <v>1348497</v>
      </c>
      <c r="J319" s="0" t="n">
        <v>100012</v>
      </c>
      <c r="K319" s="0" t="n">
        <v>13</v>
      </c>
      <c r="L319" s="0" t="s">
        <v>2232</v>
      </c>
      <c r="N319" s="0" t="n">
        <v>10.699</v>
      </c>
      <c r="O319" s="60" t="n">
        <v>433.62</v>
      </c>
    </row>
    <row r="320" customFormat="false" ht="15" hidden="false" customHeight="false" outlineLevel="0" collapsed="false">
      <c r="A320" s="0" t="n">
        <v>3</v>
      </c>
      <c r="B320" s="59" t="n">
        <v>46207</v>
      </c>
      <c r="C320" s="0" t="n">
        <v>100</v>
      </c>
      <c r="D320" s="0" t="s">
        <v>2181</v>
      </c>
      <c r="E320" s="0" t="n">
        <v>42</v>
      </c>
      <c r="F320" s="0" t="s">
        <v>81</v>
      </c>
      <c r="I320" s="0" t="n">
        <v>1348497</v>
      </c>
      <c r="J320" s="0" t="n">
        <v>100013</v>
      </c>
      <c r="K320" s="0" t="n">
        <v>14</v>
      </c>
      <c r="L320" s="0" t="s">
        <v>2233</v>
      </c>
      <c r="N320" s="0" t="n">
        <v>22.84</v>
      </c>
      <c r="O320" s="60" t="n">
        <v>998.3</v>
      </c>
    </row>
    <row r="321" customFormat="false" ht="15" hidden="false" customHeight="false" outlineLevel="0" collapsed="false">
      <c r="A321" s="0" t="n">
        <v>3</v>
      </c>
      <c r="B321" s="59" t="n">
        <v>46207</v>
      </c>
      <c r="C321" s="0" t="n">
        <v>100</v>
      </c>
      <c r="D321" s="0" t="s">
        <v>2181</v>
      </c>
      <c r="E321" s="0" t="n">
        <v>42</v>
      </c>
      <c r="F321" s="0" t="s">
        <v>81</v>
      </c>
      <c r="I321" s="0" t="n">
        <v>1348497</v>
      </c>
      <c r="J321" s="0" t="n">
        <v>100014</v>
      </c>
      <c r="K321" s="0" t="n">
        <v>15</v>
      </c>
      <c r="L321" s="0" t="s">
        <v>2234</v>
      </c>
      <c r="N321" s="0" t="n">
        <v>8.486</v>
      </c>
      <c r="O321" s="60" t="n">
        <v>377.65</v>
      </c>
    </row>
    <row r="322" customFormat="false" ht="15" hidden="false" customHeight="false" outlineLevel="0" collapsed="false">
      <c r="A322" s="0" t="n">
        <v>3</v>
      </c>
      <c r="B322" s="59" t="n">
        <v>46207</v>
      </c>
      <c r="C322" s="0" t="n">
        <v>100</v>
      </c>
      <c r="D322" s="0" t="s">
        <v>2181</v>
      </c>
      <c r="E322" s="0" t="n">
        <v>42</v>
      </c>
      <c r="F322" s="0" t="s">
        <v>81</v>
      </c>
      <c r="I322" s="0" t="n">
        <v>1348497</v>
      </c>
      <c r="J322" s="0" t="n">
        <v>100015</v>
      </c>
      <c r="K322" s="0" t="n">
        <v>16</v>
      </c>
      <c r="L322" s="0" t="s">
        <v>2235</v>
      </c>
      <c r="N322" s="0" t="n">
        <v>2.857</v>
      </c>
      <c r="O322" s="60" t="n">
        <v>115.79</v>
      </c>
    </row>
    <row r="323" customFormat="false" ht="15" hidden="false" customHeight="false" outlineLevel="0" collapsed="false">
      <c r="A323" s="0" t="n">
        <v>3</v>
      </c>
      <c r="B323" s="59" t="n">
        <v>46207</v>
      </c>
      <c r="C323" s="0" t="n">
        <v>100</v>
      </c>
      <c r="D323" s="0" t="s">
        <v>2181</v>
      </c>
      <c r="E323" s="0" t="n">
        <v>42</v>
      </c>
      <c r="F323" s="0" t="s">
        <v>81</v>
      </c>
      <c r="I323" s="0" t="n">
        <v>1348497</v>
      </c>
      <c r="J323" s="0" t="n">
        <v>100016</v>
      </c>
      <c r="K323" s="0" t="n">
        <v>17</v>
      </c>
      <c r="L323" s="0" t="s">
        <v>2236</v>
      </c>
      <c r="N323" s="0" t="n">
        <v>3.583</v>
      </c>
      <c r="O323" s="60" t="n">
        <v>156.61</v>
      </c>
    </row>
    <row r="324" customFormat="false" ht="15" hidden="false" customHeight="false" outlineLevel="0" collapsed="false">
      <c r="A324" s="0" t="n">
        <v>3</v>
      </c>
      <c r="B324" s="59" t="n">
        <v>46207</v>
      </c>
      <c r="C324" s="0" t="n">
        <v>100</v>
      </c>
      <c r="D324" s="0" t="s">
        <v>2181</v>
      </c>
      <c r="E324" s="0" t="n">
        <v>42</v>
      </c>
      <c r="F324" s="0" t="s">
        <v>81</v>
      </c>
      <c r="I324" s="0" t="n">
        <v>1348497</v>
      </c>
      <c r="J324" s="0" t="n">
        <v>100017</v>
      </c>
      <c r="K324" s="0" t="n">
        <v>18</v>
      </c>
      <c r="L324" s="0" t="s">
        <v>2237</v>
      </c>
      <c r="N324" s="0" t="n">
        <v>3.261</v>
      </c>
      <c r="O324" s="60" t="n">
        <v>168.45</v>
      </c>
    </row>
    <row r="325" customFormat="false" ht="15" hidden="false" customHeight="false" outlineLevel="0" collapsed="false">
      <c r="A325" s="0" t="n">
        <v>3</v>
      </c>
      <c r="B325" s="59" t="n">
        <v>46207</v>
      </c>
      <c r="C325" s="0" t="n">
        <v>100</v>
      </c>
      <c r="D325" s="0" t="s">
        <v>2181</v>
      </c>
      <c r="E325" s="0" t="n">
        <v>42</v>
      </c>
      <c r="F325" s="0" t="s">
        <v>81</v>
      </c>
      <c r="I325" s="0" t="n">
        <v>1348497</v>
      </c>
      <c r="J325" s="0" t="n">
        <v>100020</v>
      </c>
      <c r="K325" s="0" t="n">
        <v>21</v>
      </c>
      <c r="L325" s="0" t="s">
        <v>2337</v>
      </c>
      <c r="N325" s="0" t="n">
        <v>2.22</v>
      </c>
      <c r="O325" s="60" t="n">
        <v>72.33</v>
      </c>
    </row>
    <row r="326" customFormat="false" ht="15" hidden="false" customHeight="false" outlineLevel="0" collapsed="false">
      <c r="A326" s="0" t="n">
        <v>3</v>
      </c>
      <c r="B326" s="59" t="n">
        <v>46207</v>
      </c>
      <c r="C326" s="0" t="n">
        <v>100</v>
      </c>
      <c r="D326" s="0" t="s">
        <v>2181</v>
      </c>
      <c r="E326" s="0" t="n">
        <v>42</v>
      </c>
      <c r="F326" s="0" t="s">
        <v>81</v>
      </c>
      <c r="I326" s="0" t="n">
        <v>1348497</v>
      </c>
      <c r="J326" s="0" t="n">
        <v>100053</v>
      </c>
      <c r="K326" s="0" t="n">
        <v>54</v>
      </c>
      <c r="L326" s="0" t="s">
        <v>2238</v>
      </c>
      <c r="N326" s="0" t="n">
        <v>2.734</v>
      </c>
      <c r="O326" s="60" t="n">
        <v>97.77</v>
      </c>
    </row>
    <row r="327" customFormat="false" ht="15" hidden="false" customHeight="false" outlineLevel="0" collapsed="false">
      <c r="A327" s="0" t="n">
        <v>3</v>
      </c>
      <c r="B327" s="59" t="n">
        <v>46207</v>
      </c>
      <c r="C327" s="0" t="n">
        <v>100</v>
      </c>
      <c r="D327" s="0" t="s">
        <v>2181</v>
      </c>
      <c r="E327" s="0" t="n">
        <v>42</v>
      </c>
      <c r="F327" s="0" t="s">
        <v>81</v>
      </c>
      <c r="I327" s="0" t="n">
        <v>1348497</v>
      </c>
      <c r="J327" s="0" t="n">
        <v>100638</v>
      </c>
      <c r="K327" s="0" t="n">
        <v>508</v>
      </c>
      <c r="L327" s="0" t="s">
        <v>2178</v>
      </c>
      <c r="N327" s="0" t="n">
        <v>3.542</v>
      </c>
      <c r="O327" s="60" t="n">
        <v>5.6</v>
      </c>
    </row>
    <row r="328" customFormat="false" ht="15" hidden="false" customHeight="false" outlineLevel="0" collapsed="false">
      <c r="A328" s="0" t="n">
        <v>3</v>
      </c>
      <c r="B328" s="59" t="n">
        <v>46207</v>
      </c>
      <c r="C328" s="0" t="n">
        <v>100</v>
      </c>
      <c r="D328" s="0" t="s">
        <v>2181</v>
      </c>
      <c r="E328" s="0" t="n">
        <v>42</v>
      </c>
      <c r="F328" s="0" t="s">
        <v>81</v>
      </c>
      <c r="I328" s="0" t="n">
        <v>1348497</v>
      </c>
      <c r="J328" s="0" t="n">
        <v>100520</v>
      </c>
      <c r="K328" s="0" t="n">
        <v>507</v>
      </c>
      <c r="L328" s="0" t="s">
        <v>2179</v>
      </c>
      <c r="N328" s="0" t="n">
        <v>18.221</v>
      </c>
      <c r="O328" s="60" t="n">
        <v>43.3</v>
      </c>
    </row>
    <row r="329" customFormat="false" ht="15" hidden="false" customHeight="false" outlineLevel="0" collapsed="false">
      <c r="A329" s="0" t="n">
        <v>3</v>
      </c>
      <c r="B329" s="59" t="n">
        <v>46207</v>
      </c>
      <c r="C329" s="0" t="n">
        <v>100</v>
      </c>
      <c r="D329" s="0" t="s">
        <v>2181</v>
      </c>
      <c r="E329" s="0" t="n">
        <v>42</v>
      </c>
      <c r="F329" s="0" t="s">
        <v>81</v>
      </c>
      <c r="I329" s="0" t="n">
        <v>1348497</v>
      </c>
      <c r="J329" s="0" t="n">
        <v>110455</v>
      </c>
      <c r="K329" s="0" t="n">
        <v>53212</v>
      </c>
      <c r="L329" s="0" t="s">
        <v>2180</v>
      </c>
      <c r="N329" s="0" t="n">
        <v>0.551</v>
      </c>
      <c r="O329" s="60" t="n">
        <v>0</v>
      </c>
    </row>
    <row r="330" customFormat="false" ht="15" hidden="false" customHeight="false" outlineLevel="0" collapsed="false">
      <c r="A330" s="0" t="n">
        <v>3</v>
      </c>
      <c r="B330" s="59" t="n">
        <v>46209</v>
      </c>
      <c r="C330" s="0" t="n">
        <v>1</v>
      </c>
      <c r="D330" s="0" t="s">
        <v>2118</v>
      </c>
      <c r="E330" s="0" t="n">
        <v>10035</v>
      </c>
      <c r="F330" s="0" t="s">
        <v>229</v>
      </c>
      <c r="I330" s="0" t="n">
        <v>346</v>
      </c>
      <c r="J330" s="0" t="n">
        <v>38653</v>
      </c>
      <c r="K330" s="0" t="n">
        <v>7898994684275</v>
      </c>
      <c r="L330" s="0" t="s">
        <v>2338</v>
      </c>
      <c r="N330" s="0" t="n">
        <v>30</v>
      </c>
      <c r="O330" s="60" t="n">
        <v>135</v>
      </c>
    </row>
    <row r="331" customFormat="false" ht="15" hidden="false" customHeight="false" outlineLevel="0" collapsed="false">
      <c r="A331" s="0" t="n">
        <v>3</v>
      </c>
      <c r="B331" s="59" t="n">
        <v>46209</v>
      </c>
      <c r="C331" s="0" t="n">
        <v>1</v>
      </c>
      <c r="D331" s="0" t="s">
        <v>2118</v>
      </c>
      <c r="E331" s="0" t="n">
        <v>10035</v>
      </c>
      <c r="F331" s="0" t="s">
        <v>229</v>
      </c>
      <c r="I331" s="0" t="n">
        <v>346</v>
      </c>
      <c r="J331" s="0" t="n">
        <v>43726</v>
      </c>
      <c r="K331" s="0" t="n">
        <v>2245461</v>
      </c>
      <c r="L331" s="0" t="s">
        <v>2339</v>
      </c>
      <c r="N331" s="0" t="n">
        <v>10</v>
      </c>
      <c r="O331" s="60" t="n">
        <v>185</v>
      </c>
    </row>
    <row r="332" customFormat="false" ht="15" hidden="false" customHeight="false" outlineLevel="0" collapsed="false">
      <c r="A332" s="0" t="n">
        <v>3</v>
      </c>
      <c r="B332" s="59" t="n">
        <v>46209</v>
      </c>
      <c r="C332" s="0" t="n">
        <v>1</v>
      </c>
      <c r="D332" s="0" t="s">
        <v>2118</v>
      </c>
      <c r="E332" s="0" t="n">
        <v>642</v>
      </c>
      <c r="F332" s="0" t="s">
        <v>136</v>
      </c>
      <c r="I332" s="0" t="n">
        <v>521</v>
      </c>
      <c r="J332" s="0" t="n">
        <v>71766</v>
      </c>
      <c r="K332" s="0" t="n">
        <v>779180</v>
      </c>
      <c r="L332" s="0" t="s">
        <v>2340</v>
      </c>
      <c r="N332" s="0" t="n">
        <v>25</v>
      </c>
      <c r="O332" s="60" t="n">
        <v>300</v>
      </c>
    </row>
    <row r="333" customFormat="false" ht="15" hidden="false" customHeight="false" outlineLevel="0" collapsed="false">
      <c r="A333" s="0" t="n">
        <v>3</v>
      </c>
      <c r="B333" s="59" t="n">
        <v>46209</v>
      </c>
      <c r="C333" s="0" t="n">
        <v>1</v>
      </c>
      <c r="D333" s="0" t="s">
        <v>2118</v>
      </c>
      <c r="E333" s="0" t="n">
        <v>1621</v>
      </c>
      <c r="F333" s="0" t="s">
        <v>308</v>
      </c>
      <c r="I333" s="0" t="n">
        <v>888740</v>
      </c>
      <c r="J333" s="0" t="n">
        <v>103126</v>
      </c>
      <c r="K333" s="0" t="n">
        <v>7891991000727</v>
      </c>
      <c r="L333" s="0" t="s">
        <v>2341</v>
      </c>
      <c r="N333" s="0" t="n">
        <v>12</v>
      </c>
      <c r="O333" s="60" t="n">
        <v>33.86</v>
      </c>
    </row>
    <row r="334" customFormat="false" ht="15" hidden="false" customHeight="false" outlineLevel="0" collapsed="false">
      <c r="A334" s="0" t="n">
        <v>3</v>
      </c>
      <c r="B334" s="59" t="n">
        <v>46209</v>
      </c>
      <c r="C334" s="0" t="n">
        <v>1</v>
      </c>
      <c r="D334" s="0" t="s">
        <v>2118</v>
      </c>
      <c r="E334" s="0" t="n">
        <v>1621</v>
      </c>
      <c r="F334" s="0" t="s">
        <v>308</v>
      </c>
      <c r="I334" s="0" t="n">
        <v>888740</v>
      </c>
      <c r="J334" s="0" t="n">
        <v>103127</v>
      </c>
      <c r="K334" s="0" t="n">
        <v>7891991000826</v>
      </c>
      <c r="L334" s="0" t="s">
        <v>2342</v>
      </c>
      <c r="N334" s="0" t="n">
        <v>12</v>
      </c>
      <c r="O334" s="60" t="n">
        <v>36.02</v>
      </c>
    </row>
    <row r="335" customFormat="false" ht="15" hidden="false" customHeight="false" outlineLevel="0" collapsed="false">
      <c r="A335" s="0" t="n">
        <v>3</v>
      </c>
      <c r="B335" s="59" t="n">
        <v>46209</v>
      </c>
      <c r="C335" s="0" t="n">
        <v>1</v>
      </c>
      <c r="D335" s="0" t="s">
        <v>2118</v>
      </c>
      <c r="E335" s="0" t="n">
        <v>1621</v>
      </c>
      <c r="F335" s="0" t="s">
        <v>308</v>
      </c>
      <c r="I335" s="0" t="n">
        <v>888740</v>
      </c>
      <c r="J335" s="0" t="n">
        <v>103129</v>
      </c>
      <c r="K335" s="0" t="n">
        <v>7891991000840</v>
      </c>
      <c r="L335" s="0" t="s">
        <v>2343</v>
      </c>
      <c r="N335" s="0" t="n">
        <v>12</v>
      </c>
      <c r="O335" s="60" t="n">
        <v>36.02</v>
      </c>
    </row>
    <row r="336" customFormat="false" ht="15" hidden="false" customHeight="false" outlineLevel="0" collapsed="false">
      <c r="A336" s="0" t="n">
        <v>3</v>
      </c>
      <c r="B336" s="59" t="n">
        <v>46209</v>
      </c>
      <c r="C336" s="0" t="n">
        <v>1</v>
      </c>
      <c r="D336" s="0" t="s">
        <v>2118</v>
      </c>
      <c r="E336" s="0" t="n">
        <v>1621</v>
      </c>
      <c r="F336" s="0" t="s">
        <v>308</v>
      </c>
      <c r="I336" s="0" t="n">
        <v>888740</v>
      </c>
      <c r="J336" s="0" t="n">
        <v>103130</v>
      </c>
      <c r="K336" s="0" t="n">
        <v>7891149440801</v>
      </c>
      <c r="L336" s="0" t="s">
        <v>2344</v>
      </c>
      <c r="N336" s="0" t="n">
        <v>6</v>
      </c>
      <c r="O336" s="60" t="n">
        <v>33.49</v>
      </c>
    </row>
    <row r="337" customFormat="false" ht="15" hidden="false" customHeight="false" outlineLevel="0" collapsed="false">
      <c r="A337" s="0" t="n">
        <v>3</v>
      </c>
      <c r="B337" s="59" t="n">
        <v>46209</v>
      </c>
      <c r="C337" s="0" t="n">
        <v>1</v>
      </c>
      <c r="D337" s="0" t="s">
        <v>2118</v>
      </c>
      <c r="E337" s="0" t="n">
        <v>1621</v>
      </c>
      <c r="F337" s="0" t="s">
        <v>308</v>
      </c>
      <c r="I337" s="0" t="n">
        <v>888740</v>
      </c>
      <c r="J337" s="0" t="n">
        <v>103133</v>
      </c>
      <c r="K337" s="0" t="n">
        <v>7891991001373</v>
      </c>
      <c r="L337" s="0" t="s">
        <v>2345</v>
      </c>
      <c r="N337" s="0" t="n">
        <v>6</v>
      </c>
      <c r="O337" s="60" t="n">
        <v>46.19</v>
      </c>
    </row>
    <row r="338" customFormat="false" ht="15" hidden="false" customHeight="false" outlineLevel="0" collapsed="false">
      <c r="A338" s="0" t="n">
        <v>3</v>
      </c>
      <c r="B338" s="59" t="n">
        <v>46209</v>
      </c>
      <c r="C338" s="0" t="n">
        <v>1</v>
      </c>
      <c r="D338" s="0" t="s">
        <v>2118</v>
      </c>
      <c r="E338" s="0" t="n">
        <v>1621</v>
      </c>
      <c r="F338" s="0" t="s">
        <v>308</v>
      </c>
      <c r="I338" s="0" t="n">
        <v>888740</v>
      </c>
      <c r="J338" s="0" t="n">
        <v>103630</v>
      </c>
      <c r="K338" s="0" t="n">
        <v>7891991004107</v>
      </c>
      <c r="L338" s="0" t="s">
        <v>2346</v>
      </c>
      <c r="N338" s="0" t="n">
        <v>60</v>
      </c>
      <c r="O338" s="60" t="n">
        <v>275.4</v>
      </c>
    </row>
    <row r="339" customFormat="false" ht="15" hidden="false" customHeight="false" outlineLevel="0" collapsed="false">
      <c r="A339" s="0" t="n">
        <v>3</v>
      </c>
      <c r="B339" s="59" t="n">
        <v>46209</v>
      </c>
      <c r="C339" s="0" t="n">
        <v>1</v>
      </c>
      <c r="D339" s="0" t="s">
        <v>2118</v>
      </c>
      <c r="E339" s="0" t="n">
        <v>1621</v>
      </c>
      <c r="F339" s="0" t="s">
        <v>308</v>
      </c>
      <c r="I339" s="0" t="n">
        <v>888740</v>
      </c>
      <c r="J339" s="0" t="n">
        <v>103936</v>
      </c>
      <c r="K339" s="0" t="n">
        <v>7891991001342</v>
      </c>
      <c r="L339" s="0" t="s">
        <v>2347</v>
      </c>
      <c r="N339" s="0" t="n">
        <v>12</v>
      </c>
      <c r="O339" s="60" t="n">
        <v>92.39</v>
      </c>
    </row>
    <row r="340" customFormat="false" ht="15" hidden="false" customHeight="false" outlineLevel="0" collapsed="false">
      <c r="A340" s="0" t="n">
        <v>3</v>
      </c>
      <c r="B340" s="59" t="n">
        <v>46209</v>
      </c>
      <c r="C340" s="0" t="n">
        <v>1</v>
      </c>
      <c r="D340" s="0" t="s">
        <v>2118</v>
      </c>
      <c r="E340" s="0" t="n">
        <v>1621</v>
      </c>
      <c r="F340" s="0" t="s">
        <v>308</v>
      </c>
      <c r="I340" s="0" t="n">
        <v>888740</v>
      </c>
      <c r="J340" s="0" t="n">
        <v>104505</v>
      </c>
      <c r="K340" s="0" t="n">
        <v>7892840800079</v>
      </c>
      <c r="L340" s="0" t="s">
        <v>2348</v>
      </c>
      <c r="N340" s="0" t="n">
        <v>12</v>
      </c>
      <c r="O340" s="60" t="n">
        <v>34.91</v>
      </c>
    </row>
    <row r="341" customFormat="false" ht="15" hidden="false" customHeight="false" outlineLevel="0" collapsed="false">
      <c r="A341" s="0" t="n">
        <v>3</v>
      </c>
      <c r="B341" s="59" t="n">
        <v>46209</v>
      </c>
      <c r="C341" s="0" t="n">
        <v>1</v>
      </c>
      <c r="D341" s="0" t="s">
        <v>2118</v>
      </c>
      <c r="E341" s="0" t="n">
        <v>1621</v>
      </c>
      <c r="F341" s="0" t="s">
        <v>308</v>
      </c>
      <c r="I341" s="0" t="n">
        <v>888740</v>
      </c>
      <c r="J341" s="0" t="n">
        <v>108599</v>
      </c>
      <c r="K341" s="0" t="n">
        <v>7892840808051</v>
      </c>
      <c r="L341" s="0" t="s">
        <v>2349</v>
      </c>
      <c r="N341" s="0" t="n">
        <v>6</v>
      </c>
      <c r="O341" s="60" t="n">
        <v>31.23</v>
      </c>
    </row>
    <row r="342" customFormat="false" ht="15" hidden="false" customHeight="false" outlineLevel="0" collapsed="false">
      <c r="A342" s="0" t="n">
        <v>3</v>
      </c>
      <c r="B342" s="59" t="n">
        <v>46209</v>
      </c>
      <c r="C342" s="0" t="n">
        <v>1</v>
      </c>
      <c r="D342" s="0" t="s">
        <v>2118</v>
      </c>
      <c r="E342" s="0" t="n">
        <v>1621</v>
      </c>
      <c r="F342" s="0" t="s">
        <v>308</v>
      </c>
      <c r="I342" s="0" t="n">
        <v>888740</v>
      </c>
      <c r="J342" s="0" t="n">
        <v>12669</v>
      </c>
      <c r="K342" s="0" t="n">
        <v>7891991010351</v>
      </c>
      <c r="L342" s="0" t="s">
        <v>2350</v>
      </c>
      <c r="N342" s="0" t="n">
        <v>12</v>
      </c>
      <c r="O342" s="60" t="n">
        <v>34.91</v>
      </c>
    </row>
    <row r="343" customFormat="false" ht="15" hidden="false" customHeight="false" outlineLevel="0" collapsed="false">
      <c r="A343" s="0" t="n">
        <v>3</v>
      </c>
      <c r="B343" s="59" t="n">
        <v>46209</v>
      </c>
      <c r="C343" s="0" t="n">
        <v>1</v>
      </c>
      <c r="D343" s="0" t="s">
        <v>2118</v>
      </c>
      <c r="E343" s="0" t="n">
        <v>1621</v>
      </c>
      <c r="F343" s="0" t="s">
        <v>308</v>
      </c>
      <c r="I343" s="0" t="n">
        <v>888740</v>
      </c>
      <c r="J343" s="0" t="n">
        <v>12669</v>
      </c>
      <c r="K343" s="0" t="n">
        <v>7891991010351</v>
      </c>
      <c r="L343" s="0" t="s">
        <v>2350</v>
      </c>
      <c r="N343" s="0" t="n">
        <v>12</v>
      </c>
      <c r="O343" s="60" t="n">
        <v>33.16</v>
      </c>
    </row>
    <row r="344" customFormat="false" ht="15" hidden="false" customHeight="false" outlineLevel="0" collapsed="false">
      <c r="A344" s="0" t="n">
        <v>3</v>
      </c>
      <c r="B344" s="59" t="n">
        <v>46209</v>
      </c>
      <c r="C344" s="0" t="n">
        <v>1</v>
      </c>
      <c r="D344" s="0" t="s">
        <v>2118</v>
      </c>
      <c r="E344" s="0" t="n">
        <v>1621</v>
      </c>
      <c r="F344" s="0" t="s">
        <v>308</v>
      </c>
      <c r="I344" s="0" t="n">
        <v>888740</v>
      </c>
      <c r="J344" s="0" t="n">
        <v>12865</v>
      </c>
      <c r="K344" s="0" t="n">
        <v>611269101713</v>
      </c>
      <c r="L344" s="0" t="s">
        <v>2351</v>
      </c>
      <c r="N344" s="0" t="n">
        <v>4</v>
      </c>
      <c r="O344" s="60" t="n">
        <v>32.81</v>
      </c>
    </row>
    <row r="345" customFormat="false" ht="15" hidden="false" customHeight="false" outlineLevel="0" collapsed="false">
      <c r="A345" s="0" t="n">
        <v>3</v>
      </c>
      <c r="B345" s="59" t="n">
        <v>46209</v>
      </c>
      <c r="C345" s="0" t="n">
        <v>1</v>
      </c>
      <c r="D345" s="0" t="s">
        <v>2118</v>
      </c>
      <c r="E345" s="0" t="n">
        <v>1621</v>
      </c>
      <c r="F345" s="0" t="s">
        <v>308</v>
      </c>
      <c r="I345" s="0" t="n">
        <v>888740</v>
      </c>
      <c r="J345" s="0" t="n">
        <v>13504</v>
      </c>
      <c r="K345" s="0" t="n">
        <v>7892840808020</v>
      </c>
      <c r="L345" s="0" t="s">
        <v>2352</v>
      </c>
      <c r="N345" s="0" t="n">
        <v>6</v>
      </c>
      <c r="O345" s="60" t="n">
        <v>26.29</v>
      </c>
    </row>
    <row r="346" customFormat="false" ht="15" hidden="false" customHeight="false" outlineLevel="0" collapsed="false">
      <c r="A346" s="0" t="n">
        <v>3</v>
      </c>
      <c r="B346" s="59" t="n">
        <v>46209</v>
      </c>
      <c r="C346" s="0" t="n">
        <v>1</v>
      </c>
      <c r="D346" s="0" t="s">
        <v>2118</v>
      </c>
      <c r="E346" s="0" t="n">
        <v>1621</v>
      </c>
      <c r="F346" s="0" t="s">
        <v>308</v>
      </c>
      <c r="I346" s="0" t="n">
        <v>888740</v>
      </c>
      <c r="J346" s="0" t="n">
        <v>14353</v>
      </c>
      <c r="K346" s="0" t="n">
        <v>7891149103041</v>
      </c>
      <c r="L346" s="0" t="s">
        <v>2353</v>
      </c>
      <c r="N346" s="0" t="n">
        <v>24</v>
      </c>
      <c r="O346" s="60" t="n">
        <v>164.26997</v>
      </c>
    </row>
    <row r="347" customFormat="false" ht="15" hidden="false" customHeight="false" outlineLevel="0" collapsed="false">
      <c r="A347" s="0" t="n">
        <v>3</v>
      </c>
      <c r="B347" s="59" t="n">
        <v>46209</v>
      </c>
      <c r="C347" s="0" t="n">
        <v>1</v>
      </c>
      <c r="D347" s="0" t="s">
        <v>2118</v>
      </c>
      <c r="E347" s="0" t="n">
        <v>1621</v>
      </c>
      <c r="F347" s="0" t="s">
        <v>308</v>
      </c>
      <c r="I347" s="0" t="n">
        <v>888740</v>
      </c>
      <c r="J347" s="0" t="n">
        <v>16185</v>
      </c>
      <c r="K347" s="0" t="n">
        <v>7891149103102</v>
      </c>
      <c r="L347" s="0" t="s">
        <v>2354</v>
      </c>
      <c r="N347" s="0" t="n">
        <v>30</v>
      </c>
      <c r="O347" s="60" t="n">
        <v>81.990123</v>
      </c>
    </row>
    <row r="348" customFormat="false" ht="15" hidden="false" customHeight="false" outlineLevel="0" collapsed="false">
      <c r="A348" s="0" t="n">
        <v>3</v>
      </c>
      <c r="B348" s="59" t="n">
        <v>46209</v>
      </c>
      <c r="C348" s="0" t="n">
        <v>1</v>
      </c>
      <c r="D348" s="0" t="s">
        <v>2118</v>
      </c>
      <c r="E348" s="0" t="n">
        <v>1621</v>
      </c>
      <c r="F348" s="0" t="s">
        <v>308</v>
      </c>
      <c r="I348" s="0" t="n">
        <v>888740</v>
      </c>
      <c r="J348" s="0" t="n">
        <v>16653</v>
      </c>
      <c r="K348" s="0" t="n">
        <v>7891149103065</v>
      </c>
      <c r="L348" s="0" t="s">
        <v>2355</v>
      </c>
      <c r="N348" s="0" t="n">
        <v>8</v>
      </c>
      <c r="O348" s="60" t="n">
        <v>26.910113</v>
      </c>
    </row>
    <row r="349" customFormat="false" ht="15" hidden="false" customHeight="false" outlineLevel="0" collapsed="false">
      <c r="A349" s="0" t="n">
        <v>3</v>
      </c>
      <c r="B349" s="59" t="n">
        <v>46209</v>
      </c>
      <c r="C349" s="0" t="n">
        <v>1</v>
      </c>
      <c r="D349" s="0" t="s">
        <v>2118</v>
      </c>
      <c r="E349" s="0" t="n">
        <v>1621</v>
      </c>
      <c r="F349" s="0" t="s">
        <v>308</v>
      </c>
      <c r="I349" s="0" t="n">
        <v>888740</v>
      </c>
      <c r="J349" s="0" t="n">
        <v>17277</v>
      </c>
      <c r="K349" s="0" t="n">
        <v>7892840808174</v>
      </c>
      <c r="L349" s="0" t="s">
        <v>2356</v>
      </c>
      <c r="N349" s="0" t="n">
        <v>6</v>
      </c>
      <c r="O349" s="60" t="n">
        <v>31.23</v>
      </c>
    </row>
    <row r="350" customFormat="false" ht="15" hidden="false" customHeight="false" outlineLevel="0" collapsed="false">
      <c r="A350" s="0" t="n">
        <v>3</v>
      </c>
      <c r="B350" s="59" t="n">
        <v>46209</v>
      </c>
      <c r="C350" s="0" t="n">
        <v>1</v>
      </c>
      <c r="D350" s="0" t="s">
        <v>2118</v>
      </c>
      <c r="E350" s="0" t="n">
        <v>1621</v>
      </c>
      <c r="F350" s="0" t="s">
        <v>308</v>
      </c>
      <c r="I350" s="0" t="n">
        <v>888740</v>
      </c>
      <c r="J350" s="0" t="n">
        <v>17473</v>
      </c>
      <c r="K350" s="0" t="n">
        <v>7891149103270</v>
      </c>
      <c r="L350" s="0" t="s">
        <v>2357</v>
      </c>
      <c r="N350" s="0" t="n">
        <v>30</v>
      </c>
      <c r="O350" s="60" t="n">
        <v>79.420093</v>
      </c>
    </row>
    <row r="351" customFormat="false" ht="15" hidden="false" customHeight="false" outlineLevel="0" collapsed="false">
      <c r="A351" s="0" t="n">
        <v>3</v>
      </c>
      <c r="B351" s="59" t="n">
        <v>46209</v>
      </c>
      <c r="C351" s="0" t="n">
        <v>1</v>
      </c>
      <c r="D351" s="0" t="s">
        <v>2118</v>
      </c>
      <c r="E351" s="0" t="n">
        <v>1621</v>
      </c>
      <c r="F351" s="0" t="s">
        <v>308</v>
      </c>
      <c r="I351" s="0" t="n">
        <v>888740</v>
      </c>
      <c r="J351" s="0" t="n">
        <v>20610</v>
      </c>
      <c r="K351" s="0" t="n">
        <v>7891149105564</v>
      </c>
      <c r="L351" s="0" t="s">
        <v>2358</v>
      </c>
      <c r="N351" s="0" t="n">
        <v>8</v>
      </c>
      <c r="O351" s="60" t="n">
        <v>45.979886</v>
      </c>
    </row>
    <row r="352" customFormat="false" ht="15" hidden="false" customHeight="false" outlineLevel="0" collapsed="false">
      <c r="A352" s="0" t="n">
        <v>3</v>
      </c>
      <c r="B352" s="59" t="n">
        <v>46209</v>
      </c>
      <c r="C352" s="0" t="n">
        <v>1</v>
      </c>
      <c r="D352" s="0" t="s">
        <v>2118</v>
      </c>
      <c r="E352" s="0" t="n">
        <v>1621</v>
      </c>
      <c r="F352" s="0" t="s">
        <v>308</v>
      </c>
      <c r="I352" s="0" t="n">
        <v>888740</v>
      </c>
      <c r="J352" s="0" t="n">
        <v>24129</v>
      </c>
      <c r="K352" s="0" t="n">
        <v>7891991011877</v>
      </c>
      <c r="L352" s="0" t="s">
        <v>2359</v>
      </c>
      <c r="N352" s="0" t="n">
        <v>32</v>
      </c>
      <c r="O352" s="60" t="n">
        <v>92.920016</v>
      </c>
    </row>
    <row r="353" customFormat="false" ht="15" hidden="false" customHeight="false" outlineLevel="0" collapsed="false">
      <c r="A353" s="0" t="n">
        <v>3</v>
      </c>
      <c r="B353" s="59" t="n">
        <v>46209</v>
      </c>
      <c r="C353" s="0" t="n">
        <v>1</v>
      </c>
      <c r="D353" s="0" t="s">
        <v>2118</v>
      </c>
      <c r="E353" s="0" t="n">
        <v>1621</v>
      </c>
      <c r="F353" s="0" t="s">
        <v>308</v>
      </c>
      <c r="I353" s="0" t="n">
        <v>888740</v>
      </c>
      <c r="J353" s="0" t="n">
        <v>26171</v>
      </c>
      <c r="K353" s="0" t="n">
        <v>7891149000005</v>
      </c>
      <c r="L353" s="0" t="s">
        <v>2360</v>
      </c>
      <c r="N353" s="0" t="n">
        <v>60</v>
      </c>
      <c r="O353" s="60" t="n">
        <v>256.559927</v>
      </c>
    </row>
    <row r="354" customFormat="false" ht="15" hidden="false" customHeight="false" outlineLevel="0" collapsed="false">
      <c r="A354" s="0" t="n">
        <v>3</v>
      </c>
      <c r="B354" s="59" t="n">
        <v>46209</v>
      </c>
      <c r="C354" s="0" t="n">
        <v>1</v>
      </c>
      <c r="D354" s="0" t="s">
        <v>2118</v>
      </c>
      <c r="E354" s="0" t="n">
        <v>1621</v>
      </c>
      <c r="F354" s="0" t="s">
        <v>308</v>
      </c>
      <c r="I354" s="0" t="n">
        <v>888740</v>
      </c>
      <c r="J354" s="0" t="n">
        <v>26391</v>
      </c>
      <c r="K354" s="0" t="n">
        <v>7891991010061</v>
      </c>
      <c r="L354" s="0" t="s">
        <v>2361</v>
      </c>
      <c r="N354" s="0" t="n">
        <v>30</v>
      </c>
      <c r="O354" s="60" t="n">
        <v>81.990089</v>
      </c>
    </row>
    <row r="355" customFormat="false" ht="15" hidden="false" customHeight="false" outlineLevel="0" collapsed="false">
      <c r="A355" s="0" t="n">
        <v>3</v>
      </c>
      <c r="B355" s="59" t="n">
        <v>46209</v>
      </c>
      <c r="C355" s="0" t="n">
        <v>1</v>
      </c>
      <c r="D355" s="0" t="s">
        <v>2118</v>
      </c>
      <c r="E355" s="0" t="n">
        <v>1621</v>
      </c>
      <c r="F355" s="0" t="s">
        <v>308</v>
      </c>
      <c r="I355" s="0" t="n">
        <v>888740</v>
      </c>
      <c r="J355" s="0" t="n">
        <v>28304</v>
      </c>
      <c r="K355" s="0" t="n">
        <v>7891991014762</v>
      </c>
      <c r="L355" s="0" t="s">
        <v>2362</v>
      </c>
      <c r="N355" s="0" t="n">
        <v>72</v>
      </c>
      <c r="O355" s="60" t="n">
        <v>404.790091</v>
      </c>
    </row>
    <row r="356" customFormat="false" ht="15" hidden="false" customHeight="false" outlineLevel="0" collapsed="false">
      <c r="A356" s="0" t="n">
        <v>3</v>
      </c>
      <c r="B356" s="59" t="n">
        <v>46209</v>
      </c>
      <c r="C356" s="0" t="n">
        <v>1</v>
      </c>
      <c r="D356" s="0" t="s">
        <v>2118</v>
      </c>
      <c r="E356" s="0" t="n">
        <v>1621</v>
      </c>
      <c r="F356" s="0" t="s">
        <v>308</v>
      </c>
      <c r="I356" s="0" t="n">
        <v>888740</v>
      </c>
      <c r="J356" s="0" t="n">
        <v>31030</v>
      </c>
      <c r="K356" s="0" t="n">
        <v>7891991014090</v>
      </c>
      <c r="L356" s="0" t="s">
        <v>2363</v>
      </c>
      <c r="N356" s="0" t="n">
        <v>24</v>
      </c>
      <c r="O356" s="60" t="n">
        <v>76.23</v>
      </c>
    </row>
    <row r="357" customFormat="false" ht="15" hidden="false" customHeight="false" outlineLevel="0" collapsed="false">
      <c r="A357" s="0" t="n">
        <v>3</v>
      </c>
      <c r="B357" s="59" t="n">
        <v>46209</v>
      </c>
      <c r="C357" s="0" t="n">
        <v>1</v>
      </c>
      <c r="D357" s="0" t="s">
        <v>2118</v>
      </c>
      <c r="E357" s="0" t="n">
        <v>1621</v>
      </c>
      <c r="F357" s="0" t="s">
        <v>308</v>
      </c>
      <c r="I357" s="0" t="n">
        <v>888740</v>
      </c>
      <c r="J357" s="0" t="n">
        <v>31031</v>
      </c>
      <c r="K357" s="0" t="n">
        <v>7891149441204</v>
      </c>
      <c r="L357" s="0" t="s">
        <v>2364</v>
      </c>
      <c r="N357" s="0" t="n">
        <v>6</v>
      </c>
      <c r="O357" s="60" t="n">
        <v>23.74</v>
      </c>
    </row>
    <row r="358" customFormat="false" ht="15" hidden="false" customHeight="false" outlineLevel="0" collapsed="false">
      <c r="A358" s="0" t="n">
        <v>3</v>
      </c>
      <c r="B358" s="59" t="n">
        <v>46209</v>
      </c>
      <c r="C358" s="0" t="n">
        <v>1</v>
      </c>
      <c r="D358" s="0" t="s">
        <v>2118</v>
      </c>
      <c r="E358" s="0" t="n">
        <v>1621</v>
      </c>
      <c r="F358" s="0" t="s">
        <v>308</v>
      </c>
      <c r="I358" s="0" t="n">
        <v>888740</v>
      </c>
      <c r="J358" s="0" t="n">
        <v>31031</v>
      </c>
      <c r="K358" s="0" t="n">
        <v>7891149441204</v>
      </c>
      <c r="L358" s="0" t="s">
        <v>2364</v>
      </c>
      <c r="N358" s="0" t="n">
        <v>6</v>
      </c>
      <c r="O358" s="60" t="n">
        <v>24.73</v>
      </c>
    </row>
    <row r="359" customFormat="false" ht="15" hidden="false" customHeight="false" outlineLevel="0" collapsed="false">
      <c r="A359" s="0" t="n">
        <v>3</v>
      </c>
      <c r="B359" s="59" t="n">
        <v>46209</v>
      </c>
      <c r="C359" s="0" t="n">
        <v>1</v>
      </c>
      <c r="D359" s="0" t="s">
        <v>2118</v>
      </c>
      <c r="E359" s="0" t="n">
        <v>1621</v>
      </c>
      <c r="F359" s="0" t="s">
        <v>308</v>
      </c>
      <c r="I359" s="0" t="n">
        <v>888740</v>
      </c>
      <c r="J359" s="0" t="n">
        <v>31032</v>
      </c>
      <c r="K359" s="0" t="n">
        <v>7891991002561</v>
      </c>
      <c r="L359" s="0" t="s">
        <v>2365</v>
      </c>
      <c r="N359" s="0" t="n">
        <v>18</v>
      </c>
      <c r="O359" s="60" t="n">
        <v>69.38</v>
      </c>
    </row>
    <row r="360" customFormat="false" ht="15" hidden="false" customHeight="false" outlineLevel="0" collapsed="false">
      <c r="A360" s="0" t="n">
        <v>3</v>
      </c>
      <c r="B360" s="59" t="n">
        <v>46209</v>
      </c>
      <c r="C360" s="0" t="n">
        <v>1</v>
      </c>
      <c r="D360" s="0" t="s">
        <v>2118</v>
      </c>
      <c r="E360" s="0" t="n">
        <v>1621</v>
      </c>
      <c r="F360" s="0" t="s">
        <v>308</v>
      </c>
      <c r="I360" s="0" t="n">
        <v>888740</v>
      </c>
      <c r="J360" s="0" t="n">
        <v>32100</v>
      </c>
      <c r="K360" s="0" t="n">
        <v>7891991015493</v>
      </c>
      <c r="L360" s="0" t="s">
        <v>2366</v>
      </c>
      <c r="N360" s="0" t="n">
        <v>48</v>
      </c>
      <c r="O360" s="60" t="n">
        <v>205.169874</v>
      </c>
    </row>
    <row r="361" customFormat="false" ht="15" hidden="false" customHeight="false" outlineLevel="0" collapsed="false">
      <c r="A361" s="0" t="n">
        <v>3</v>
      </c>
      <c r="B361" s="59" t="n">
        <v>46209</v>
      </c>
      <c r="C361" s="0" t="n">
        <v>1</v>
      </c>
      <c r="D361" s="0" t="s">
        <v>2118</v>
      </c>
      <c r="E361" s="0" t="n">
        <v>1621</v>
      </c>
      <c r="F361" s="0" t="s">
        <v>308</v>
      </c>
      <c r="I361" s="0" t="n">
        <v>888740</v>
      </c>
      <c r="J361" s="0" t="n">
        <v>33537</v>
      </c>
      <c r="K361" s="0" t="n">
        <v>7891991294942</v>
      </c>
      <c r="L361" s="0" t="s">
        <v>2367</v>
      </c>
      <c r="N361" s="0" t="n">
        <v>96</v>
      </c>
      <c r="O361" s="60" t="n">
        <v>327.2</v>
      </c>
    </row>
    <row r="362" customFormat="false" ht="15" hidden="false" customHeight="false" outlineLevel="0" collapsed="false">
      <c r="A362" s="0" t="n">
        <v>3</v>
      </c>
      <c r="B362" s="59" t="n">
        <v>46209</v>
      </c>
      <c r="C362" s="0" t="n">
        <v>1</v>
      </c>
      <c r="D362" s="0" t="s">
        <v>2118</v>
      </c>
      <c r="E362" s="0" t="n">
        <v>1621</v>
      </c>
      <c r="F362" s="0" t="s">
        <v>308</v>
      </c>
      <c r="I362" s="0" t="n">
        <v>888740</v>
      </c>
      <c r="J362" s="0" t="n">
        <v>34937</v>
      </c>
      <c r="K362" s="0" t="n">
        <v>7891991015462</v>
      </c>
      <c r="L362" s="0" t="s">
        <v>2368</v>
      </c>
      <c r="N362" s="0" t="n">
        <v>24</v>
      </c>
      <c r="O362" s="60" t="n">
        <v>137.930037</v>
      </c>
    </row>
    <row r="363" customFormat="false" ht="15" hidden="false" customHeight="false" outlineLevel="0" collapsed="false">
      <c r="A363" s="0" t="n">
        <v>3</v>
      </c>
      <c r="B363" s="59" t="n">
        <v>46209</v>
      </c>
      <c r="C363" s="0" t="n">
        <v>1</v>
      </c>
      <c r="D363" s="0" t="s">
        <v>2118</v>
      </c>
      <c r="E363" s="0" t="n">
        <v>1621</v>
      </c>
      <c r="F363" s="0" t="s">
        <v>308</v>
      </c>
      <c r="I363" s="0" t="n">
        <v>888740</v>
      </c>
      <c r="J363" s="0" t="n">
        <v>35190</v>
      </c>
      <c r="K363" s="0" t="n">
        <v>7891991016223</v>
      </c>
      <c r="L363" s="0" t="s">
        <v>2369</v>
      </c>
      <c r="N363" s="0" t="n">
        <v>8</v>
      </c>
      <c r="O363" s="60" t="n">
        <v>35.220024</v>
      </c>
    </row>
    <row r="364" customFormat="false" ht="15" hidden="false" customHeight="false" outlineLevel="0" collapsed="false">
      <c r="A364" s="0" t="n">
        <v>3</v>
      </c>
      <c r="B364" s="59" t="n">
        <v>46209</v>
      </c>
      <c r="C364" s="0" t="n">
        <v>1</v>
      </c>
      <c r="D364" s="0" t="s">
        <v>2118</v>
      </c>
      <c r="E364" s="0" t="n">
        <v>1621</v>
      </c>
      <c r="F364" s="0" t="s">
        <v>308</v>
      </c>
      <c r="I364" s="0" t="n">
        <v>888740</v>
      </c>
      <c r="J364" s="0" t="n">
        <v>38561</v>
      </c>
      <c r="K364" s="0" t="n">
        <v>7891991295086</v>
      </c>
      <c r="L364" s="0" t="s">
        <v>2370</v>
      </c>
      <c r="N364" s="0" t="n">
        <v>60</v>
      </c>
      <c r="O364" s="60" t="n">
        <v>200.180086</v>
      </c>
    </row>
    <row r="365" customFormat="false" ht="15" hidden="false" customHeight="false" outlineLevel="0" collapsed="false">
      <c r="A365" s="0" t="n">
        <v>3</v>
      </c>
      <c r="B365" s="59" t="n">
        <v>46209</v>
      </c>
      <c r="C365" s="0" t="n">
        <v>1</v>
      </c>
      <c r="D365" s="0" t="s">
        <v>2118</v>
      </c>
      <c r="E365" s="0" t="n">
        <v>1621</v>
      </c>
      <c r="F365" s="0" t="s">
        <v>308</v>
      </c>
      <c r="I365" s="0" t="n">
        <v>888740</v>
      </c>
      <c r="J365" s="0" t="n">
        <v>40508</v>
      </c>
      <c r="K365" s="0" t="n">
        <v>7891991301138</v>
      </c>
      <c r="L365" s="0" t="s">
        <v>2371</v>
      </c>
      <c r="N365" s="0" t="n">
        <v>24</v>
      </c>
      <c r="O365" s="60" t="n">
        <v>161.649876</v>
      </c>
    </row>
    <row r="366" customFormat="false" ht="15" hidden="false" customHeight="false" outlineLevel="0" collapsed="false">
      <c r="A366" s="0" t="n">
        <v>3</v>
      </c>
      <c r="B366" s="59" t="n">
        <v>46209</v>
      </c>
      <c r="C366" s="0" t="n">
        <v>1</v>
      </c>
      <c r="D366" s="0" t="s">
        <v>2118</v>
      </c>
      <c r="E366" s="0" t="n">
        <v>1621</v>
      </c>
      <c r="F366" s="0" t="s">
        <v>308</v>
      </c>
      <c r="I366" s="0" t="n">
        <v>888740</v>
      </c>
      <c r="J366" s="0" t="n">
        <v>46066</v>
      </c>
      <c r="K366" s="0" t="n">
        <v>7891991295277</v>
      </c>
      <c r="L366" s="0" t="s">
        <v>2372</v>
      </c>
      <c r="N366" s="0" t="n">
        <v>30</v>
      </c>
      <c r="O366" s="60" t="n">
        <v>87.119906</v>
      </c>
    </row>
    <row r="367" customFormat="false" ht="15" hidden="false" customHeight="false" outlineLevel="0" collapsed="false">
      <c r="A367" s="0" t="n">
        <v>3</v>
      </c>
      <c r="B367" s="59" t="n">
        <v>46209</v>
      </c>
      <c r="C367" s="0" t="n">
        <v>1</v>
      </c>
      <c r="D367" s="0" t="s">
        <v>2118</v>
      </c>
      <c r="E367" s="0" t="n">
        <v>1621</v>
      </c>
      <c r="F367" s="0" t="s">
        <v>308</v>
      </c>
      <c r="I367" s="0" t="n">
        <v>888740</v>
      </c>
      <c r="J367" s="0" t="n">
        <v>46589</v>
      </c>
      <c r="K367" s="0" t="n">
        <v>7891991295260</v>
      </c>
      <c r="L367" s="0" t="s">
        <v>2373</v>
      </c>
      <c r="N367" s="0" t="n">
        <v>12</v>
      </c>
      <c r="O367" s="60" t="n">
        <v>90.359865</v>
      </c>
    </row>
    <row r="368" customFormat="false" ht="15" hidden="false" customHeight="false" outlineLevel="0" collapsed="false">
      <c r="A368" s="0" t="n">
        <v>3</v>
      </c>
      <c r="B368" s="59" t="n">
        <v>46209</v>
      </c>
      <c r="C368" s="0" t="n">
        <v>1</v>
      </c>
      <c r="D368" s="0" t="s">
        <v>2118</v>
      </c>
      <c r="E368" s="0" t="n">
        <v>1621</v>
      </c>
      <c r="F368" s="0" t="s">
        <v>308</v>
      </c>
      <c r="I368" s="0" t="n">
        <v>888740</v>
      </c>
      <c r="J368" s="0" t="n">
        <v>51810</v>
      </c>
      <c r="K368" s="0" t="n">
        <v>7891991010900</v>
      </c>
      <c r="L368" s="0" t="s">
        <v>2374</v>
      </c>
      <c r="N368" s="0" t="n">
        <v>15</v>
      </c>
      <c r="O368" s="60" t="n">
        <v>37.640084</v>
      </c>
    </row>
    <row r="369" customFormat="false" ht="15" hidden="false" customHeight="false" outlineLevel="0" collapsed="false">
      <c r="A369" s="0" t="n">
        <v>3</v>
      </c>
      <c r="B369" s="59" t="n">
        <v>46209</v>
      </c>
      <c r="C369" s="0" t="n">
        <v>1</v>
      </c>
      <c r="D369" s="0" t="s">
        <v>2118</v>
      </c>
      <c r="E369" s="0" t="n">
        <v>1621</v>
      </c>
      <c r="F369" s="0" t="s">
        <v>308</v>
      </c>
      <c r="I369" s="0" t="n">
        <v>888740</v>
      </c>
      <c r="J369" s="0" t="n">
        <v>54120</v>
      </c>
      <c r="K369" s="0" t="n">
        <v>7892840820862</v>
      </c>
      <c r="L369" s="0" t="s">
        <v>2375</v>
      </c>
      <c r="N369" s="0" t="n">
        <v>6</v>
      </c>
      <c r="O369" s="60" t="n">
        <v>20.55</v>
      </c>
    </row>
    <row r="370" customFormat="false" ht="15" hidden="false" customHeight="false" outlineLevel="0" collapsed="false">
      <c r="A370" s="0" t="n">
        <v>3</v>
      </c>
      <c r="B370" s="59" t="n">
        <v>46209</v>
      </c>
      <c r="C370" s="0" t="n">
        <v>1</v>
      </c>
      <c r="D370" s="0" t="s">
        <v>2118</v>
      </c>
      <c r="E370" s="0" t="n">
        <v>1621</v>
      </c>
      <c r="F370" s="0" t="s">
        <v>308</v>
      </c>
      <c r="I370" s="0" t="n">
        <v>888740</v>
      </c>
      <c r="J370" s="0" t="n">
        <v>63479</v>
      </c>
      <c r="K370" s="0" t="n">
        <v>7891991295055</v>
      </c>
      <c r="L370" s="0" t="s">
        <v>2376</v>
      </c>
      <c r="N370" s="0" t="n">
        <v>16</v>
      </c>
      <c r="O370" s="60" t="n">
        <v>86.20005</v>
      </c>
    </row>
    <row r="371" customFormat="false" ht="15" hidden="false" customHeight="false" outlineLevel="0" collapsed="false">
      <c r="A371" s="0" t="n">
        <v>3</v>
      </c>
      <c r="B371" s="59" t="n">
        <v>46209</v>
      </c>
      <c r="C371" s="0" t="n">
        <v>1</v>
      </c>
      <c r="D371" s="0" t="s">
        <v>2118</v>
      </c>
      <c r="E371" s="0" t="n">
        <v>1621</v>
      </c>
      <c r="F371" s="0" t="s">
        <v>308</v>
      </c>
      <c r="I371" s="0" t="n">
        <v>888740</v>
      </c>
      <c r="J371" s="0" t="n">
        <v>64674</v>
      </c>
      <c r="K371" s="0" t="n">
        <v>7891991304870</v>
      </c>
      <c r="L371" s="0" t="s">
        <v>2377</v>
      </c>
      <c r="N371" s="0" t="n">
        <v>48</v>
      </c>
      <c r="O371" s="60" t="n">
        <v>287.770006</v>
      </c>
    </row>
    <row r="372" customFormat="false" ht="15" hidden="false" customHeight="false" outlineLevel="0" collapsed="false">
      <c r="A372" s="0" t="n">
        <v>3</v>
      </c>
      <c r="B372" s="59" t="n">
        <v>46209</v>
      </c>
      <c r="C372" s="0" t="n">
        <v>1</v>
      </c>
      <c r="D372" s="0" t="s">
        <v>2118</v>
      </c>
      <c r="E372" s="0" t="n">
        <v>1621</v>
      </c>
      <c r="F372" s="0" t="s">
        <v>308</v>
      </c>
      <c r="I372" s="0" t="n">
        <v>888740</v>
      </c>
      <c r="J372" s="0" t="n">
        <v>73036</v>
      </c>
      <c r="K372" s="0" t="n">
        <v>7892840822019</v>
      </c>
      <c r="L372" s="0" t="s">
        <v>2378</v>
      </c>
      <c r="N372" s="0" t="n">
        <v>6</v>
      </c>
      <c r="O372" s="60" t="n">
        <v>32.87</v>
      </c>
    </row>
    <row r="373" customFormat="false" ht="15" hidden="false" customHeight="false" outlineLevel="0" collapsed="false">
      <c r="A373" s="0" t="n">
        <v>3</v>
      </c>
      <c r="B373" s="59" t="n">
        <v>46209</v>
      </c>
      <c r="C373" s="0" t="n">
        <v>1</v>
      </c>
      <c r="D373" s="0" t="s">
        <v>2118</v>
      </c>
      <c r="E373" s="0" t="n">
        <v>1621</v>
      </c>
      <c r="F373" s="0" t="s">
        <v>308</v>
      </c>
      <c r="I373" s="0" t="n">
        <v>888740</v>
      </c>
      <c r="J373" s="0" t="n">
        <v>73319</v>
      </c>
      <c r="K373" s="0" t="n">
        <v>7891991307185</v>
      </c>
      <c r="L373" s="0" t="s">
        <v>2379</v>
      </c>
      <c r="N373" s="0" t="n">
        <v>8</v>
      </c>
      <c r="O373" s="60" t="n">
        <v>45.979886</v>
      </c>
    </row>
    <row r="374" customFormat="false" ht="15" hidden="false" customHeight="false" outlineLevel="0" collapsed="false">
      <c r="A374" s="0" t="n">
        <v>3</v>
      </c>
      <c r="B374" s="59" t="n">
        <v>46209</v>
      </c>
      <c r="C374" s="0" t="n">
        <v>1</v>
      </c>
      <c r="D374" s="0" t="s">
        <v>2118</v>
      </c>
      <c r="E374" s="0" t="n">
        <v>1621</v>
      </c>
      <c r="F374" s="0" t="s">
        <v>308</v>
      </c>
      <c r="I374" s="0" t="n">
        <v>888740</v>
      </c>
      <c r="J374" s="0" t="n">
        <v>76646</v>
      </c>
      <c r="K374" s="0" t="n">
        <v>7891991307208</v>
      </c>
      <c r="L374" s="0" t="s">
        <v>2380</v>
      </c>
      <c r="N374" s="0" t="n">
        <v>12</v>
      </c>
      <c r="O374" s="60" t="n">
        <v>80.800045</v>
      </c>
    </row>
    <row r="375" customFormat="false" ht="15" hidden="false" customHeight="false" outlineLevel="0" collapsed="false">
      <c r="A375" s="0" t="n">
        <v>3</v>
      </c>
      <c r="B375" s="59" t="n">
        <v>46209</v>
      </c>
      <c r="C375" s="0" t="n">
        <v>1</v>
      </c>
      <c r="D375" s="0" t="s">
        <v>2118</v>
      </c>
      <c r="E375" s="0" t="n">
        <v>1621</v>
      </c>
      <c r="F375" s="0" t="s">
        <v>308</v>
      </c>
      <c r="I375" s="0" t="n">
        <v>888740</v>
      </c>
      <c r="J375" s="0" t="n">
        <v>78038</v>
      </c>
      <c r="K375" s="0" t="n">
        <v>7891991010481</v>
      </c>
      <c r="L375" s="0" t="s">
        <v>2381</v>
      </c>
      <c r="N375" s="0" t="n">
        <v>120</v>
      </c>
      <c r="O375" s="60" t="n">
        <v>440.960059</v>
      </c>
    </row>
    <row r="376" customFormat="false" ht="15" hidden="false" customHeight="false" outlineLevel="0" collapsed="false">
      <c r="A376" s="0" t="n">
        <v>3</v>
      </c>
      <c r="B376" s="59" t="n">
        <v>46209</v>
      </c>
      <c r="C376" s="0" t="n">
        <v>1</v>
      </c>
      <c r="D376" s="0" t="s">
        <v>2118</v>
      </c>
      <c r="E376" s="0" t="n">
        <v>1621</v>
      </c>
      <c r="F376" s="0" t="s">
        <v>308</v>
      </c>
      <c r="I376" s="0" t="n">
        <v>888740</v>
      </c>
      <c r="J376" s="0" t="n">
        <v>78062</v>
      </c>
      <c r="K376" s="0" t="n">
        <v>7891991305440</v>
      </c>
      <c r="L376" s="0" t="s">
        <v>2382</v>
      </c>
      <c r="N376" s="0" t="n">
        <v>24</v>
      </c>
      <c r="O376" s="60" t="n">
        <v>129.319895</v>
      </c>
    </row>
    <row r="377" customFormat="false" ht="15" hidden="false" customHeight="false" outlineLevel="0" collapsed="false">
      <c r="A377" s="0" t="n">
        <v>3</v>
      </c>
      <c r="B377" s="59" t="n">
        <v>46209</v>
      </c>
      <c r="C377" s="0" t="n">
        <v>1</v>
      </c>
      <c r="D377" s="0" t="s">
        <v>2118</v>
      </c>
      <c r="E377" s="0" t="n">
        <v>1621</v>
      </c>
      <c r="F377" s="0" t="s">
        <v>308</v>
      </c>
      <c r="I377" s="0" t="n">
        <v>888740</v>
      </c>
      <c r="J377" s="0" t="n">
        <v>78209</v>
      </c>
      <c r="K377" s="0" t="n">
        <v>611269991000</v>
      </c>
      <c r="L377" s="0" t="s">
        <v>2383</v>
      </c>
      <c r="N377" s="0" t="n">
        <v>24</v>
      </c>
      <c r="O377" s="60" t="n">
        <v>192.18</v>
      </c>
    </row>
    <row r="378" customFormat="false" ht="15" hidden="false" customHeight="false" outlineLevel="0" collapsed="false">
      <c r="A378" s="0" t="n">
        <v>3</v>
      </c>
      <c r="B378" s="59" t="n">
        <v>46209</v>
      </c>
      <c r="C378" s="0" t="n">
        <v>1</v>
      </c>
      <c r="D378" s="0" t="s">
        <v>2118</v>
      </c>
      <c r="E378" s="0" t="n">
        <v>1637</v>
      </c>
      <c r="F378" s="0" t="s">
        <v>297</v>
      </c>
      <c r="I378" s="0" t="n">
        <v>1901472</v>
      </c>
      <c r="J378" s="0" t="n">
        <v>103896</v>
      </c>
      <c r="K378" s="0" t="n">
        <v>7896051130116</v>
      </c>
      <c r="L378" s="0" t="s">
        <v>2384</v>
      </c>
      <c r="N378" s="0" t="n">
        <v>125</v>
      </c>
      <c r="O378" s="60" t="n">
        <v>1573.75</v>
      </c>
    </row>
    <row r="379" customFormat="false" ht="15" hidden="false" customHeight="false" outlineLevel="0" collapsed="false">
      <c r="A379" s="0" t="n">
        <v>3</v>
      </c>
      <c r="B379" s="59" t="n">
        <v>46209</v>
      </c>
      <c r="C379" s="0" t="n">
        <v>2</v>
      </c>
      <c r="D379" s="0" t="s">
        <v>2122</v>
      </c>
      <c r="E379" s="0" t="n">
        <v>42</v>
      </c>
      <c r="F379" s="0" t="s">
        <v>81</v>
      </c>
      <c r="I379" s="0" t="n">
        <v>60701</v>
      </c>
      <c r="J379" s="0" t="n">
        <v>109791</v>
      </c>
      <c r="K379" s="0" t="n">
        <v>9667</v>
      </c>
      <c r="L379" s="0" t="s">
        <v>2123</v>
      </c>
      <c r="N379" s="0" t="n">
        <v>12</v>
      </c>
      <c r="O379" s="60" t="n">
        <v>30</v>
      </c>
    </row>
    <row r="380" customFormat="false" ht="15" hidden="false" customHeight="false" outlineLevel="0" collapsed="false">
      <c r="A380" s="0" t="n">
        <v>3</v>
      </c>
      <c r="B380" s="59" t="n">
        <v>46209</v>
      </c>
      <c r="C380" s="0" t="n">
        <v>2</v>
      </c>
      <c r="D380" s="0" t="s">
        <v>2122</v>
      </c>
      <c r="E380" s="0" t="n">
        <v>42</v>
      </c>
      <c r="F380" s="0" t="s">
        <v>81</v>
      </c>
      <c r="I380" s="0" t="n">
        <v>60701</v>
      </c>
      <c r="J380" s="0" t="n">
        <v>37361</v>
      </c>
      <c r="K380" s="0" t="n">
        <v>2240817</v>
      </c>
      <c r="L380" s="0" t="s">
        <v>2124</v>
      </c>
      <c r="N380" s="0" t="n">
        <v>30</v>
      </c>
      <c r="O380" s="60" t="n">
        <v>60</v>
      </c>
    </row>
    <row r="381" customFormat="false" ht="15" hidden="false" customHeight="false" outlineLevel="0" collapsed="false">
      <c r="A381" s="0" t="n">
        <v>3</v>
      </c>
      <c r="B381" s="59" t="n">
        <v>46209</v>
      </c>
      <c r="C381" s="0" t="n">
        <v>2</v>
      </c>
      <c r="D381" s="0" t="s">
        <v>2122</v>
      </c>
      <c r="E381" s="0" t="n">
        <v>42</v>
      </c>
      <c r="F381" s="0" t="s">
        <v>81</v>
      </c>
      <c r="I381" s="0" t="n">
        <v>60702</v>
      </c>
      <c r="J381" s="0" t="n">
        <v>100103</v>
      </c>
      <c r="K381" s="0" t="n">
        <v>104</v>
      </c>
      <c r="L381" s="0" t="s">
        <v>2193</v>
      </c>
      <c r="N381" s="0" t="n">
        <v>40</v>
      </c>
      <c r="O381" s="60" t="n">
        <v>240</v>
      </c>
    </row>
    <row r="382" customFormat="false" ht="15" hidden="false" customHeight="false" outlineLevel="0" collapsed="false">
      <c r="A382" s="0" t="n">
        <v>3</v>
      </c>
      <c r="B382" s="59" t="n">
        <v>46209</v>
      </c>
      <c r="C382" s="0" t="n">
        <v>6</v>
      </c>
      <c r="D382" s="0" t="s">
        <v>2125</v>
      </c>
      <c r="E382" s="0" t="n">
        <v>42</v>
      </c>
      <c r="F382" s="0" t="s">
        <v>81</v>
      </c>
      <c r="I382" s="0" t="n">
        <v>4353</v>
      </c>
      <c r="J382" s="0" t="n">
        <v>109791</v>
      </c>
      <c r="K382" s="0" t="n">
        <v>9667</v>
      </c>
      <c r="L382" s="0" t="s">
        <v>2123</v>
      </c>
      <c r="N382" s="0" t="n">
        <v>12</v>
      </c>
      <c r="O382" s="60" t="n">
        <v>30</v>
      </c>
    </row>
    <row r="383" customFormat="false" ht="15" hidden="false" customHeight="false" outlineLevel="0" collapsed="false">
      <c r="A383" s="0" t="n">
        <v>3</v>
      </c>
      <c r="B383" s="59" t="n">
        <v>46209</v>
      </c>
      <c r="C383" s="0" t="n">
        <v>6</v>
      </c>
      <c r="D383" s="0" t="s">
        <v>2125</v>
      </c>
      <c r="E383" s="0" t="n">
        <v>42</v>
      </c>
      <c r="F383" s="0" t="s">
        <v>81</v>
      </c>
      <c r="I383" s="0" t="n">
        <v>4353</v>
      </c>
      <c r="J383" s="0" t="n">
        <v>37361</v>
      </c>
      <c r="K383" s="0" t="n">
        <v>2240817</v>
      </c>
      <c r="L383" s="0" t="s">
        <v>2124</v>
      </c>
      <c r="N383" s="0" t="n">
        <v>30</v>
      </c>
      <c r="O383" s="60" t="n">
        <v>60</v>
      </c>
    </row>
    <row r="384" customFormat="false" ht="15" hidden="false" customHeight="false" outlineLevel="0" collapsed="false">
      <c r="A384" s="0" t="n">
        <v>3</v>
      </c>
      <c r="B384" s="59" t="n">
        <v>46209</v>
      </c>
      <c r="C384" s="0" t="n">
        <v>6</v>
      </c>
      <c r="D384" s="0" t="s">
        <v>2125</v>
      </c>
      <c r="E384" s="0" t="n">
        <v>42</v>
      </c>
      <c r="F384" s="0" t="s">
        <v>81</v>
      </c>
      <c r="I384" s="0" t="n">
        <v>4354</v>
      </c>
      <c r="J384" s="0" t="n">
        <v>100103</v>
      </c>
      <c r="K384" s="0" t="n">
        <v>104</v>
      </c>
      <c r="L384" s="0" t="s">
        <v>2193</v>
      </c>
      <c r="N384" s="0" t="n">
        <v>40</v>
      </c>
      <c r="O384" s="60" t="n">
        <v>240</v>
      </c>
    </row>
    <row r="385" customFormat="false" ht="15" hidden="false" customHeight="false" outlineLevel="0" collapsed="false">
      <c r="A385" s="0" t="n">
        <v>3</v>
      </c>
      <c r="B385" s="59" t="n">
        <v>46209</v>
      </c>
      <c r="C385" s="0" t="n">
        <v>11</v>
      </c>
      <c r="D385" s="0" t="s">
        <v>2126</v>
      </c>
      <c r="E385" s="0" t="n">
        <v>1955</v>
      </c>
      <c r="F385" s="0" t="s">
        <v>2052</v>
      </c>
      <c r="I385" s="0" t="n">
        <v>47190</v>
      </c>
      <c r="J385" s="0" t="n">
        <v>50870</v>
      </c>
      <c r="K385" s="0" t="n">
        <v>7899403636373</v>
      </c>
      <c r="L385" s="0" t="s">
        <v>2385</v>
      </c>
      <c r="N385" s="0" t="n">
        <v>10</v>
      </c>
      <c r="O385" s="60" t="n">
        <v>140</v>
      </c>
    </row>
    <row r="386" customFormat="false" ht="15" hidden="false" customHeight="false" outlineLevel="0" collapsed="false">
      <c r="A386" s="0" t="n">
        <v>3</v>
      </c>
      <c r="B386" s="59" t="n">
        <v>46209</v>
      </c>
      <c r="C386" s="0" t="n">
        <v>11</v>
      </c>
      <c r="D386" s="0" t="s">
        <v>2126</v>
      </c>
      <c r="E386" s="0" t="n">
        <v>1955</v>
      </c>
      <c r="F386" s="0" t="s">
        <v>2052</v>
      </c>
      <c r="I386" s="0" t="n">
        <v>47190</v>
      </c>
      <c r="J386" s="0" t="n">
        <v>37740</v>
      </c>
      <c r="K386" s="0" t="n">
        <v>7899403635857</v>
      </c>
      <c r="L386" s="0" t="s">
        <v>2386</v>
      </c>
      <c r="N386" s="0" t="n">
        <v>10</v>
      </c>
      <c r="O386" s="60" t="n">
        <v>110</v>
      </c>
    </row>
    <row r="387" customFormat="false" ht="15" hidden="false" customHeight="false" outlineLevel="0" collapsed="false">
      <c r="A387" s="0" t="n">
        <v>3</v>
      </c>
      <c r="B387" s="59" t="n">
        <v>46209</v>
      </c>
      <c r="C387" s="0" t="n">
        <v>11</v>
      </c>
      <c r="D387" s="0" t="s">
        <v>2126</v>
      </c>
      <c r="E387" s="0" t="n">
        <v>1955</v>
      </c>
      <c r="F387" s="0" t="s">
        <v>2052</v>
      </c>
      <c r="I387" s="0" t="n">
        <v>47190</v>
      </c>
      <c r="J387" s="0" t="n">
        <v>37742</v>
      </c>
      <c r="K387" s="0" t="n">
        <v>7898575226504</v>
      </c>
      <c r="L387" s="0" t="s">
        <v>2387</v>
      </c>
      <c r="N387" s="0" t="n">
        <v>25</v>
      </c>
      <c r="O387" s="60" t="n">
        <v>175</v>
      </c>
    </row>
    <row r="388" customFormat="false" ht="15" hidden="false" customHeight="false" outlineLevel="0" collapsed="false">
      <c r="A388" s="0" t="n">
        <v>3</v>
      </c>
      <c r="B388" s="59" t="n">
        <v>46209</v>
      </c>
      <c r="C388" s="0" t="n">
        <v>11</v>
      </c>
      <c r="D388" s="0" t="s">
        <v>2126</v>
      </c>
      <c r="E388" s="0" t="n">
        <v>1955</v>
      </c>
      <c r="F388" s="0" t="s">
        <v>2052</v>
      </c>
      <c r="I388" s="0" t="n">
        <v>47190</v>
      </c>
      <c r="J388" s="0" t="n">
        <v>37744</v>
      </c>
      <c r="K388" s="0" t="n">
        <v>7894537020739</v>
      </c>
      <c r="L388" s="0" t="s">
        <v>2388</v>
      </c>
      <c r="N388" s="0" t="n">
        <v>10</v>
      </c>
      <c r="O388" s="60" t="n">
        <v>110</v>
      </c>
    </row>
    <row r="389" customFormat="false" ht="15" hidden="false" customHeight="false" outlineLevel="0" collapsed="false">
      <c r="A389" s="0" t="n">
        <v>3</v>
      </c>
      <c r="B389" s="59" t="n">
        <v>46209</v>
      </c>
      <c r="C389" s="0" t="n">
        <v>11</v>
      </c>
      <c r="D389" s="0" t="s">
        <v>2126</v>
      </c>
      <c r="E389" s="0" t="n">
        <v>1955</v>
      </c>
      <c r="F389" s="0" t="s">
        <v>2052</v>
      </c>
      <c r="I389" s="0" t="n">
        <v>47190</v>
      </c>
      <c r="J389" s="0" t="n">
        <v>37744</v>
      </c>
      <c r="K389" s="0" t="n">
        <v>7894537020739</v>
      </c>
      <c r="L389" s="0" t="s">
        <v>2388</v>
      </c>
      <c r="N389" s="0" t="n">
        <v>20</v>
      </c>
      <c r="O389" s="60" t="n">
        <v>280</v>
      </c>
    </row>
    <row r="390" customFormat="false" ht="15" hidden="false" customHeight="false" outlineLevel="0" collapsed="false">
      <c r="A390" s="0" t="n">
        <v>3</v>
      </c>
      <c r="B390" s="59" t="n">
        <v>46209</v>
      </c>
      <c r="C390" s="0" t="n">
        <v>11</v>
      </c>
      <c r="D390" s="0" t="s">
        <v>2126</v>
      </c>
      <c r="E390" s="0" t="n">
        <v>1955</v>
      </c>
      <c r="F390" s="0" t="s">
        <v>2052</v>
      </c>
      <c r="I390" s="0" t="n">
        <v>47190</v>
      </c>
      <c r="J390" s="0" t="n">
        <v>37745</v>
      </c>
      <c r="K390" s="0" t="n">
        <v>7894537020746</v>
      </c>
      <c r="L390" s="0" t="s">
        <v>2389</v>
      </c>
      <c r="N390" s="0" t="n">
        <v>20</v>
      </c>
      <c r="O390" s="60" t="n">
        <v>140</v>
      </c>
    </row>
    <row r="391" customFormat="false" ht="15" hidden="false" customHeight="false" outlineLevel="0" collapsed="false">
      <c r="A391" s="0" t="n">
        <v>3</v>
      </c>
      <c r="B391" s="59" t="n">
        <v>46209</v>
      </c>
      <c r="C391" s="0" t="n">
        <v>11</v>
      </c>
      <c r="D391" s="0" t="s">
        <v>2126</v>
      </c>
      <c r="E391" s="0" t="n">
        <v>1955</v>
      </c>
      <c r="F391" s="0" t="s">
        <v>2052</v>
      </c>
      <c r="I391" s="0" t="n">
        <v>47190</v>
      </c>
      <c r="J391" s="0" t="n">
        <v>37858</v>
      </c>
      <c r="K391" s="0" t="n">
        <v>7899403636076</v>
      </c>
      <c r="L391" s="0" t="s">
        <v>2390</v>
      </c>
      <c r="N391" s="0" t="n">
        <v>10</v>
      </c>
      <c r="O391" s="60" t="n">
        <v>70</v>
      </c>
    </row>
    <row r="392" customFormat="false" ht="15" hidden="false" customHeight="false" outlineLevel="0" collapsed="false">
      <c r="A392" s="0" t="n">
        <v>3</v>
      </c>
      <c r="B392" s="59" t="n">
        <v>46209</v>
      </c>
      <c r="C392" s="0" t="n">
        <v>11</v>
      </c>
      <c r="D392" s="0" t="s">
        <v>2126</v>
      </c>
      <c r="E392" s="0" t="n">
        <v>1955</v>
      </c>
      <c r="F392" s="0" t="s">
        <v>2052</v>
      </c>
      <c r="I392" s="0" t="n">
        <v>47190</v>
      </c>
      <c r="J392" s="0" t="n">
        <v>62812</v>
      </c>
      <c r="K392" s="0" t="n">
        <v>7898933090877</v>
      </c>
      <c r="L392" s="0" t="s">
        <v>2391</v>
      </c>
      <c r="N392" s="0" t="n">
        <v>25</v>
      </c>
      <c r="O392" s="60" t="n">
        <v>349.99</v>
      </c>
    </row>
    <row r="393" customFormat="false" ht="15" hidden="false" customHeight="false" outlineLevel="0" collapsed="false">
      <c r="A393" s="0" t="n">
        <v>3</v>
      </c>
      <c r="B393" s="59" t="n">
        <v>46209</v>
      </c>
      <c r="C393" s="0" t="n">
        <v>11</v>
      </c>
      <c r="D393" s="0" t="s">
        <v>2126</v>
      </c>
      <c r="E393" s="0" t="n">
        <v>1955</v>
      </c>
      <c r="F393" s="0" t="s">
        <v>2052</v>
      </c>
      <c r="I393" s="0" t="n">
        <v>47190</v>
      </c>
      <c r="J393" s="0" t="n">
        <v>72901</v>
      </c>
      <c r="K393" s="0" t="n">
        <v>7898602918563</v>
      </c>
      <c r="L393" s="0" t="s">
        <v>2392</v>
      </c>
      <c r="N393" s="0" t="n">
        <v>15</v>
      </c>
      <c r="O393" s="60" t="n">
        <v>165</v>
      </c>
    </row>
    <row r="394" customFormat="false" ht="15" hidden="false" customHeight="false" outlineLevel="0" collapsed="false">
      <c r="A394" s="0" t="n">
        <v>3</v>
      </c>
      <c r="B394" s="59" t="n">
        <v>46209</v>
      </c>
      <c r="C394" s="0" t="n">
        <v>11</v>
      </c>
      <c r="D394" s="0" t="s">
        <v>2126</v>
      </c>
      <c r="E394" s="0" t="n">
        <v>1723</v>
      </c>
      <c r="F394" s="0" t="s">
        <v>77</v>
      </c>
      <c r="I394" s="0" t="n">
        <v>172669</v>
      </c>
      <c r="J394" s="0" t="n">
        <v>29079</v>
      </c>
      <c r="K394" s="0" t="n">
        <v>55515</v>
      </c>
      <c r="L394" s="0" t="s">
        <v>2213</v>
      </c>
      <c r="N394" s="0" t="n">
        <v>143.4</v>
      </c>
      <c r="O394" s="60" t="n">
        <v>4588.8</v>
      </c>
    </row>
    <row r="395" customFormat="false" ht="15" hidden="false" customHeight="false" outlineLevel="0" collapsed="false">
      <c r="A395" s="0" t="n">
        <v>3</v>
      </c>
      <c r="B395" s="59" t="n">
        <v>46209</v>
      </c>
      <c r="C395" s="0" t="n">
        <v>11</v>
      </c>
      <c r="D395" s="0" t="s">
        <v>2126</v>
      </c>
      <c r="E395" s="0" t="n">
        <v>1723</v>
      </c>
      <c r="F395" s="0" t="s">
        <v>77</v>
      </c>
      <c r="I395" s="0" t="n">
        <v>172669</v>
      </c>
      <c r="J395" s="0" t="n">
        <v>78040</v>
      </c>
      <c r="K395" s="0" t="n">
        <v>780414</v>
      </c>
      <c r="L395" s="0" t="s">
        <v>2393</v>
      </c>
      <c r="N395" s="0" t="n">
        <v>33.9</v>
      </c>
      <c r="O395" s="60" t="n">
        <v>644.1</v>
      </c>
    </row>
    <row r="396" customFormat="false" ht="15" hidden="false" customHeight="false" outlineLevel="0" collapsed="false">
      <c r="A396" s="0" t="n">
        <v>3</v>
      </c>
      <c r="B396" s="59" t="n">
        <v>46209</v>
      </c>
      <c r="C396" s="0" t="n">
        <v>11</v>
      </c>
      <c r="D396" s="0" t="s">
        <v>2126</v>
      </c>
      <c r="E396" s="0" t="n">
        <v>1723</v>
      </c>
      <c r="F396" s="0" t="s">
        <v>77</v>
      </c>
      <c r="I396" s="0" t="n">
        <v>172701</v>
      </c>
      <c r="J396" s="0" t="n">
        <v>29080</v>
      </c>
      <c r="K396" s="0" t="n">
        <v>55516</v>
      </c>
      <c r="L396" s="0" t="s">
        <v>2137</v>
      </c>
      <c r="N396" s="0" t="n">
        <v>52.35</v>
      </c>
      <c r="O396" s="60" t="n">
        <v>1151.7</v>
      </c>
    </row>
    <row r="397" customFormat="false" ht="15" hidden="false" customHeight="false" outlineLevel="0" collapsed="false">
      <c r="A397" s="0" t="n">
        <v>3</v>
      </c>
      <c r="B397" s="59" t="n">
        <v>46209</v>
      </c>
      <c r="C397" s="0" t="n">
        <v>11</v>
      </c>
      <c r="D397" s="0" t="s">
        <v>2126</v>
      </c>
      <c r="E397" s="0" t="n">
        <v>10017</v>
      </c>
      <c r="F397" s="0" t="s">
        <v>337</v>
      </c>
      <c r="I397" s="0" t="n">
        <v>194114</v>
      </c>
      <c r="J397" s="0" t="n">
        <v>101852</v>
      </c>
      <c r="K397" s="0" t="n">
        <v>7898286200060</v>
      </c>
      <c r="L397" s="0" t="s">
        <v>2394</v>
      </c>
      <c r="N397" s="0" t="n">
        <v>40</v>
      </c>
      <c r="O397" s="60" t="n">
        <v>534.72</v>
      </c>
    </row>
    <row r="398" customFormat="false" ht="15" hidden="false" customHeight="false" outlineLevel="0" collapsed="false">
      <c r="A398" s="0" t="n">
        <v>3</v>
      </c>
      <c r="B398" s="59" t="n">
        <v>46209</v>
      </c>
      <c r="C398" s="0" t="n">
        <v>11</v>
      </c>
      <c r="D398" s="0" t="s">
        <v>2126</v>
      </c>
      <c r="E398" s="0" t="n">
        <v>10017</v>
      </c>
      <c r="F398" s="0" t="s">
        <v>337</v>
      </c>
      <c r="I398" s="0" t="n">
        <v>194114</v>
      </c>
      <c r="J398" s="0" t="n">
        <v>102196</v>
      </c>
      <c r="K398" s="0" t="n">
        <v>7891032015505</v>
      </c>
      <c r="L398" s="0" t="s">
        <v>2395</v>
      </c>
      <c r="N398" s="0" t="n">
        <v>12</v>
      </c>
      <c r="O398" s="60" t="n">
        <v>32.93</v>
      </c>
    </row>
    <row r="399" customFormat="false" ht="15" hidden="false" customHeight="false" outlineLevel="0" collapsed="false">
      <c r="A399" s="0" t="n">
        <v>3</v>
      </c>
      <c r="B399" s="59" t="n">
        <v>46209</v>
      </c>
      <c r="C399" s="0" t="n">
        <v>11</v>
      </c>
      <c r="D399" s="0" t="s">
        <v>2126</v>
      </c>
      <c r="E399" s="0" t="n">
        <v>10017</v>
      </c>
      <c r="F399" s="0" t="s">
        <v>337</v>
      </c>
      <c r="I399" s="0" t="n">
        <v>194114</v>
      </c>
      <c r="J399" s="0" t="n">
        <v>103359</v>
      </c>
      <c r="K399" s="0" t="n">
        <v>7896089011982</v>
      </c>
      <c r="L399" s="0" t="s">
        <v>2396</v>
      </c>
      <c r="N399" s="0" t="n">
        <v>40</v>
      </c>
      <c r="O399" s="60" t="n">
        <v>510.52</v>
      </c>
    </row>
    <row r="400" customFormat="false" ht="15" hidden="false" customHeight="false" outlineLevel="0" collapsed="false">
      <c r="A400" s="0" t="n">
        <v>3</v>
      </c>
      <c r="B400" s="59" t="n">
        <v>46209</v>
      </c>
      <c r="C400" s="0" t="n">
        <v>11</v>
      </c>
      <c r="D400" s="0" t="s">
        <v>2126</v>
      </c>
      <c r="E400" s="0" t="n">
        <v>10017</v>
      </c>
      <c r="F400" s="0" t="s">
        <v>337</v>
      </c>
      <c r="I400" s="0" t="n">
        <v>194114</v>
      </c>
      <c r="J400" s="0" t="n">
        <v>103896</v>
      </c>
      <c r="K400" s="0" t="n">
        <v>7896051130116</v>
      </c>
      <c r="L400" s="0" t="s">
        <v>2384</v>
      </c>
      <c r="N400" s="0" t="n">
        <v>50</v>
      </c>
      <c r="O400" s="60" t="n">
        <v>772.04</v>
      </c>
    </row>
    <row r="401" customFormat="false" ht="15" hidden="false" customHeight="false" outlineLevel="0" collapsed="false">
      <c r="A401" s="0" t="n">
        <v>3</v>
      </c>
      <c r="B401" s="59" t="n">
        <v>46209</v>
      </c>
      <c r="C401" s="0" t="n">
        <v>11</v>
      </c>
      <c r="D401" s="0" t="s">
        <v>2126</v>
      </c>
      <c r="E401" s="0" t="n">
        <v>10017</v>
      </c>
      <c r="F401" s="0" t="s">
        <v>337</v>
      </c>
      <c r="I401" s="0" t="n">
        <v>194114</v>
      </c>
      <c r="J401" s="0" t="n">
        <v>10703</v>
      </c>
      <c r="K401" s="0" t="n">
        <v>7898927809010</v>
      </c>
      <c r="L401" s="0" t="s">
        <v>2397</v>
      </c>
      <c r="N401" s="0" t="n">
        <v>6</v>
      </c>
      <c r="O401" s="60" t="n">
        <v>111.18</v>
      </c>
    </row>
    <row r="402" customFormat="false" ht="15" hidden="false" customHeight="false" outlineLevel="0" collapsed="false">
      <c r="A402" s="0" t="n">
        <v>3</v>
      </c>
      <c r="B402" s="59" t="n">
        <v>46209</v>
      </c>
      <c r="C402" s="0" t="n">
        <v>11</v>
      </c>
      <c r="D402" s="0" t="s">
        <v>2126</v>
      </c>
      <c r="E402" s="0" t="n">
        <v>10017</v>
      </c>
      <c r="F402" s="0" t="s">
        <v>337</v>
      </c>
      <c r="I402" s="0" t="n">
        <v>194114</v>
      </c>
      <c r="J402" s="0" t="n">
        <v>10714</v>
      </c>
      <c r="K402" s="0" t="n">
        <v>7891032015659</v>
      </c>
      <c r="L402" s="0" t="s">
        <v>2398</v>
      </c>
      <c r="N402" s="0" t="n">
        <v>12</v>
      </c>
      <c r="O402" s="60" t="n">
        <v>62.69</v>
      </c>
    </row>
    <row r="403" customFormat="false" ht="15" hidden="false" customHeight="false" outlineLevel="0" collapsed="false">
      <c r="A403" s="0" t="n">
        <v>3</v>
      </c>
      <c r="B403" s="59" t="n">
        <v>46209</v>
      </c>
      <c r="C403" s="0" t="n">
        <v>11</v>
      </c>
      <c r="D403" s="0" t="s">
        <v>2126</v>
      </c>
      <c r="E403" s="0" t="n">
        <v>10017</v>
      </c>
      <c r="F403" s="0" t="s">
        <v>337</v>
      </c>
      <c r="I403" s="0" t="n">
        <v>194114</v>
      </c>
      <c r="J403" s="0" t="n">
        <v>13053</v>
      </c>
      <c r="K403" s="0" t="n">
        <v>7898041310775</v>
      </c>
      <c r="L403" s="0" t="s">
        <v>2399</v>
      </c>
      <c r="N403" s="0" t="n">
        <v>100</v>
      </c>
      <c r="O403" s="60" t="n">
        <v>232.3</v>
      </c>
    </row>
    <row r="404" customFormat="false" ht="15" hidden="false" customHeight="false" outlineLevel="0" collapsed="false">
      <c r="A404" s="0" t="n">
        <v>3</v>
      </c>
      <c r="B404" s="59" t="n">
        <v>46209</v>
      </c>
      <c r="C404" s="0" t="n">
        <v>11</v>
      </c>
      <c r="D404" s="0" t="s">
        <v>2126</v>
      </c>
      <c r="E404" s="0" t="n">
        <v>10017</v>
      </c>
      <c r="F404" s="0" t="s">
        <v>337</v>
      </c>
      <c r="I404" s="0" t="n">
        <v>194114</v>
      </c>
      <c r="J404" s="0" t="n">
        <v>13081</v>
      </c>
      <c r="K404" s="0" t="n">
        <v>7896051115014</v>
      </c>
      <c r="L404" s="0" t="s">
        <v>2400</v>
      </c>
      <c r="N404" s="0" t="n">
        <v>108</v>
      </c>
      <c r="O404" s="60" t="n">
        <v>678.52</v>
      </c>
    </row>
    <row r="405" customFormat="false" ht="15" hidden="false" customHeight="false" outlineLevel="0" collapsed="false">
      <c r="A405" s="0" t="n">
        <v>3</v>
      </c>
      <c r="B405" s="59" t="n">
        <v>46209</v>
      </c>
      <c r="C405" s="0" t="n">
        <v>11</v>
      </c>
      <c r="D405" s="0" t="s">
        <v>2126</v>
      </c>
      <c r="E405" s="0" t="n">
        <v>10017</v>
      </c>
      <c r="F405" s="0" t="s">
        <v>337</v>
      </c>
      <c r="I405" s="0" t="n">
        <v>194114</v>
      </c>
      <c r="J405" s="0" t="n">
        <v>13485</v>
      </c>
      <c r="K405" s="0" t="n">
        <v>7896058590500</v>
      </c>
      <c r="L405" s="0" t="s">
        <v>2401</v>
      </c>
      <c r="N405" s="0" t="n">
        <v>300</v>
      </c>
      <c r="O405" s="60" t="n">
        <v>234.42</v>
      </c>
    </row>
    <row r="406" customFormat="false" ht="15" hidden="false" customHeight="false" outlineLevel="0" collapsed="false">
      <c r="A406" s="0" t="n">
        <v>3</v>
      </c>
      <c r="B406" s="59" t="n">
        <v>46209</v>
      </c>
      <c r="C406" s="0" t="n">
        <v>11</v>
      </c>
      <c r="D406" s="0" t="s">
        <v>2126</v>
      </c>
      <c r="E406" s="0" t="n">
        <v>10017</v>
      </c>
      <c r="F406" s="0" t="s">
        <v>337</v>
      </c>
      <c r="I406" s="0" t="n">
        <v>194114</v>
      </c>
      <c r="J406" s="0" t="n">
        <v>15891</v>
      </c>
      <c r="K406" s="0" t="n">
        <v>7896102502909</v>
      </c>
      <c r="L406" s="0" t="s">
        <v>2402</v>
      </c>
      <c r="N406" s="0" t="n">
        <v>24</v>
      </c>
      <c r="O406" s="60" t="n">
        <v>90.53</v>
      </c>
    </row>
    <row r="407" customFormat="false" ht="15" hidden="false" customHeight="false" outlineLevel="0" collapsed="false">
      <c r="A407" s="0" t="n">
        <v>3</v>
      </c>
      <c r="B407" s="59" t="n">
        <v>46209</v>
      </c>
      <c r="C407" s="0" t="n">
        <v>11</v>
      </c>
      <c r="D407" s="0" t="s">
        <v>2126</v>
      </c>
      <c r="E407" s="0" t="n">
        <v>10017</v>
      </c>
      <c r="F407" s="0" t="s">
        <v>337</v>
      </c>
      <c r="I407" s="0" t="n">
        <v>194114</v>
      </c>
      <c r="J407" s="0" t="n">
        <v>16075</v>
      </c>
      <c r="K407" s="0" t="n">
        <v>7898927809027</v>
      </c>
      <c r="L407" s="0" t="s">
        <v>2397</v>
      </c>
      <c r="N407" s="0" t="n">
        <v>6</v>
      </c>
      <c r="O407" s="60" t="n">
        <v>249.42</v>
      </c>
    </row>
    <row r="408" customFormat="false" ht="15" hidden="false" customHeight="false" outlineLevel="0" collapsed="false">
      <c r="A408" s="0" t="n">
        <v>3</v>
      </c>
      <c r="B408" s="59" t="n">
        <v>46209</v>
      </c>
      <c r="C408" s="0" t="n">
        <v>11</v>
      </c>
      <c r="D408" s="0" t="s">
        <v>2126</v>
      </c>
      <c r="E408" s="0" t="n">
        <v>10017</v>
      </c>
      <c r="F408" s="0" t="s">
        <v>337</v>
      </c>
      <c r="I408" s="0" t="n">
        <v>194114</v>
      </c>
      <c r="J408" s="0" t="n">
        <v>27768</v>
      </c>
      <c r="K408" s="0" t="n">
        <v>7892300003002</v>
      </c>
      <c r="L408" s="0" t="s">
        <v>2403</v>
      </c>
      <c r="N408" s="0" t="n">
        <v>20</v>
      </c>
      <c r="O408" s="60" t="n">
        <v>103.87</v>
      </c>
    </row>
    <row r="409" customFormat="false" ht="15" hidden="false" customHeight="false" outlineLevel="0" collapsed="false">
      <c r="A409" s="0" t="n">
        <v>3</v>
      </c>
      <c r="B409" s="59" t="n">
        <v>46209</v>
      </c>
      <c r="C409" s="0" t="n">
        <v>11</v>
      </c>
      <c r="D409" s="0" t="s">
        <v>2126</v>
      </c>
      <c r="E409" s="0" t="n">
        <v>10017</v>
      </c>
      <c r="F409" s="0" t="s">
        <v>337</v>
      </c>
      <c r="I409" s="0" t="n">
        <v>194114</v>
      </c>
      <c r="J409" s="0" t="n">
        <v>31532</v>
      </c>
      <c r="K409" s="0" t="n">
        <v>7633335550426</v>
      </c>
      <c r="L409" s="0" t="s">
        <v>2404</v>
      </c>
      <c r="N409" s="0" t="n">
        <v>36</v>
      </c>
      <c r="O409" s="60" t="n">
        <v>303.54</v>
      </c>
    </row>
    <row r="410" customFormat="false" ht="15" hidden="false" customHeight="false" outlineLevel="0" collapsed="false">
      <c r="A410" s="0" t="n">
        <v>3</v>
      </c>
      <c r="B410" s="59" t="n">
        <v>46209</v>
      </c>
      <c r="C410" s="0" t="n">
        <v>11</v>
      </c>
      <c r="D410" s="0" t="s">
        <v>2126</v>
      </c>
      <c r="E410" s="0" t="n">
        <v>10017</v>
      </c>
      <c r="F410" s="0" t="s">
        <v>337</v>
      </c>
      <c r="I410" s="0" t="n">
        <v>194114</v>
      </c>
      <c r="J410" s="0" t="n">
        <v>31533</v>
      </c>
      <c r="K410" s="0" t="n">
        <v>7633332009057</v>
      </c>
      <c r="L410" s="0" t="s">
        <v>2405</v>
      </c>
      <c r="N410" s="0" t="n">
        <v>24</v>
      </c>
      <c r="O410" s="60" t="n">
        <v>202.36</v>
      </c>
    </row>
    <row r="411" customFormat="false" ht="15" hidden="false" customHeight="false" outlineLevel="0" collapsed="false">
      <c r="A411" s="0" t="n">
        <v>3</v>
      </c>
      <c r="B411" s="59" t="n">
        <v>46209</v>
      </c>
      <c r="C411" s="0" t="n">
        <v>11</v>
      </c>
      <c r="D411" s="0" t="s">
        <v>2126</v>
      </c>
      <c r="E411" s="0" t="n">
        <v>10017</v>
      </c>
      <c r="F411" s="0" t="s">
        <v>337</v>
      </c>
      <c r="I411" s="0" t="n">
        <v>194114</v>
      </c>
      <c r="J411" s="0" t="n">
        <v>43799</v>
      </c>
      <c r="K411" s="0" t="n">
        <v>7891167021457</v>
      </c>
      <c r="L411" s="0" t="s">
        <v>2406</v>
      </c>
      <c r="N411" s="0" t="n">
        <v>50</v>
      </c>
      <c r="O411" s="60" t="n">
        <v>194.11</v>
      </c>
    </row>
    <row r="412" customFormat="false" ht="15" hidden="false" customHeight="false" outlineLevel="0" collapsed="false">
      <c r="A412" s="0" t="n">
        <v>3</v>
      </c>
      <c r="B412" s="59" t="n">
        <v>46209</v>
      </c>
      <c r="C412" s="0" t="n">
        <v>11</v>
      </c>
      <c r="D412" s="0" t="s">
        <v>2126</v>
      </c>
      <c r="E412" s="0" t="n">
        <v>10017</v>
      </c>
      <c r="F412" s="0" t="s">
        <v>337</v>
      </c>
      <c r="I412" s="0" t="n">
        <v>194114</v>
      </c>
      <c r="J412" s="0" t="n">
        <v>61019</v>
      </c>
      <c r="K412" s="0" t="n">
        <v>7896005223628</v>
      </c>
      <c r="L412" s="0" t="s">
        <v>2407</v>
      </c>
      <c r="N412" s="0" t="n">
        <v>40</v>
      </c>
      <c r="O412" s="60" t="n">
        <v>167.42</v>
      </c>
    </row>
    <row r="413" customFormat="false" ht="15" hidden="false" customHeight="false" outlineLevel="0" collapsed="false">
      <c r="A413" s="0" t="n">
        <v>3</v>
      </c>
      <c r="B413" s="59" t="n">
        <v>46209</v>
      </c>
      <c r="C413" s="0" t="n">
        <v>11</v>
      </c>
      <c r="D413" s="0" t="s">
        <v>2126</v>
      </c>
      <c r="E413" s="0" t="n">
        <v>10017</v>
      </c>
      <c r="F413" s="0" t="s">
        <v>337</v>
      </c>
      <c r="I413" s="0" t="n">
        <v>194114</v>
      </c>
      <c r="J413" s="0" t="n">
        <v>68920</v>
      </c>
      <c r="K413" s="0" t="n">
        <v>7896532701088</v>
      </c>
      <c r="L413" s="0" t="s">
        <v>2408</v>
      </c>
      <c r="N413" s="0" t="n">
        <v>20</v>
      </c>
      <c r="O413" s="60" t="n">
        <v>67.68</v>
      </c>
    </row>
    <row r="414" customFormat="false" ht="15" hidden="false" customHeight="false" outlineLevel="0" collapsed="false">
      <c r="A414" s="0" t="n">
        <v>3</v>
      </c>
      <c r="B414" s="59" t="n">
        <v>46209</v>
      </c>
      <c r="C414" s="0" t="n">
        <v>11</v>
      </c>
      <c r="D414" s="0" t="s">
        <v>2126</v>
      </c>
      <c r="E414" s="0" t="n">
        <v>10017</v>
      </c>
      <c r="F414" s="0" t="s">
        <v>337</v>
      </c>
      <c r="I414" s="0" t="n">
        <v>194114</v>
      </c>
      <c r="J414" s="0" t="n">
        <v>69560</v>
      </c>
      <c r="K414" s="0" t="n">
        <v>7896051114024</v>
      </c>
      <c r="L414" s="0" t="s">
        <v>2409</v>
      </c>
      <c r="N414" s="0" t="n">
        <v>108</v>
      </c>
      <c r="O414" s="60" t="n">
        <v>338.68</v>
      </c>
    </row>
    <row r="415" customFormat="false" ht="15" hidden="false" customHeight="false" outlineLevel="0" collapsed="false">
      <c r="A415" s="0" t="n">
        <v>3</v>
      </c>
      <c r="B415" s="59" t="n">
        <v>46209</v>
      </c>
      <c r="C415" s="0" t="n">
        <v>11</v>
      </c>
      <c r="D415" s="0" t="s">
        <v>2126</v>
      </c>
      <c r="E415" s="0" t="n">
        <v>10017</v>
      </c>
      <c r="F415" s="0" t="s">
        <v>337</v>
      </c>
      <c r="I415" s="0" t="n">
        <v>194114</v>
      </c>
      <c r="J415" s="0" t="n">
        <v>81566</v>
      </c>
      <c r="K415" s="0" t="n">
        <v>7896058503210</v>
      </c>
      <c r="L415" s="0" t="s">
        <v>2410</v>
      </c>
      <c r="N415" s="0" t="n">
        <v>48</v>
      </c>
      <c r="O415" s="60" t="n">
        <v>571</v>
      </c>
    </row>
    <row r="416" customFormat="false" ht="15" hidden="false" customHeight="false" outlineLevel="0" collapsed="false">
      <c r="A416" s="0" t="n">
        <v>3</v>
      </c>
      <c r="B416" s="59" t="n">
        <v>46209</v>
      </c>
      <c r="C416" s="0" t="n">
        <v>22</v>
      </c>
      <c r="D416" s="0" t="s">
        <v>2172</v>
      </c>
      <c r="E416" s="0" t="n">
        <v>42</v>
      </c>
      <c r="F416" s="0" t="s">
        <v>81</v>
      </c>
      <c r="I416" s="0" t="n">
        <v>4356</v>
      </c>
      <c r="J416" s="0" t="n">
        <v>100000</v>
      </c>
      <c r="K416" s="0" t="n">
        <v>1</v>
      </c>
      <c r="L416" s="0" t="s">
        <v>2173</v>
      </c>
      <c r="N416" s="0" t="n">
        <v>6.041</v>
      </c>
      <c r="O416" s="60" t="n">
        <v>148.45</v>
      </c>
    </row>
    <row r="417" customFormat="false" ht="15" hidden="false" customHeight="false" outlineLevel="0" collapsed="false">
      <c r="A417" s="0" t="n">
        <v>3</v>
      </c>
      <c r="B417" s="59" t="n">
        <v>46209</v>
      </c>
      <c r="C417" s="0" t="n">
        <v>22</v>
      </c>
      <c r="D417" s="0" t="s">
        <v>2172</v>
      </c>
      <c r="E417" s="0" t="n">
        <v>42</v>
      </c>
      <c r="F417" s="0" t="s">
        <v>81</v>
      </c>
      <c r="I417" s="0" t="n">
        <v>4356</v>
      </c>
      <c r="J417" s="0" t="n">
        <v>100004</v>
      </c>
      <c r="K417" s="0" t="n">
        <v>5</v>
      </c>
      <c r="L417" s="0" t="s">
        <v>2411</v>
      </c>
      <c r="N417" s="0" t="n">
        <v>26.946</v>
      </c>
      <c r="O417" s="60" t="n">
        <v>442.49</v>
      </c>
    </row>
    <row r="418" customFormat="false" ht="15" hidden="false" customHeight="false" outlineLevel="0" collapsed="false">
      <c r="A418" s="0" t="n">
        <v>3</v>
      </c>
      <c r="B418" s="59" t="n">
        <v>46209</v>
      </c>
      <c r="C418" s="0" t="n">
        <v>22</v>
      </c>
      <c r="D418" s="0" t="s">
        <v>2172</v>
      </c>
      <c r="E418" s="0" t="n">
        <v>42</v>
      </c>
      <c r="F418" s="0" t="s">
        <v>81</v>
      </c>
      <c r="I418" s="0" t="n">
        <v>4356</v>
      </c>
      <c r="J418" s="0" t="n">
        <v>100006</v>
      </c>
      <c r="K418" s="0" t="n">
        <v>7</v>
      </c>
      <c r="L418" s="0" t="s">
        <v>2228</v>
      </c>
      <c r="N418" s="0" t="n">
        <v>9.988</v>
      </c>
      <c r="O418" s="60" t="n">
        <v>338.57</v>
      </c>
    </row>
    <row r="419" customFormat="false" ht="15" hidden="false" customHeight="false" outlineLevel="0" collapsed="false">
      <c r="A419" s="0" t="n">
        <v>3</v>
      </c>
      <c r="B419" s="59" t="n">
        <v>46209</v>
      </c>
      <c r="C419" s="0" t="n">
        <v>22</v>
      </c>
      <c r="D419" s="0" t="s">
        <v>2172</v>
      </c>
      <c r="E419" s="0" t="n">
        <v>42</v>
      </c>
      <c r="F419" s="0" t="s">
        <v>81</v>
      </c>
      <c r="I419" s="0" t="n">
        <v>4356</v>
      </c>
      <c r="J419" s="0" t="n">
        <v>100008</v>
      </c>
      <c r="K419" s="0" t="n">
        <v>9</v>
      </c>
      <c r="L419" s="0" t="s">
        <v>2229</v>
      </c>
      <c r="N419" s="0" t="n">
        <v>26.515</v>
      </c>
      <c r="O419" s="60" t="n">
        <v>921.27</v>
      </c>
    </row>
    <row r="420" customFormat="false" ht="15" hidden="false" customHeight="false" outlineLevel="0" collapsed="false">
      <c r="A420" s="0" t="n">
        <v>3</v>
      </c>
      <c r="B420" s="59" t="n">
        <v>46209</v>
      </c>
      <c r="C420" s="0" t="n">
        <v>22</v>
      </c>
      <c r="D420" s="0" t="s">
        <v>2172</v>
      </c>
      <c r="E420" s="0" t="n">
        <v>42</v>
      </c>
      <c r="F420" s="0" t="s">
        <v>81</v>
      </c>
      <c r="I420" s="0" t="n">
        <v>4356</v>
      </c>
      <c r="J420" s="0" t="n">
        <v>100010</v>
      </c>
      <c r="K420" s="0" t="n">
        <v>11</v>
      </c>
      <c r="L420" s="0" t="s">
        <v>2230</v>
      </c>
      <c r="N420" s="0" t="n">
        <v>5.812</v>
      </c>
      <c r="O420" s="60" t="n">
        <v>231.5</v>
      </c>
    </row>
    <row r="421" customFormat="false" ht="15" hidden="false" customHeight="false" outlineLevel="0" collapsed="false">
      <c r="A421" s="0" t="n">
        <v>3</v>
      </c>
      <c r="B421" s="59" t="n">
        <v>46209</v>
      </c>
      <c r="C421" s="0" t="n">
        <v>22</v>
      </c>
      <c r="D421" s="0" t="s">
        <v>2172</v>
      </c>
      <c r="E421" s="0" t="n">
        <v>42</v>
      </c>
      <c r="F421" s="0" t="s">
        <v>81</v>
      </c>
      <c r="I421" s="0" t="n">
        <v>4356</v>
      </c>
      <c r="J421" s="0" t="n">
        <v>100011</v>
      </c>
      <c r="K421" s="0" t="n">
        <v>12</v>
      </c>
      <c r="L421" s="0" t="s">
        <v>2231</v>
      </c>
      <c r="N421" s="0" t="n">
        <v>12.48</v>
      </c>
      <c r="O421" s="60" t="n">
        <v>497.09</v>
      </c>
    </row>
    <row r="422" customFormat="false" ht="15" hidden="false" customHeight="false" outlineLevel="0" collapsed="false">
      <c r="A422" s="0" t="n">
        <v>3</v>
      </c>
      <c r="B422" s="59" t="n">
        <v>46209</v>
      </c>
      <c r="C422" s="0" t="n">
        <v>22</v>
      </c>
      <c r="D422" s="0" t="s">
        <v>2172</v>
      </c>
      <c r="E422" s="0" t="n">
        <v>42</v>
      </c>
      <c r="F422" s="0" t="s">
        <v>81</v>
      </c>
      <c r="I422" s="0" t="n">
        <v>4356</v>
      </c>
      <c r="J422" s="0" t="n">
        <v>100012</v>
      </c>
      <c r="K422" s="0" t="n">
        <v>13</v>
      </c>
      <c r="L422" s="0" t="s">
        <v>2232</v>
      </c>
      <c r="N422" s="0" t="n">
        <v>10.953</v>
      </c>
      <c r="O422" s="60" t="n">
        <v>473.41</v>
      </c>
    </row>
    <row r="423" customFormat="false" ht="15" hidden="false" customHeight="false" outlineLevel="0" collapsed="false">
      <c r="A423" s="0" t="n">
        <v>3</v>
      </c>
      <c r="B423" s="59" t="n">
        <v>46209</v>
      </c>
      <c r="C423" s="0" t="n">
        <v>22</v>
      </c>
      <c r="D423" s="0" t="s">
        <v>2172</v>
      </c>
      <c r="E423" s="0" t="n">
        <v>42</v>
      </c>
      <c r="F423" s="0" t="s">
        <v>81</v>
      </c>
      <c r="I423" s="0" t="n">
        <v>4356</v>
      </c>
      <c r="J423" s="0" t="n">
        <v>100013</v>
      </c>
      <c r="K423" s="0" t="n">
        <v>14</v>
      </c>
      <c r="L423" s="0" t="s">
        <v>2233</v>
      </c>
      <c r="N423" s="0" t="n">
        <v>19.435</v>
      </c>
      <c r="O423" s="60" t="n">
        <v>905.91</v>
      </c>
    </row>
    <row r="424" customFormat="false" ht="15" hidden="false" customHeight="false" outlineLevel="0" collapsed="false">
      <c r="A424" s="0" t="n">
        <v>3</v>
      </c>
      <c r="B424" s="59" t="n">
        <v>46209</v>
      </c>
      <c r="C424" s="0" t="n">
        <v>22</v>
      </c>
      <c r="D424" s="0" t="s">
        <v>2172</v>
      </c>
      <c r="E424" s="0" t="n">
        <v>42</v>
      </c>
      <c r="F424" s="0" t="s">
        <v>81</v>
      </c>
      <c r="I424" s="0" t="n">
        <v>4356</v>
      </c>
      <c r="J424" s="0" t="n">
        <v>100014</v>
      </c>
      <c r="K424" s="0" t="n">
        <v>15</v>
      </c>
      <c r="L424" s="0" t="s">
        <v>2234</v>
      </c>
      <c r="N424" s="0" t="n">
        <v>8.291</v>
      </c>
      <c r="O424" s="60" t="n">
        <v>393.49</v>
      </c>
    </row>
    <row r="425" customFormat="false" ht="15" hidden="false" customHeight="false" outlineLevel="0" collapsed="false">
      <c r="A425" s="0" t="n">
        <v>3</v>
      </c>
      <c r="B425" s="59" t="n">
        <v>46209</v>
      </c>
      <c r="C425" s="0" t="n">
        <v>22</v>
      </c>
      <c r="D425" s="0" t="s">
        <v>2172</v>
      </c>
      <c r="E425" s="0" t="n">
        <v>42</v>
      </c>
      <c r="F425" s="0" t="s">
        <v>81</v>
      </c>
      <c r="I425" s="0" t="n">
        <v>4356</v>
      </c>
      <c r="J425" s="0" t="n">
        <v>100015</v>
      </c>
      <c r="K425" s="0" t="n">
        <v>16</v>
      </c>
      <c r="L425" s="0" t="s">
        <v>2235</v>
      </c>
      <c r="N425" s="0" t="n">
        <v>3.019</v>
      </c>
      <c r="O425" s="60" t="n">
        <v>130.49</v>
      </c>
    </row>
    <row r="426" customFormat="false" ht="15" hidden="false" customHeight="false" outlineLevel="0" collapsed="false">
      <c r="A426" s="0" t="n">
        <v>3</v>
      </c>
      <c r="B426" s="59" t="n">
        <v>46209</v>
      </c>
      <c r="C426" s="0" t="n">
        <v>22</v>
      </c>
      <c r="D426" s="0" t="s">
        <v>2172</v>
      </c>
      <c r="E426" s="0" t="n">
        <v>42</v>
      </c>
      <c r="F426" s="0" t="s">
        <v>81</v>
      </c>
      <c r="I426" s="0" t="n">
        <v>4356</v>
      </c>
      <c r="J426" s="0" t="n">
        <v>100016</v>
      </c>
      <c r="K426" s="0" t="n">
        <v>17</v>
      </c>
      <c r="L426" s="0" t="s">
        <v>2236</v>
      </c>
      <c r="N426" s="0" t="n">
        <v>3.978</v>
      </c>
      <c r="O426" s="60" t="n">
        <v>185.42</v>
      </c>
    </row>
    <row r="427" customFormat="false" ht="15" hidden="false" customHeight="false" outlineLevel="0" collapsed="false">
      <c r="A427" s="0" t="n">
        <v>3</v>
      </c>
      <c r="B427" s="59" t="n">
        <v>46209</v>
      </c>
      <c r="C427" s="0" t="n">
        <v>22</v>
      </c>
      <c r="D427" s="0" t="s">
        <v>2172</v>
      </c>
      <c r="E427" s="0" t="n">
        <v>42</v>
      </c>
      <c r="F427" s="0" t="s">
        <v>81</v>
      </c>
      <c r="I427" s="0" t="n">
        <v>4356</v>
      </c>
      <c r="J427" s="0" t="n">
        <v>100017</v>
      </c>
      <c r="K427" s="0" t="n">
        <v>18</v>
      </c>
      <c r="L427" s="0" t="s">
        <v>2237</v>
      </c>
      <c r="N427" s="0" t="n">
        <v>3.376</v>
      </c>
      <c r="O427" s="60" t="n">
        <v>185.98</v>
      </c>
    </row>
    <row r="428" customFormat="false" ht="15" hidden="false" customHeight="false" outlineLevel="0" collapsed="false">
      <c r="A428" s="0" t="n">
        <v>3</v>
      </c>
      <c r="B428" s="59" t="n">
        <v>46209</v>
      </c>
      <c r="C428" s="0" t="n">
        <v>22</v>
      </c>
      <c r="D428" s="0" t="s">
        <v>2172</v>
      </c>
      <c r="E428" s="0" t="n">
        <v>42</v>
      </c>
      <c r="F428" s="0" t="s">
        <v>81</v>
      </c>
      <c r="I428" s="0" t="n">
        <v>4356</v>
      </c>
      <c r="J428" s="0" t="n">
        <v>100020</v>
      </c>
      <c r="K428" s="0" t="n">
        <v>21</v>
      </c>
      <c r="L428" s="0" t="s">
        <v>2337</v>
      </c>
      <c r="N428" s="0" t="n">
        <v>6.886</v>
      </c>
      <c r="O428" s="60" t="n">
        <v>201.61</v>
      </c>
    </row>
    <row r="429" customFormat="false" ht="15" hidden="false" customHeight="false" outlineLevel="0" collapsed="false">
      <c r="A429" s="0" t="n">
        <v>3</v>
      </c>
      <c r="B429" s="59" t="n">
        <v>46209</v>
      </c>
      <c r="C429" s="0" t="n">
        <v>22</v>
      </c>
      <c r="D429" s="0" t="s">
        <v>2172</v>
      </c>
      <c r="E429" s="0" t="n">
        <v>42</v>
      </c>
      <c r="F429" s="0" t="s">
        <v>81</v>
      </c>
      <c r="I429" s="0" t="n">
        <v>4356</v>
      </c>
      <c r="J429" s="0" t="n">
        <v>100053</v>
      </c>
      <c r="K429" s="0" t="n">
        <v>54</v>
      </c>
      <c r="L429" s="0" t="s">
        <v>2238</v>
      </c>
      <c r="N429" s="0" t="n">
        <v>2.821</v>
      </c>
      <c r="O429" s="60" t="n">
        <v>107.58</v>
      </c>
    </row>
    <row r="430" customFormat="false" ht="15" hidden="false" customHeight="false" outlineLevel="0" collapsed="false">
      <c r="A430" s="0" t="n">
        <v>3</v>
      </c>
      <c r="B430" s="59" t="n">
        <v>46209</v>
      </c>
      <c r="C430" s="0" t="n">
        <v>22</v>
      </c>
      <c r="D430" s="0" t="s">
        <v>2172</v>
      </c>
      <c r="E430" s="0" t="n">
        <v>42</v>
      </c>
      <c r="F430" s="0" t="s">
        <v>81</v>
      </c>
      <c r="I430" s="0" t="n">
        <v>4356</v>
      </c>
      <c r="J430" s="0" t="n">
        <v>100638</v>
      </c>
      <c r="K430" s="0" t="n">
        <v>508</v>
      </c>
      <c r="L430" s="0" t="s">
        <v>2178</v>
      </c>
      <c r="N430" s="0" t="n">
        <v>5.661</v>
      </c>
      <c r="O430" s="60" t="n">
        <v>9.55</v>
      </c>
    </row>
    <row r="431" customFormat="false" ht="15" hidden="false" customHeight="false" outlineLevel="0" collapsed="false">
      <c r="A431" s="0" t="n">
        <v>3</v>
      </c>
      <c r="B431" s="59" t="n">
        <v>46209</v>
      </c>
      <c r="C431" s="0" t="n">
        <v>22</v>
      </c>
      <c r="D431" s="0" t="s">
        <v>2172</v>
      </c>
      <c r="E431" s="0" t="n">
        <v>42</v>
      </c>
      <c r="F431" s="0" t="s">
        <v>81</v>
      </c>
      <c r="I431" s="0" t="n">
        <v>4356</v>
      </c>
      <c r="J431" s="0" t="n">
        <v>100520</v>
      </c>
      <c r="K431" s="0" t="n">
        <v>507</v>
      </c>
      <c r="L431" s="0" t="s">
        <v>2179</v>
      </c>
      <c r="N431" s="0" t="n">
        <v>23.715</v>
      </c>
      <c r="O431" s="60" t="n">
        <v>60.1</v>
      </c>
    </row>
    <row r="432" customFormat="false" ht="15" hidden="false" customHeight="false" outlineLevel="0" collapsed="false">
      <c r="A432" s="0" t="n">
        <v>3</v>
      </c>
      <c r="B432" s="59" t="n">
        <v>46209</v>
      </c>
      <c r="C432" s="0" t="n">
        <v>22</v>
      </c>
      <c r="D432" s="0" t="s">
        <v>2172</v>
      </c>
      <c r="E432" s="0" t="n">
        <v>42</v>
      </c>
      <c r="F432" s="0" t="s">
        <v>81</v>
      </c>
      <c r="I432" s="0" t="n">
        <v>4356</v>
      </c>
      <c r="J432" s="0" t="n">
        <v>110455</v>
      </c>
      <c r="K432" s="0" t="n">
        <v>53212</v>
      </c>
      <c r="L432" s="0" t="s">
        <v>2180</v>
      </c>
      <c r="N432" s="0" t="n">
        <v>0.068</v>
      </c>
      <c r="O432" s="60" t="n">
        <v>0</v>
      </c>
    </row>
    <row r="433" customFormat="false" ht="15" hidden="false" customHeight="false" outlineLevel="0" collapsed="false">
      <c r="A433" s="0" t="n">
        <v>3</v>
      </c>
      <c r="B433" s="59" t="n">
        <v>46209</v>
      </c>
      <c r="C433" s="0" t="n">
        <v>22</v>
      </c>
      <c r="D433" s="0" t="s">
        <v>2172</v>
      </c>
      <c r="E433" s="0" t="n">
        <v>42</v>
      </c>
      <c r="F433" s="0" t="s">
        <v>81</v>
      </c>
      <c r="I433" s="0" t="n">
        <v>4356</v>
      </c>
      <c r="J433" s="0" t="n">
        <v>110455</v>
      </c>
      <c r="K433" s="0" t="n">
        <v>53212</v>
      </c>
      <c r="L433" s="0" t="s">
        <v>2180</v>
      </c>
      <c r="N433" s="0" t="n">
        <v>1.315</v>
      </c>
      <c r="O433" s="60" t="n">
        <v>0</v>
      </c>
    </row>
    <row r="434" customFormat="false" ht="15" hidden="false" customHeight="false" outlineLevel="0" collapsed="false">
      <c r="A434" s="0" t="n">
        <v>3</v>
      </c>
      <c r="B434" s="59" t="n">
        <v>46209</v>
      </c>
      <c r="C434" s="0" t="n">
        <v>22</v>
      </c>
      <c r="D434" s="0" t="s">
        <v>2172</v>
      </c>
      <c r="E434" s="0" t="n">
        <v>42</v>
      </c>
      <c r="F434" s="0" t="s">
        <v>81</v>
      </c>
      <c r="I434" s="0" t="n">
        <v>4358</v>
      </c>
      <c r="J434" s="0" t="n">
        <v>100000</v>
      </c>
      <c r="K434" s="0" t="n">
        <v>1</v>
      </c>
      <c r="L434" s="0" t="s">
        <v>2173</v>
      </c>
      <c r="N434" s="0" t="n">
        <v>3.68</v>
      </c>
      <c r="O434" s="60" t="n">
        <v>72.21</v>
      </c>
    </row>
    <row r="435" customFormat="false" ht="15" hidden="false" customHeight="false" outlineLevel="0" collapsed="false">
      <c r="A435" s="0" t="n">
        <v>3</v>
      </c>
      <c r="B435" s="59" t="n">
        <v>46209</v>
      </c>
      <c r="C435" s="0" t="n">
        <v>22</v>
      </c>
      <c r="D435" s="0" t="s">
        <v>2172</v>
      </c>
      <c r="E435" s="0" t="n">
        <v>42</v>
      </c>
      <c r="F435" s="0" t="s">
        <v>81</v>
      </c>
      <c r="I435" s="0" t="n">
        <v>4358</v>
      </c>
      <c r="J435" s="0" t="n">
        <v>100001</v>
      </c>
      <c r="K435" s="0" t="n">
        <v>2</v>
      </c>
      <c r="L435" s="0" t="s">
        <v>2174</v>
      </c>
      <c r="N435" s="0" t="n">
        <v>12.62</v>
      </c>
      <c r="O435" s="60" t="n">
        <v>264.72</v>
      </c>
    </row>
    <row r="436" customFormat="false" ht="15" hidden="false" customHeight="false" outlineLevel="0" collapsed="false">
      <c r="A436" s="0" t="n">
        <v>3</v>
      </c>
      <c r="B436" s="59" t="n">
        <v>46209</v>
      </c>
      <c r="C436" s="0" t="n">
        <v>22</v>
      </c>
      <c r="D436" s="0" t="s">
        <v>2172</v>
      </c>
      <c r="E436" s="0" t="n">
        <v>42</v>
      </c>
      <c r="F436" s="0" t="s">
        <v>81</v>
      </c>
      <c r="I436" s="0" t="n">
        <v>4358</v>
      </c>
      <c r="J436" s="0" t="n">
        <v>100002</v>
      </c>
      <c r="K436" s="0" t="n">
        <v>3</v>
      </c>
      <c r="L436" s="0" t="s">
        <v>2175</v>
      </c>
      <c r="N436" s="0" t="n">
        <v>15.735</v>
      </c>
      <c r="O436" s="60" t="n">
        <v>340.71</v>
      </c>
    </row>
    <row r="437" customFormat="false" ht="15" hidden="false" customHeight="false" outlineLevel="0" collapsed="false">
      <c r="A437" s="0" t="n">
        <v>3</v>
      </c>
      <c r="B437" s="59" t="n">
        <v>46209</v>
      </c>
      <c r="C437" s="0" t="n">
        <v>22</v>
      </c>
      <c r="D437" s="0" t="s">
        <v>2172</v>
      </c>
      <c r="E437" s="0" t="n">
        <v>42</v>
      </c>
      <c r="F437" s="0" t="s">
        <v>81</v>
      </c>
      <c r="I437" s="0" t="n">
        <v>4358</v>
      </c>
      <c r="J437" s="0" t="n">
        <v>100003</v>
      </c>
      <c r="K437" s="0" t="n">
        <v>4</v>
      </c>
      <c r="L437" s="0" t="s">
        <v>2176</v>
      </c>
      <c r="N437" s="0" t="n">
        <v>20.017</v>
      </c>
      <c r="O437" s="60" t="n">
        <v>474.07</v>
      </c>
    </row>
    <row r="438" customFormat="false" ht="15" hidden="false" customHeight="false" outlineLevel="0" collapsed="false">
      <c r="A438" s="0" t="n">
        <v>3</v>
      </c>
      <c r="B438" s="59" t="n">
        <v>46209</v>
      </c>
      <c r="C438" s="0" t="n">
        <v>22</v>
      </c>
      <c r="D438" s="0" t="s">
        <v>2172</v>
      </c>
      <c r="E438" s="0" t="n">
        <v>42</v>
      </c>
      <c r="F438" s="0" t="s">
        <v>81</v>
      </c>
      <c r="I438" s="0" t="n">
        <v>4358</v>
      </c>
      <c r="J438" s="0" t="n">
        <v>110455</v>
      </c>
      <c r="K438" s="0" t="n">
        <v>53212</v>
      </c>
      <c r="L438" s="0" t="s">
        <v>2180</v>
      </c>
      <c r="N438" s="0" t="n">
        <v>0.298</v>
      </c>
      <c r="O438" s="60" t="n">
        <v>0</v>
      </c>
    </row>
    <row r="439" customFormat="false" ht="15" hidden="false" customHeight="false" outlineLevel="0" collapsed="false">
      <c r="A439" s="0" t="n">
        <v>3</v>
      </c>
      <c r="B439" s="59" t="n">
        <v>46209</v>
      </c>
      <c r="C439" s="0" t="n">
        <v>100</v>
      </c>
      <c r="D439" s="0" t="s">
        <v>2181</v>
      </c>
      <c r="E439" s="0" t="n">
        <v>42</v>
      </c>
      <c r="F439" s="0" t="s">
        <v>81</v>
      </c>
      <c r="I439" s="0" t="n">
        <v>1361326</v>
      </c>
      <c r="J439" s="0" t="n">
        <v>100004</v>
      </c>
      <c r="K439" s="0" t="n">
        <v>5</v>
      </c>
      <c r="L439" s="0" t="s">
        <v>2411</v>
      </c>
      <c r="N439" s="0" t="n">
        <v>26.946</v>
      </c>
      <c r="O439" s="60" t="n">
        <v>442.49</v>
      </c>
    </row>
    <row r="440" customFormat="false" ht="15" hidden="false" customHeight="false" outlineLevel="0" collapsed="false">
      <c r="A440" s="0" t="n">
        <v>3</v>
      </c>
      <c r="B440" s="59" t="n">
        <v>46209</v>
      </c>
      <c r="C440" s="0" t="n">
        <v>100</v>
      </c>
      <c r="D440" s="0" t="s">
        <v>2181</v>
      </c>
      <c r="E440" s="0" t="n">
        <v>42</v>
      </c>
      <c r="F440" s="0" t="s">
        <v>81</v>
      </c>
      <c r="I440" s="0" t="n">
        <v>1361326</v>
      </c>
      <c r="J440" s="0" t="n">
        <v>100020</v>
      </c>
      <c r="K440" s="0" t="n">
        <v>21</v>
      </c>
      <c r="L440" s="0" t="s">
        <v>2337</v>
      </c>
      <c r="N440" s="0" t="n">
        <v>6.886</v>
      </c>
      <c r="O440" s="60" t="n">
        <v>201.61</v>
      </c>
    </row>
    <row r="441" customFormat="false" ht="15" hidden="false" customHeight="false" outlineLevel="0" collapsed="false">
      <c r="A441" s="0" t="n">
        <v>3</v>
      </c>
      <c r="B441" s="59" t="n">
        <v>46209</v>
      </c>
      <c r="C441" s="0" t="n">
        <v>100</v>
      </c>
      <c r="D441" s="0" t="s">
        <v>2181</v>
      </c>
      <c r="E441" s="0" t="n">
        <v>42</v>
      </c>
      <c r="F441" s="0" t="s">
        <v>81</v>
      </c>
      <c r="I441" s="0" t="n">
        <v>1361326</v>
      </c>
      <c r="J441" s="0" t="n">
        <v>110455</v>
      </c>
      <c r="K441" s="0" t="n">
        <v>53212</v>
      </c>
      <c r="L441" s="0" t="s">
        <v>2180</v>
      </c>
      <c r="N441" s="0" t="n">
        <v>0.068</v>
      </c>
      <c r="O441" s="60" t="n">
        <v>0</v>
      </c>
    </row>
    <row r="442" customFormat="false" ht="15" hidden="false" customHeight="false" outlineLevel="0" collapsed="false">
      <c r="A442" s="0" t="n">
        <v>3</v>
      </c>
      <c r="B442" s="59" t="n">
        <v>46209</v>
      </c>
      <c r="C442" s="0" t="n">
        <v>100</v>
      </c>
      <c r="D442" s="0" t="s">
        <v>2181</v>
      </c>
      <c r="E442" s="0" t="n">
        <v>42</v>
      </c>
      <c r="F442" s="0" t="s">
        <v>81</v>
      </c>
      <c r="I442" s="0" t="n">
        <v>1361330</v>
      </c>
      <c r="J442" s="0" t="n">
        <v>100000</v>
      </c>
      <c r="K442" s="0" t="n">
        <v>1</v>
      </c>
      <c r="L442" s="0" t="s">
        <v>2173</v>
      </c>
      <c r="N442" s="0" t="n">
        <v>6.041</v>
      </c>
      <c r="O442" s="60" t="n">
        <v>148.45</v>
      </c>
    </row>
    <row r="443" customFormat="false" ht="15" hidden="false" customHeight="false" outlineLevel="0" collapsed="false">
      <c r="A443" s="0" t="n">
        <v>3</v>
      </c>
      <c r="B443" s="59" t="n">
        <v>46209</v>
      </c>
      <c r="C443" s="0" t="n">
        <v>100</v>
      </c>
      <c r="D443" s="0" t="s">
        <v>2181</v>
      </c>
      <c r="E443" s="0" t="n">
        <v>42</v>
      </c>
      <c r="F443" s="0" t="s">
        <v>81</v>
      </c>
      <c r="I443" s="0" t="n">
        <v>1361330</v>
      </c>
      <c r="J443" s="0" t="n">
        <v>100006</v>
      </c>
      <c r="K443" s="0" t="n">
        <v>7</v>
      </c>
      <c r="L443" s="0" t="s">
        <v>2228</v>
      </c>
      <c r="N443" s="0" t="n">
        <v>9.988</v>
      </c>
      <c r="O443" s="60" t="n">
        <v>338.57</v>
      </c>
    </row>
    <row r="444" customFormat="false" ht="15" hidden="false" customHeight="false" outlineLevel="0" collapsed="false">
      <c r="A444" s="0" t="n">
        <v>3</v>
      </c>
      <c r="B444" s="59" t="n">
        <v>46209</v>
      </c>
      <c r="C444" s="0" t="n">
        <v>100</v>
      </c>
      <c r="D444" s="0" t="s">
        <v>2181</v>
      </c>
      <c r="E444" s="0" t="n">
        <v>42</v>
      </c>
      <c r="F444" s="0" t="s">
        <v>81</v>
      </c>
      <c r="I444" s="0" t="n">
        <v>1361330</v>
      </c>
      <c r="J444" s="0" t="n">
        <v>100008</v>
      </c>
      <c r="K444" s="0" t="n">
        <v>9</v>
      </c>
      <c r="L444" s="0" t="s">
        <v>2229</v>
      </c>
      <c r="N444" s="0" t="n">
        <v>26.515</v>
      </c>
      <c r="O444" s="60" t="n">
        <v>921.27</v>
      </c>
    </row>
    <row r="445" customFormat="false" ht="15" hidden="false" customHeight="false" outlineLevel="0" collapsed="false">
      <c r="A445" s="0" t="n">
        <v>3</v>
      </c>
      <c r="B445" s="59" t="n">
        <v>46209</v>
      </c>
      <c r="C445" s="0" t="n">
        <v>100</v>
      </c>
      <c r="D445" s="0" t="s">
        <v>2181</v>
      </c>
      <c r="E445" s="0" t="n">
        <v>42</v>
      </c>
      <c r="F445" s="0" t="s">
        <v>81</v>
      </c>
      <c r="I445" s="0" t="n">
        <v>1361330</v>
      </c>
      <c r="J445" s="0" t="n">
        <v>100010</v>
      </c>
      <c r="K445" s="0" t="n">
        <v>11</v>
      </c>
      <c r="L445" s="0" t="s">
        <v>2230</v>
      </c>
      <c r="N445" s="0" t="n">
        <v>5.812</v>
      </c>
      <c r="O445" s="60" t="n">
        <v>231.5</v>
      </c>
    </row>
    <row r="446" customFormat="false" ht="15" hidden="false" customHeight="false" outlineLevel="0" collapsed="false">
      <c r="A446" s="0" t="n">
        <v>3</v>
      </c>
      <c r="B446" s="59" t="n">
        <v>46209</v>
      </c>
      <c r="C446" s="0" t="n">
        <v>100</v>
      </c>
      <c r="D446" s="0" t="s">
        <v>2181</v>
      </c>
      <c r="E446" s="0" t="n">
        <v>42</v>
      </c>
      <c r="F446" s="0" t="s">
        <v>81</v>
      </c>
      <c r="I446" s="0" t="n">
        <v>1361330</v>
      </c>
      <c r="J446" s="0" t="n">
        <v>100011</v>
      </c>
      <c r="K446" s="0" t="n">
        <v>12</v>
      </c>
      <c r="L446" s="0" t="s">
        <v>2231</v>
      </c>
      <c r="N446" s="0" t="n">
        <v>12.48</v>
      </c>
      <c r="O446" s="60" t="n">
        <v>497.09</v>
      </c>
    </row>
    <row r="447" customFormat="false" ht="15" hidden="false" customHeight="false" outlineLevel="0" collapsed="false">
      <c r="A447" s="0" t="n">
        <v>3</v>
      </c>
      <c r="B447" s="59" t="n">
        <v>46209</v>
      </c>
      <c r="C447" s="0" t="n">
        <v>100</v>
      </c>
      <c r="D447" s="0" t="s">
        <v>2181</v>
      </c>
      <c r="E447" s="0" t="n">
        <v>42</v>
      </c>
      <c r="F447" s="0" t="s">
        <v>81</v>
      </c>
      <c r="I447" s="0" t="n">
        <v>1361330</v>
      </c>
      <c r="J447" s="0" t="n">
        <v>100012</v>
      </c>
      <c r="K447" s="0" t="n">
        <v>13</v>
      </c>
      <c r="L447" s="0" t="s">
        <v>2232</v>
      </c>
      <c r="N447" s="0" t="n">
        <v>10.953</v>
      </c>
      <c r="O447" s="60" t="n">
        <v>473.41</v>
      </c>
    </row>
    <row r="448" customFormat="false" ht="15" hidden="false" customHeight="false" outlineLevel="0" collapsed="false">
      <c r="A448" s="0" t="n">
        <v>3</v>
      </c>
      <c r="B448" s="59" t="n">
        <v>46209</v>
      </c>
      <c r="C448" s="0" t="n">
        <v>100</v>
      </c>
      <c r="D448" s="0" t="s">
        <v>2181</v>
      </c>
      <c r="E448" s="0" t="n">
        <v>42</v>
      </c>
      <c r="F448" s="0" t="s">
        <v>81</v>
      </c>
      <c r="I448" s="0" t="n">
        <v>1361330</v>
      </c>
      <c r="J448" s="0" t="n">
        <v>100013</v>
      </c>
      <c r="K448" s="0" t="n">
        <v>14</v>
      </c>
      <c r="L448" s="0" t="s">
        <v>2233</v>
      </c>
      <c r="N448" s="0" t="n">
        <v>19.435</v>
      </c>
      <c r="O448" s="60" t="n">
        <v>905.91</v>
      </c>
    </row>
    <row r="449" customFormat="false" ht="15" hidden="false" customHeight="false" outlineLevel="0" collapsed="false">
      <c r="A449" s="0" t="n">
        <v>3</v>
      </c>
      <c r="B449" s="59" t="n">
        <v>46209</v>
      </c>
      <c r="C449" s="0" t="n">
        <v>100</v>
      </c>
      <c r="D449" s="0" t="s">
        <v>2181</v>
      </c>
      <c r="E449" s="0" t="n">
        <v>42</v>
      </c>
      <c r="F449" s="0" t="s">
        <v>81</v>
      </c>
      <c r="I449" s="0" t="n">
        <v>1361330</v>
      </c>
      <c r="J449" s="0" t="n">
        <v>100014</v>
      </c>
      <c r="K449" s="0" t="n">
        <v>15</v>
      </c>
      <c r="L449" s="0" t="s">
        <v>2234</v>
      </c>
      <c r="N449" s="0" t="n">
        <v>8.291</v>
      </c>
      <c r="O449" s="60" t="n">
        <v>393.49</v>
      </c>
    </row>
    <row r="450" customFormat="false" ht="15" hidden="false" customHeight="false" outlineLevel="0" collapsed="false">
      <c r="A450" s="0" t="n">
        <v>3</v>
      </c>
      <c r="B450" s="59" t="n">
        <v>46209</v>
      </c>
      <c r="C450" s="0" t="n">
        <v>100</v>
      </c>
      <c r="D450" s="0" t="s">
        <v>2181</v>
      </c>
      <c r="E450" s="0" t="n">
        <v>42</v>
      </c>
      <c r="F450" s="0" t="s">
        <v>81</v>
      </c>
      <c r="I450" s="0" t="n">
        <v>1361330</v>
      </c>
      <c r="J450" s="0" t="n">
        <v>100015</v>
      </c>
      <c r="K450" s="0" t="n">
        <v>16</v>
      </c>
      <c r="L450" s="0" t="s">
        <v>2235</v>
      </c>
      <c r="N450" s="0" t="n">
        <v>3.019</v>
      </c>
      <c r="O450" s="60" t="n">
        <v>130.49</v>
      </c>
    </row>
    <row r="451" customFormat="false" ht="15" hidden="false" customHeight="false" outlineLevel="0" collapsed="false">
      <c r="A451" s="0" t="n">
        <v>3</v>
      </c>
      <c r="B451" s="59" t="n">
        <v>46209</v>
      </c>
      <c r="C451" s="0" t="n">
        <v>100</v>
      </c>
      <c r="D451" s="0" t="s">
        <v>2181</v>
      </c>
      <c r="E451" s="0" t="n">
        <v>42</v>
      </c>
      <c r="F451" s="0" t="s">
        <v>81</v>
      </c>
      <c r="I451" s="0" t="n">
        <v>1361330</v>
      </c>
      <c r="J451" s="0" t="n">
        <v>100016</v>
      </c>
      <c r="K451" s="0" t="n">
        <v>17</v>
      </c>
      <c r="L451" s="0" t="s">
        <v>2236</v>
      </c>
      <c r="N451" s="0" t="n">
        <v>3.978</v>
      </c>
      <c r="O451" s="60" t="n">
        <v>185.42</v>
      </c>
    </row>
    <row r="452" customFormat="false" ht="15" hidden="false" customHeight="false" outlineLevel="0" collapsed="false">
      <c r="A452" s="0" t="n">
        <v>3</v>
      </c>
      <c r="B452" s="59" t="n">
        <v>46209</v>
      </c>
      <c r="C452" s="0" t="n">
        <v>100</v>
      </c>
      <c r="D452" s="0" t="s">
        <v>2181</v>
      </c>
      <c r="E452" s="0" t="n">
        <v>42</v>
      </c>
      <c r="F452" s="0" t="s">
        <v>81</v>
      </c>
      <c r="I452" s="0" t="n">
        <v>1361330</v>
      </c>
      <c r="J452" s="0" t="n">
        <v>100017</v>
      </c>
      <c r="K452" s="0" t="n">
        <v>18</v>
      </c>
      <c r="L452" s="0" t="s">
        <v>2237</v>
      </c>
      <c r="N452" s="0" t="n">
        <v>3.376</v>
      </c>
      <c r="O452" s="60" t="n">
        <v>185.98</v>
      </c>
    </row>
    <row r="453" customFormat="false" ht="15" hidden="false" customHeight="false" outlineLevel="0" collapsed="false">
      <c r="A453" s="0" t="n">
        <v>3</v>
      </c>
      <c r="B453" s="59" t="n">
        <v>46209</v>
      </c>
      <c r="C453" s="0" t="n">
        <v>100</v>
      </c>
      <c r="D453" s="0" t="s">
        <v>2181</v>
      </c>
      <c r="E453" s="0" t="n">
        <v>42</v>
      </c>
      <c r="F453" s="0" t="s">
        <v>81</v>
      </c>
      <c r="I453" s="0" t="n">
        <v>1361330</v>
      </c>
      <c r="J453" s="0" t="n">
        <v>100053</v>
      </c>
      <c r="K453" s="0" t="n">
        <v>54</v>
      </c>
      <c r="L453" s="0" t="s">
        <v>2238</v>
      </c>
      <c r="N453" s="0" t="n">
        <v>2.821</v>
      </c>
      <c r="O453" s="60" t="n">
        <v>107.58</v>
      </c>
    </row>
    <row r="454" customFormat="false" ht="15" hidden="false" customHeight="false" outlineLevel="0" collapsed="false">
      <c r="A454" s="0" t="n">
        <v>3</v>
      </c>
      <c r="B454" s="59" t="n">
        <v>46209</v>
      </c>
      <c r="C454" s="0" t="n">
        <v>100</v>
      </c>
      <c r="D454" s="0" t="s">
        <v>2181</v>
      </c>
      <c r="E454" s="0" t="n">
        <v>42</v>
      </c>
      <c r="F454" s="0" t="s">
        <v>81</v>
      </c>
      <c r="I454" s="0" t="n">
        <v>1361330</v>
      </c>
      <c r="J454" s="0" t="n">
        <v>100638</v>
      </c>
      <c r="K454" s="0" t="n">
        <v>508</v>
      </c>
      <c r="L454" s="0" t="s">
        <v>2178</v>
      </c>
      <c r="N454" s="0" t="n">
        <v>5.661</v>
      </c>
      <c r="O454" s="60" t="n">
        <v>9.55</v>
      </c>
    </row>
    <row r="455" customFormat="false" ht="15" hidden="false" customHeight="false" outlineLevel="0" collapsed="false">
      <c r="A455" s="0" t="n">
        <v>3</v>
      </c>
      <c r="B455" s="59" t="n">
        <v>46209</v>
      </c>
      <c r="C455" s="0" t="n">
        <v>100</v>
      </c>
      <c r="D455" s="0" t="s">
        <v>2181</v>
      </c>
      <c r="E455" s="0" t="n">
        <v>42</v>
      </c>
      <c r="F455" s="0" t="s">
        <v>81</v>
      </c>
      <c r="I455" s="0" t="n">
        <v>1361330</v>
      </c>
      <c r="J455" s="0" t="n">
        <v>100520</v>
      </c>
      <c r="K455" s="0" t="n">
        <v>507</v>
      </c>
      <c r="L455" s="0" t="s">
        <v>2179</v>
      </c>
      <c r="N455" s="0" t="n">
        <v>23.715</v>
      </c>
      <c r="O455" s="60" t="n">
        <v>60.1</v>
      </c>
    </row>
    <row r="456" customFormat="false" ht="15" hidden="false" customHeight="false" outlineLevel="0" collapsed="false">
      <c r="A456" s="0" t="n">
        <v>3</v>
      </c>
      <c r="B456" s="59" t="n">
        <v>46209</v>
      </c>
      <c r="C456" s="0" t="n">
        <v>100</v>
      </c>
      <c r="D456" s="0" t="s">
        <v>2181</v>
      </c>
      <c r="E456" s="0" t="n">
        <v>42</v>
      </c>
      <c r="F456" s="0" t="s">
        <v>81</v>
      </c>
      <c r="I456" s="0" t="n">
        <v>1361330</v>
      </c>
      <c r="J456" s="0" t="n">
        <v>110455</v>
      </c>
      <c r="K456" s="0" t="n">
        <v>53212</v>
      </c>
      <c r="L456" s="0" t="s">
        <v>2180</v>
      </c>
      <c r="N456" s="0" t="n">
        <v>1.315</v>
      </c>
      <c r="O456" s="60" t="n">
        <v>0</v>
      </c>
    </row>
    <row r="457" customFormat="false" ht="15" hidden="false" customHeight="false" outlineLevel="0" collapsed="false">
      <c r="A457" s="0" t="n">
        <v>3</v>
      </c>
      <c r="B457" s="59" t="n">
        <v>46209</v>
      </c>
      <c r="C457" s="0" t="n">
        <v>100</v>
      </c>
      <c r="D457" s="0" t="s">
        <v>2181</v>
      </c>
      <c r="E457" s="0" t="n">
        <v>42</v>
      </c>
      <c r="F457" s="0" t="s">
        <v>81</v>
      </c>
      <c r="I457" s="0" t="n">
        <v>1361389</v>
      </c>
      <c r="J457" s="0" t="n">
        <v>100000</v>
      </c>
      <c r="K457" s="0" t="n">
        <v>1</v>
      </c>
      <c r="L457" s="0" t="s">
        <v>2173</v>
      </c>
      <c r="N457" s="0" t="n">
        <v>3.68</v>
      </c>
      <c r="O457" s="60" t="n">
        <v>72.21</v>
      </c>
    </row>
    <row r="458" customFormat="false" ht="15" hidden="false" customHeight="false" outlineLevel="0" collapsed="false">
      <c r="A458" s="0" t="n">
        <v>3</v>
      </c>
      <c r="B458" s="59" t="n">
        <v>46209</v>
      </c>
      <c r="C458" s="0" t="n">
        <v>100</v>
      </c>
      <c r="D458" s="0" t="s">
        <v>2181</v>
      </c>
      <c r="E458" s="0" t="n">
        <v>42</v>
      </c>
      <c r="F458" s="0" t="s">
        <v>81</v>
      </c>
      <c r="I458" s="0" t="n">
        <v>1361389</v>
      </c>
      <c r="J458" s="0" t="n">
        <v>100001</v>
      </c>
      <c r="K458" s="0" t="n">
        <v>2</v>
      </c>
      <c r="L458" s="0" t="s">
        <v>2174</v>
      </c>
      <c r="N458" s="0" t="n">
        <v>12.62</v>
      </c>
      <c r="O458" s="60" t="n">
        <v>264.72</v>
      </c>
    </row>
    <row r="459" customFormat="false" ht="15" hidden="false" customHeight="false" outlineLevel="0" collapsed="false">
      <c r="A459" s="0" t="n">
        <v>3</v>
      </c>
      <c r="B459" s="59" t="n">
        <v>46209</v>
      </c>
      <c r="C459" s="0" t="n">
        <v>100</v>
      </c>
      <c r="D459" s="0" t="s">
        <v>2181</v>
      </c>
      <c r="E459" s="0" t="n">
        <v>42</v>
      </c>
      <c r="F459" s="0" t="s">
        <v>81</v>
      </c>
      <c r="I459" s="0" t="n">
        <v>1361389</v>
      </c>
      <c r="J459" s="0" t="n">
        <v>100002</v>
      </c>
      <c r="K459" s="0" t="n">
        <v>3</v>
      </c>
      <c r="L459" s="0" t="s">
        <v>2175</v>
      </c>
      <c r="N459" s="0" t="n">
        <v>15.735</v>
      </c>
      <c r="O459" s="60" t="n">
        <v>340.71</v>
      </c>
    </row>
    <row r="460" customFormat="false" ht="15" hidden="false" customHeight="false" outlineLevel="0" collapsed="false">
      <c r="A460" s="0" t="n">
        <v>3</v>
      </c>
      <c r="B460" s="59" t="n">
        <v>46209</v>
      </c>
      <c r="C460" s="0" t="n">
        <v>100</v>
      </c>
      <c r="D460" s="0" t="s">
        <v>2181</v>
      </c>
      <c r="E460" s="0" t="n">
        <v>42</v>
      </c>
      <c r="F460" s="0" t="s">
        <v>81</v>
      </c>
      <c r="I460" s="0" t="n">
        <v>1361389</v>
      </c>
      <c r="J460" s="0" t="n">
        <v>100003</v>
      </c>
      <c r="K460" s="0" t="n">
        <v>4</v>
      </c>
      <c r="L460" s="0" t="s">
        <v>2176</v>
      </c>
      <c r="N460" s="0" t="n">
        <v>20.017</v>
      </c>
      <c r="O460" s="60" t="n">
        <v>474.07</v>
      </c>
    </row>
    <row r="461" customFormat="false" ht="15" hidden="false" customHeight="false" outlineLevel="0" collapsed="false">
      <c r="A461" s="0" t="n">
        <v>3</v>
      </c>
      <c r="B461" s="59" t="n">
        <v>46209</v>
      </c>
      <c r="C461" s="0" t="n">
        <v>100</v>
      </c>
      <c r="D461" s="0" t="s">
        <v>2181</v>
      </c>
      <c r="E461" s="0" t="n">
        <v>42</v>
      </c>
      <c r="F461" s="0" t="s">
        <v>81</v>
      </c>
      <c r="I461" s="0" t="n">
        <v>1361389</v>
      </c>
      <c r="J461" s="0" t="n">
        <v>110455</v>
      </c>
      <c r="K461" s="0" t="n">
        <v>53212</v>
      </c>
      <c r="L461" s="0" t="s">
        <v>2180</v>
      </c>
      <c r="N461" s="0" t="n">
        <v>0.298</v>
      </c>
      <c r="O461" s="60" t="n">
        <v>0</v>
      </c>
    </row>
    <row r="462" customFormat="false" ht="15" hidden="false" customHeight="false" outlineLevel="0" collapsed="false">
      <c r="A462" s="0" t="n">
        <v>3</v>
      </c>
      <c r="B462" s="59" t="n">
        <v>46209</v>
      </c>
      <c r="C462" s="0" t="n">
        <v>171</v>
      </c>
      <c r="D462" s="0" t="s">
        <v>2182</v>
      </c>
      <c r="E462" s="0" t="n">
        <v>1955</v>
      </c>
      <c r="F462" s="0" t="s">
        <v>2052</v>
      </c>
      <c r="I462" s="0" t="n">
        <v>47191</v>
      </c>
      <c r="J462" s="0" t="n">
        <v>45153</v>
      </c>
      <c r="K462" s="0" t="n">
        <v>7899403713715</v>
      </c>
      <c r="L462" s="0" t="s">
        <v>2412</v>
      </c>
      <c r="N462" s="0" t="n">
        <v>50</v>
      </c>
      <c r="O462" s="60" t="n">
        <v>49.25</v>
      </c>
    </row>
    <row r="463" customFormat="false" ht="15" hidden="false" customHeight="false" outlineLevel="0" collapsed="false">
      <c r="A463" s="0" t="n">
        <v>3</v>
      </c>
      <c r="B463" s="59" t="n">
        <v>46209</v>
      </c>
      <c r="C463" s="0" t="n">
        <v>171</v>
      </c>
      <c r="D463" s="0" t="s">
        <v>2182</v>
      </c>
      <c r="E463" s="0" t="n">
        <v>1955</v>
      </c>
      <c r="F463" s="0" t="s">
        <v>2052</v>
      </c>
      <c r="I463" s="0" t="n">
        <v>47191</v>
      </c>
      <c r="J463" s="0" t="n">
        <v>45154</v>
      </c>
      <c r="K463" s="0" t="n">
        <v>2246390</v>
      </c>
      <c r="L463" s="0" t="s">
        <v>2413</v>
      </c>
      <c r="N463" s="0" t="n">
        <v>112</v>
      </c>
      <c r="O463" s="60" t="n">
        <v>109.93</v>
      </c>
    </row>
    <row r="464" customFormat="false" ht="15" hidden="false" customHeight="false" outlineLevel="0" collapsed="false">
      <c r="A464" s="0" t="n">
        <v>3</v>
      </c>
      <c r="B464" s="59" t="n">
        <v>46209</v>
      </c>
      <c r="C464" s="0" t="n">
        <v>171</v>
      </c>
      <c r="D464" s="0" t="s">
        <v>2182</v>
      </c>
      <c r="E464" s="0" t="n">
        <v>1955</v>
      </c>
      <c r="F464" s="0" t="s">
        <v>2052</v>
      </c>
      <c r="I464" s="0" t="n">
        <v>47191</v>
      </c>
      <c r="J464" s="0" t="n">
        <v>45155</v>
      </c>
      <c r="K464" s="0" t="n">
        <v>2246406</v>
      </c>
      <c r="L464" s="0" t="s">
        <v>2414</v>
      </c>
      <c r="N464" s="0" t="n">
        <v>190</v>
      </c>
      <c r="O464" s="60" t="n">
        <v>187.14</v>
      </c>
    </row>
    <row r="465" customFormat="false" ht="15" hidden="false" customHeight="false" outlineLevel="0" collapsed="false">
      <c r="A465" s="0" t="n">
        <v>3</v>
      </c>
      <c r="B465" s="59" t="n">
        <v>46210</v>
      </c>
      <c r="C465" s="0" t="n">
        <v>1</v>
      </c>
      <c r="D465" s="0" t="s">
        <v>2118</v>
      </c>
      <c r="E465" s="0" t="n">
        <v>10043</v>
      </c>
      <c r="F465" s="0" t="s">
        <v>113</v>
      </c>
      <c r="I465" s="0" t="n">
        <v>756</v>
      </c>
      <c r="J465" s="0" t="n">
        <v>52096</v>
      </c>
      <c r="K465" s="0" t="n">
        <v>144315</v>
      </c>
      <c r="L465" s="0" t="s">
        <v>2415</v>
      </c>
      <c r="N465" s="0" t="n">
        <v>180</v>
      </c>
      <c r="O465" s="60" t="n">
        <v>270</v>
      </c>
    </row>
    <row r="466" customFormat="false" ht="15" hidden="false" customHeight="false" outlineLevel="0" collapsed="false">
      <c r="A466" s="0" t="n">
        <v>3</v>
      </c>
      <c r="B466" s="59" t="n">
        <v>46210</v>
      </c>
      <c r="C466" s="0" t="n">
        <v>1</v>
      </c>
      <c r="D466" s="0" t="s">
        <v>2118</v>
      </c>
      <c r="E466" s="0" t="n">
        <v>1615</v>
      </c>
      <c r="F466" s="0" t="s">
        <v>131</v>
      </c>
      <c r="I466" s="0" t="n">
        <v>14810</v>
      </c>
      <c r="J466" s="0" t="n">
        <v>100114</v>
      </c>
      <c r="K466" s="0" t="n">
        <v>115</v>
      </c>
      <c r="L466" s="0" t="s">
        <v>2253</v>
      </c>
      <c r="N466" s="0" t="n">
        <v>18</v>
      </c>
      <c r="O466" s="60" t="n">
        <v>170</v>
      </c>
    </row>
    <row r="467" customFormat="false" ht="15" hidden="false" customHeight="false" outlineLevel="0" collapsed="false">
      <c r="A467" s="0" t="n">
        <v>3</v>
      </c>
      <c r="B467" s="59" t="n">
        <v>46210</v>
      </c>
      <c r="C467" s="0" t="n">
        <v>1</v>
      </c>
      <c r="D467" s="0" t="s">
        <v>2118</v>
      </c>
      <c r="E467" s="0" t="n">
        <v>1615</v>
      </c>
      <c r="F467" s="0" t="s">
        <v>131</v>
      </c>
      <c r="I467" s="0" t="n">
        <v>14810</v>
      </c>
      <c r="J467" s="0" t="n">
        <v>37771</v>
      </c>
      <c r="K467" s="0" t="n">
        <v>774574</v>
      </c>
      <c r="L467" s="0" t="s">
        <v>2255</v>
      </c>
      <c r="N467" s="0" t="n">
        <v>20</v>
      </c>
      <c r="O467" s="60" t="n">
        <v>140</v>
      </c>
    </row>
    <row r="468" customFormat="false" ht="15" hidden="false" customHeight="false" outlineLevel="0" collapsed="false">
      <c r="A468" s="0" t="n">
        <v>3</v>
      </c>
      <c r="B468" s="59" t="n">
        <v>46210</v>
      </c>
      <c r="C468" s="0" t="n">
        <v>1</v>
      </c>
      <c r="D468" s="0" t="s">
        <v>2118</v>
      </c>
      <c r="E468" s="0" t="n">
        <v>1615</v>
      </c>
      <c r="F468" s="0" t="s">
        <v>131</v>
      </c>
      <c r="I468" s="0" t="n">
        <v>14810</v>
      </c>
      <c r="J468" s="0" t="n">
        <v>55350</v>
      </c>
      <c r="K468" s="0" t="n">
        <v>609963080076</v>
      </c>
      <c r="L468" s="0" t="s">
        <v>2416</v>
      </c>
      <c r="N468" s="0" t="n">
        <v>20</v>
      </c>
      <c r="O468" s="60" t="n">
        <v>140</v>
      </c>
    </row>
    <row r="469" customFormat="false" ht="15" hidden="false" customHeight="false" outlineLevel="0" collapsed="false">
      <c r="A469" s="0" t="n">
        <v>3</v>
      </c>
      <c r="B469" s="59" t="n">
        <v>46210</v>
      </c>
      <c r="C469" s="0" t="n">
        <v>1</v>
      </c>
      <c r="D469" s="0" t="s">
        <v>2118</v>
      </c>
      <c r="E469" s="0" t="n">
        <v>1024</v>
      </c>
      <c r="F469" s="0" t="s">
        <v>162</v>
      </c>
      <c r="I469" s="0" t="n">
        <v>598141</v>
      </c>
      <c r="J469" s="0" t="n">
        <v>103169</v>
      </c>
      <c r="K469" s="0" t="n">
        <v>7898919635016</v>
      </c>
      <c r="L469" s="0" t="s">
        <v>2417</v>
      </c>
      <c r="N469" s="0" t="n">
        <v>36</v>
      </c>
      <c r="O469" s="60" t="n">
        <v>136</v>
      </c>
    </row>
    <row r="470" customFormat="false" ht="15" hidden="false" customHeight="false" outlineLevel="0" collapsed="false">
      <c r="A470" s="0" t="n">
        <v>3</v>
      </c>
      <c r="B470" s="59" t="n">
        <v>46210</v>
      </c>
      <c r="C470" s="0" t="n">
        <v>1</v>
      </c>
      <c r="D470" s="0" t="s">
        <v>2118</v>
      </c>
      <c r="E470" s="0" t="n">
        <v>1024</v>
      </c>
      <c r="F470" s="0" t="s">
        <v>162</v>
      </c>
      <c r="I470" s="0" t="n">
        <v>598141</v>
      </c>
      <c r="J470" s="0" t="n">
        <v>103170</v>
      </c>
      <c r="K470" s="0" t="n">
        <v>7896792000020</v>
      </c>
      <c r="L470" s="0" t="s">
        <v>2418</v>
      </c>
      <c r="N470" s="0" t="n">
        <v>54</v>
      </c>
      <c r="O470" s="60" t="n">
        <v>204</v>
      </c>
    </row>
    <row r="471" customFormat="false" ht="15" hidden="false" customHeight="false" outlineLevel="0" collapsed="false">
      <c r="A471" s="0" t="n">
        <v>3</v>
      </c>
      <c r="B471" s="59" t="n">
        <v>46210</v>
      </c>
      <c r="C471" s="0" t="n">
        <v>1</v>
      </c>
      <c r="D471" s="0" t="s">
        <v>2118</v>
      </c>
      <c r="E471" s="0" t="n">
        <v>1024</v>
      </c>
      <c r="F471" s="0" t="s">
        <v>162</v>
      </c>
      <c r="I471" s="0" t="n">
        <v>598141</v>
      </c>
      <c r="J471" s="0" t="n">
        <v>10275</v>
      </c>
      <c r="K471" s="0" t="n">
        <v>7898919635047</v>
      </c>
      <c r="L471" s="0" t="s">
        <v>2419</v>
      </c>
      <c r="N471" s="0" t="n">
        <v>45</v>
      </c>
      <c r="O471" s="60" t="n">
        <v>170</v>
      </c>
    </row>
    <row r="472" customFormat="false" ht="15" hidden="false" customHeight="false" outlineLevel="0" collapsed="false">
      <c r="A472" s="0" t="n">
        <v>3</v>
      </c>
      <c r="B472" s="59" t="n">
        <v>46210</v>
      </c>
      <c r="C472" s="0" t="n">
        <v>1</v>
      </c>
      <c r="D472" s="0" t="s">
        <v>2118</v>
      </c>
      <c r="E472" s="0" t="n">
        <v>1024</v>
      </c>
      <c r="F472" s="0" t="s">
        <v>162</v>
      </c>
      <c r="I472" s="0" t="n">
        <v>598141</v>
      </c>
      <c r="J472" s="0" t="n">
        <v>10276</v>
      </c>
      <c r="K472" s="0" t="n">
        <v>7898919635030</v>
      </c>
      <c r="L472" s="0" t="s">
        <v>2420</v>
      </c>
      <c r="N472" s="0" t="n">
        <v>27</v>
      </c>
      <c r="O472" s="60" t="n">
        <v>102</v>
      </c>
    </row>
    <row r="473" customFormat="false" ht="15" hidden="false" customHeight="false" outlineLevel="0" collapsed="false">
      <c r="A473" s="0" t="n">
        <v>3</v>
      </c>
      <c r="B473" s="59" t="n">
        <v>46210</v>
      </c>
      <c r="C473" s="0" t="n">
        <v>1</v>
      </c>
      <c r="D473" s="0" t="s">
        <v>2118</v>
      </c>
      <c r="E473" s="0" t="n">
        <v>1024</v>
      </c>
      <c r="F473" s="0" t="s">
        <v>162</v>
      </c>
      <c r="I473" s="0" t="n">
        <v>598141</v>
      </c>
      <c r="J473" s="0" t="n">
        <v>49131</v>
      </c>
      <c r="K473" s="0" t="n">
        <v>7898919635856</v>
      </c>
      <c r="L473" s="0" t="s">
        <v>2421</v>
      </c>
      <c r="N473" s="0" t="n">
        <v>1</v>
      </c>
      <c r="O473" s="60" t="n">
        <v>6.5</v>
      </c>
    </row>
    <row r="474" customFormat="false" ht="15" hidden="false" customHeight="false" outlineLevel="0" collapsed="false">
      <c r="A474" s="0" t="n">
        <v>3</v>
      </c>
      <c r="B474" s="59" t="n">
        <v>46210</v>
      </c>
      <c r="C474" s="0" t="n">
        <v>2</v>
      </c>
      <c r="D474" s="0" t="s">
        <v>2122</v>
      </c>
      <c r="E474" s="0" t="n">
        <v>42</v>
      </c>
      <c r="F474" s="0" t="s">
        <v>81</v>
      </c>
      <c r="I474" s="0" t="n">
        <v>70701</v>
      </c>
      <c r="J474" s="0" t="n">
        <v>109791</v>
      </c>
      <c r="K474" s="0" t="n">
        <v>9667</v>
      </c>
      <c r="L474" s="0" t="s">
        <v>2123</v>
      </c>
      <c r="N474" s="0" t="n">
        <v>10</v>
      </c>
      <c r="O474" s="60" t="n">
        <v>25</v>
      </c>
    </row>
    <row r="475" customFormat="false" ht="15" hidden="false" customHeight="false" outlineLevel="0" collapsed="false">
      <c r="A475" s="0" t="n">
        <v>3</v>
      </c>
      <c r="B475" s="59" t="n">
        <v>46210</v>
      </c>
      <c r="C475" s="0" t="n">
        <v>2</v>
      </c>
      <c r="D475" s="0" t="s">
        <v>2122</v>
      </c>
      <c r="E475" s="0" t="n">
        <v>42</v>
      </c>
      <c r="F475" s="0" t="s">
        <v>81</v>
      </c>
      <c r="I475" s="0" t="n">
        <v>70701</v>
      </c>
      <c r="J475" s="0" t="n">
        <v>37361</v>
      </c>
      <c r="K475" s="0" t="n">
        <v>2240817</v>
      </c>
      <c r="L475" s="0" t="s">
        <v>2124</v>
      </c>
      <c r="N475" s="0" t="n">
        <v>40</v>
      </c>
      <c r="O475" s="60" t="n">
        <v>80</v>
      </c>
    </row>
    <row r="476" customFormat="false" ht="15" hidden="false" customHeight="false" outlineLevel="0" collapsed="false">
      <c r="A476" s="0" t="n">
        <v>3</v>
      </c>
      <c r="B476" s="59" t="n">
        <v>46210</v>
      </c>
      <c r="C476" s="0" t="n">
        <v>2</v>
      </c>
      <c r="D476" s="0" t="s">
        <v>2122</v>
      </c>
      <c r="E476" s="0" t="n">
        <v>42</v>
      </c>
      <c r="F476" s="0" t="s">
        <v>81</v>
      </c>
      <c r="I476" s="0" t="n">
        <v>70702</v>
      </c>
      <c r="J476" s="0" t="n">
        <v>72679</v>
      </c>
      <c r="K476" s="0" t="n">
        <v>246</v>
      </c>
      <c r="L476" s="0" t="s">
        <v>2195</v>
      </c>
      <c r="N476" s="0" t="n">
        <v>20</v>
      </c>
      <c r="O476" s="60" t="n">
        <v>280</v>
      </c>
    </row>
    <row r="477" customFormat="false" ht="15" hidden="false" customHeight="false" outlineLevel="0" collapsed="false">
      <c r="A477" s="0" t="n">
        <v>3</v>
      </c>
      <c r="B477" s="59" t="n">
        <v>46210</v>
      </c>
      <c r="C477" s="0" t="n">
        <v>2</v>
      </c>
      <c r="D477" s="0" t="s">
        <v>2122</v>
      </c>
      <c r="E477" s="0" t="n">
        <v>42</v>
      </c>
      <c r="F477" s="0" t="s">
        <v>81</v>
      </c>
      <c r="I477" s="0" t="n">
        <v>70703</v>
      </c>
      <c r="J477" s="0" t="n">
        <v>100062</v>
      </c>
      <c r="K477" s="0" t="n">
        <v>63</v>
      </c>
      <c r="L477" s="0" t="s">
        <v>2259</v>
      </c>
      <c r="N477" s="0" t="n">
        <v>8.8</v>
      </c>
      <c r="O477" s="60" t="n">
        <v>105</v>
      </c>
    </row>
    <row r="478" customFormat="false" ht="15" hidden="false" customHeight="false" outlineLevel="0" collapsed="false">
      <c r="A478" s="0" t="n">
        <v>3</v>
      </c>
      <c r="B478" s="59" t="n">
        <v>46210</v>
      </c>
      <c r="C478" s="0" t="n">
        <v>2</v>
      </c>
      <c r="D478" s="0" t="s">
        <v>2122</v>
      </c>
      <c r="E478" s="0" t="n">
        <v>42</v>
      </c>
      <c r="F478" s="0" t="s">
        <v>81</v>
      </c>
      <c r="I478" s="0" t="n">
        <v>70703</v>
      </c>
      <c r="J478" s="0" t="n">
        <v>100104</v>
      </c>
      <c r="K478" s="0" t="n">
        <v>105</v>
      </c>
      <c r="L478" s="0" t="s">
        <v>2260</v>
      </c>
      <c r="N478" s="0" t="n">
        <v>5</v>
      </c>
      <c r="O478" s="60" t="n">
        <v>35</v>
      </c>
    </row>
    <row r="479" customFormat="false" ht="15" hidden="false" customHeight="false" outlineLevel="0" collapsed="false">
      <c r="A479" s="0" t="n">
        <v>3</v>
      </c>
      <c r="B479" s="59" t="n">
        <v>46210</v>
      </c>
      <c r="C479" s="0" t="n">
        <v>2</v>
      </c>
      <c r="D479" s="0" t="s">
        <v>2122</v>
      </c>
      <c r="E479" s="0" t="n">
        <v>42</v>
      </c>
      <c r="F479" s="0" t="s">
        <v>81</v>
      </c>
      <c r="I479" s="0" t="n">
        <v>70703</v>
      </c>
      <c r="J479" s="0" t="n">
        <v>100110</v>
      </c>
      <c r="K479" s="0" t="n">
        <v>111</v>
      </c>
      <c r="L479" s="0" t="s">
        <v>2262</v>
      </c>
      <c r="N479" s="0" t="n">
        <v>10</v>
      </c>
      <c r="O479" s="60" t="n">
        <v>100</v>
      </c>
    </row>
    <row r="480" customFormat="false" ht="15" hidden="false" customHeight="false" outlineLevel="0" collapsed="false">
      <c r="A480" s="0" t="n">
        <v>3</v>
      </c>
      <c r="B480" s="59" t="n">
        <v>46210</v>
      </c>
      <c r="C480" s="0" t="n">
        <v>2</v>
      </c>
      <c r="D480" s="0" t="s">
        <v>2122</v>
      </c>
      <c r="E480" s="0" t="n">
        <v>42</v>
      </c>
      <c r="F480" s="0" t="s">
        <v>81</v>
      </c>
      <c r="I480" s="0" t="n">
        <v>70703</v>
      </c>
      <c r="J480" s="0" t="n">
        <v>100112</v>
      </c>
      <c r="K480" s="0" t="n">
        <v>113</v>
      </c>
      <c r="L480" s="0" t="s">
        <v>2263</v>
      </c>
      <c r="N480" s="0" t="n">
        <v>22.2</v>
      </c>
      <c r="O480" s="60" t="n">
        <v>88</v>
      </c>
    </row>
    <row r="481" customFormat="false" ht="15" hidden="false" customHeight="false" outlineLevel="0" collapsed="false">
      <c r="A481" s="0" t="n">
        <v>3</v>
      </c>
      <c r="B481" s="59" t="n">
        <v>46210</v>
      </c>
      <c r="C481" s="0" t="n">
        <v>2</v>
      </c>
      <c r="D481" s="0" t="s">
        <v>2122</v>
      </c>
      <c r="E481" s="0" t="n">
        <v>42</v>
      </c>
      <c r="F481" s="0" t="s">
        <v>81</v>
      </c>
      <c r="I481" s="0" t="n">
        <v>70703</v>
      </c>
      <c r="J481" s="0" t="n">
        <v>100113</v>
      </c>
      <c r="K481" s="0" t="n">
        <v>114</v>
      </c>
      <c r="L481" s="0" t="s">
        <v>2264</v>
      </c>
      <c r="N481" s="0" t="n">
        <v>40</v>
      </c>
      <c r="O481" s="60" t="n">
        <v>160</v>
      </c>
    </row>
    <row r="482" customFormat="false" ht="15" hidden="false" customHeight="false" outlineLevel="0" collapsed="false">
      <c r="A482" s="0" t="n">
        <v>3</v>
      </c>
      <c r="B482" s="59" t="n">
        <v>46210</v>
      </c>
      <c r="C482" s="0" t="n">
        <v>2</v>
      </c>
      <c r="D482" s="0" t="s">
        <v>2122</v>
      </c>
      <c r="E482" s="0" t="n">
        <v>42</v>
      </c>
      <c r="F482" s="0" t="s">
        <v>81</v>
      </c>
      <c r="I482" s="0" t="n">
        <v>70703</v>
      </c>
      <c r="J482" s="0" t="n">
        <v>100115</v>
      </c>
      <c r="K482" s="0" t="n">
        <v>116</v>
      </c>
      <c r="L482" s="0" t="s">
        <v>2265</v>
      </c>
      <c r="N482" s="0" t="n">
        <v>15</v>
      </c>
      <c r="O482" s="60" t="n">
        <v>150</v>
      </c>
    </row>
    <row r="483" customFormat="false" ht="15" hidden="false" customHeight="false" outlineLevel="0" collapsed="false">
      <c r="A483" s="0" t="n">
        <v>3</v>
      </c>
      <c r="B483" s="59" t="n">
        <v>46210</v>
      </c>
      <c r="C483" s="0" t="n">
        <v>2</v>
      </c>
      <c r="D483" s="0" t="s">
        <v>2122</v>
      </c>
      <c r="E483" s="0" t="n">
        <v>42</v>
      </c>
      <c r="F483" s="0" t="s">
        <v>81</v>
      </c>
      <c r="I483" s="0" t="n">
        <v>70703</v>
      </c>
      <c r="J483" s="0" t="n">
        <v>100116</v>
      </c>
      <c r="K483" s="0" t="n">
        <v>117</v>
      </c>
      <c r="L483" s="0" t="s">
        <v>2266</v>
      </c>
      <c r="N483" s="0" t="n">
        <v>4</v>
      </c>
      <c r="O483" s="60" t="n">
        <v>44</v>
      </c>
    </row>
    <row r="484" customFormat="false" ht="15" hidden="false" customHeight="false" outlineLevel="0" collapsed="false">
      <c r="A484" s="0" t="n">
        <v>3</v>
      </c>
      <c r="B484" s="59" t="n">
        <v>46210</v>
      </c>
      <c r="C484" s="0" t="n">
        <v>2</v>
      </c>
      <c r="D484" s="0" t="s">
        <v>2122</v>
      </c>
      <c r="E484" s="0" t="n">
        <v>42</v>
      </c>
      <c r="F484" s="0" t="s">
        <v>81</v>
      </c>
      <c r="I484" s="0" t="n">
        <v>70703</v>
      </c>
      <c r="J484" s="0" t="n">
        <v>100118</v>
      </c>
      <c r="K484" s="0" t="n">
        <v>119</v>
      </c>
      <c r="L484" s="0" t="s">
        <v>2267</v>
      </c>
      <c r="N484" s="0" t="n">
        <v>10</v>
      </c>
      <c r="O484" s="60" t="n">
        <v>40</v>
      </c>
    </row>
    <row r="485" customFormat="false" ht="15" hidden="false" customHeight="false" outlineLevel="0" collapsed="false">
      <c r="A485" s="0" t="n">
        <v>3</v>
      </c>
      <c r="B485" s="59" t="n">
        <v>46210</v>
      </c>
      <c r="C485" s="0" t="n">
        <v>2</v>
      </c>
      <c r="D485" s="0" t="s">
        <v>2122</v>
      </c>
      <c r="E485" s="0" t="n">
        <v>42</v>
      </c>
      <c r="F485" s="0" t="s">
        <v>81</v>
      </c>
      <c r="I485" s="0" t="n">
        <v>70703</v>
      </c>
      <c r="J485" s="0" t="n">
        <v>100121</v>
      </c>
      <c r="K485" s="0" t="n">
        <v>122</v>
      </c>
      <c r="L485" s="0" t="s">
        <v>2422</v>
      </c>
      <c r="N485" s="0" t="n">
        <v>15</v>
      </c>
      <c r="O485" s="60" t="n">
        <v>270</v>
      </c>
    </row>
    <row r="486" customFormat="false" ht="15" hidden="false" customHeight="false" outlineLevel="0" collapsed="false">
      <c r="A486" s="0" t="n">
        <v>3</v>
      </c>
      <c r="B486" s="59" t="n">
        <v>46210</v>
      </c>
      <c r="C486" s="0" t="n">
        <v>2</v>
      </c>
      <c r="D486" s="0" t="s">
        <v>2122</v>
      </c>
      <c r="E486" s="0" t="n">
        <v>42</v>
      </c>
      <c r="F486" s="0" t="s">
        <v>81</v>
      </c>
      <c r="I486" s="0" t="n">
        <v>70703</v>
      </c>
      <c r="J486" s="0" t="n">
        <v>100122</v>
      </c>
      <c r="K486" s="0" t="n">
        <v>123</v>
      </c>
      <c r="L486" s="0" t="s">
        <v>2423</v>
      </c>
      <c r="N486" s="0" t="n">
        <v>10</v>
      </c>
      <c r="O486" s="60" t="n">
        <v>130</v>
      </c>
    </row>
    <row r="487" customFormat="false" ht="15" hidden="false" customHeight="false" outlineLevel="0" collapsed="false">
      <c r="A487" s="0" t="n">
        <v>3</v>
      </c>
      <c r="B487" s="59" t="n">
        <v>46210</v>
      </c>
      <c r="C487" s="0" t="n">
        <v>2</v>
      </c>
      <c r="D487" s="0" t="s">
        <v>2122</v>
      </c>
      <c r="E487" s="0" t="n">
        <v>42</v>
      </c>
      <c r="F487" s="0" t="s">
        <v>81</v>
      </c>
      <c r="I487" s="0" t="n">
        <v>70703</v>
      </c>
      <c r="J487" s="0" t="n">
        <v>100123</v>
      </c>
      <c r="K487" s="0" t="n">
        <v>124</v>
      </c>
      <c r="L487" s="0" t="s">
        <v>2268</v>
      </c>
      <c r="N487" s="0" t="n">
        <v>2</v>
      </c>
      <c r="O487" s="60" t="n">
        <v>22</v>
      </c>
    </row>
    <row r="488" customFormat="false" ht="15" hidden="false" customHeight="false" outlineLevel="0" collapsed="false">
      <c r="A488" s="0" t="n">
        <v>3</v>
      </c>
      <c r="B488" s="59" t="n">
        <v>46210</v>
      </c>
      <c r="C488" s="0" t="n">
        <v>2</v>
      </c>
      <c r="D488" s="0" t="s">
        <v>2122</v>
      </c>
      <c r="E488" s="0" t="n">
        <v>42</v>
      </c>
      <c r="F488" s="0" t="s">
        <v>81</v>
      </c>
      <c r="I488" s="0" t="n">
        <v>70703</v>
      </c>
      <c r="J488" s="0" t="n">
        <v>100124</v>
      </c>
      <c r="K488" s="0" t="n">
        <v>125</v>
      </c>
      <c r="L488" s="0" t="s">
        <v>2269</v>
      </c>
      <c r="N488" s="0" t="n">
        <v>10.2</v>
      </c>
      <c r="O488" s="60" t="n">
        <v>102</v>
      </c>
    </row>
    <row r="489" customFormat="false" ht="15" hidden="false" customHeight="false" outlineLevel="0" collapsed="false">
      <c r="A489" s="0" t="n">
        <v>3</v>
      </c>
      <c r="B489" s="59" t="n">
        <v>46210</v>
      </c>
      <c r="C489" s="0" t="n">
        <v>2</v>
      </c>
      <c r="D489" s="0" t="s">
        <v>2122</v>
      </c>
      <c r="E489" s="0" t="n">
        <v>42</v>
      </c>
      <c r="F489" s="0" t="s">
        <v>81</v>
      </c>
      <c r="I489" s="0" t="n">
        <v>70703</v>
      </c>
      <c r="J489" s="0" t="n">
        <v>100125</v>
      </c>
      <c r="K489" s="0" t="n">
        <v>126</v>
      </c>
      <c r="L489" s="0" t="s">
        <v>2424</v>
      </c>
      <c r="N489" s="0" t="n">
        <v>40</v>
      </c>
      <c r="O489" s="60" t="n">
        <v>240</v>
      </c>
    </row>
    <row r="490" customFormat="false" ht="15" hidden="false" customHeight="false" outlineLevel="0" collapsed="false">
      <c r="A490" s="0" t="n">
        <v>3</v>
      </c>
      <c r="B490" s="59" t="n">
        <v>46210</v>
      </c>
      <c r="C490" s="0" t="n">
        <v>2</v>
      </c>
      <c r="D490" s="0" t="s">
        <v>2122</v>
      </c>
      <c r="E490" s="0" t="n">
        <v>42</v>
      </c>
      <c r="F490" s="0" t="s">
        <v>81</v>
      </c>
      <c r="I490" s="0" t="n">
        <v>70703</v>
      </c>
      <c r="J490" s="0" t="n">
        <v>100131</v>
      </c>
      <c r="K490" s="0" t="n">
        <v>132</v>
      </c>
      <c r="L490" s="0" t="s">
        <v>2425</v>
      </c>
      <c r="N490" s="0" t="n">
        <v>1</v>
      </c>
      <c r="O490" s="60" t="n">
        <v>35</v>
      </c>
    </row>
    <row r="491" customFormat="false" ht="15" hidden="false" customHeight="false" outlineLevel="0" collapsed="false">
      <c r="A491" s="0" t="n">
        <v>3</v>
      </c>
      <c r="B491" s="59" t="n">
        <v>46210</v>
      </c>
      <c r="C491" s="0" t="n">
        <v>2</v>
      </c>
      <c r="D491" s="0" t="s">
        <v>2122</v>
      </c>
      <c r="E491" s="0" t="n">
        <v>42</v>
      </c>
      <c r="F491" s="0" t="s">
        <v>81</v>
      </c>
      <c r="I491" s="0" t="n">
        <v>70703</v>
      </c>
      <c r="J491" s="0" t="n">
        <v>100133</v>
      </c>
      <c r="K491" s="0" t="n">
        <v>134</v>
      </c>
      <c r="L491" s="0" t="s">
        <v>2271</v>
      </c>
      <c r="N491" s="0" t="n">
        <v>10</v>
      </c>
      <c r="O491" s="60" t="n">
        <v>60</v>
      </c>
    </row>
    <row r="492" customFormat="false" ht="15" hidden="false" customHeight="false" outlineLevel="0" collapsed="false">
      <c r="A492" s="0" t="n">
        <v>3</v>
      </c>
      <c r="B492" s="59" t="n">
        <v>46210</v>
      </c>
      <c r="C492" s="0" t="n">
        <v>2</v>
      </c>
      <c r="D492" s="0" t="s">
        <v>2122</v>
      </c>
      <c r="E492" s="0" t="n">
        <v>42</v>
      </c>
      <c r="F492" s="0" t="s">
        <v>81</v>
      </c>
      <c r="I492" s="0" t="n">
        <v>70703</v>
      </c>
      <c r="J492" s="0" t="n">
        <v>100138</v>
      </c>
      <c r="K492" s="0" t="n">
        <v>139</v>
      </c>
      <c r="L492" s="0" t="s">
        <v>2426</v>
      </c>
      <c r="N492" s="0" t="n">
        <v>1</v>
      </c>
      <c r="O492" s="60" t="n">
        <v>45</v>
      </c>
    </row>
    <row r="493" customFormat="false" ht="15" hidden="false" customHeight="false" outlineLevel="0" collapsed="false">
      <c r="A493" s="0" t="n">
        <v>3</v>
      </c>
      <c r="B493" s="59" t="n">
        <v>46210</v>
      </c>
      <c r="C493" s="0" t="n">
        <v>2</v>
      </c>
      <c r="D493" s="0" t="s">
        <v>2122</v>
      </c>
      <c r="E493" s="0" t="n">
        <v>42</v>
      </c>
      <c r="F493" s="0" t="s">
        <v>81</v>
      </c>
      <c r="I493" s="0" t="n">
        <v>70703</v>
      </c>
      <c r="J493" s="0" t="n">
        <v>100148</v>
      </c>
      <c r="K493" s="0" t="n">
        <v>149</v>
      </c>
      <c r="L493" s="0" t="s">
        <v>2272</v>
      </c>
      <c r="N493" s="0" t="n">
        <v>6</v>
      </c>
      <c r="O493" s="60" t="n">
        <v>72</v>
      </c>
    </row>
    <row r="494" customFormat="false" ht="15" hidden="false" customHeight="false" outlineLevel="0" collapsed="false">
      <c r="A494" s="0" t="n">
        <v>3</v>
      </c>
      <c r="B494" s="59" t="n">
        <v>46210</v>
      </c>
      <c r="C494" s="0" t="n">
        <v>2</v>
      </c>
      <c r="D494" s="0" t="s">
        <v>2122</v>
      </c>
      <c r="E494" s="0" t="n">
        <v>42</v>
      </c>
      <c r="F494" s="0" t="s">
        <v>81</v>
      </c>
      <c r="I494" s="0" t="n">
        <v>70703</v>
      </c>
      <c r="J494" s="0" t="n">
        <v>110142</v>
      </c>
      <c r="K494" s="0" t="n">
        <v>16699</v>
      </c>
      <c r="L494" s="0" t="s">
        <v>2273</v>
      </c>
      <c r="N494" s="0" t="n">
        <v>20</v>
      </c>
      <c r="O494" s="60" t="n">
        <v>120</v>
      </c>
    </row>
    <row r="495" customFormat="false" ht="15" hidden="false" customHeight="false" outlineLevel="0" collapsed="false">
      <c r="A495" s="0" t="n">
        <v>3</v>
      </c>
      <c r="B495" s="59" t="n">
        <v>46210</v>
      </c>
      <c r="C495" s="0" t="n">
        <v>6</v>
      </c>
      <c r="D495" s="0" t="s">
        <v>2125</v>
      </c>
      <c r="E495" s="0" t="n">
        <v>42</v>
      </c>
      <c r="F495" s="0" t="s">
        <v>81</v>
      </c>
      <c r="I495" s="0" t="n">
        <v>4359</v>
      </c>
      <c r="J495" s="0" t="n">
        <v>109791</v>
      </c>
      <c r="K495" s="0" t="n">
        <v>9667</v>
      </c>
      <c r="L495" s="0" t="s">
        <v>2123</v>
      </c>
      <c r="N495" s="0" t="n">
        <v>10</v>
      </c>
      <c r="O495" s="60" t="n">
        <v>25</v>
      </c>
    </row>
    <row r="496" customFormat="false" ht="15" hidden="false" customHeight="false" outlineLevel="0" collapsed="false">
      <c r="A496" s="0" t="n">
        <v>3</v>
      </c>
      <c r="B496" s="59" t="n">
        <v>46210</v>
      </c>
      <c r="C496" s="0" t="n">
        <v>6</v>
      </c>
      <c r="D496" s="0" t="s">
        <v>2125</v>
      </c>
      <c r="E496" s="0" t="n">
        <v>42</v>
      </c>
      <c r="F496" s="0" t="s">
        <v>81</v>
      </c>
      <c r="I496" s="0" t="n">
        <v>4359</v>
      </c>
      <c r="J496" s="0" t="n">
        <v>37361</v>
      </c>
      <c r="K496" s="0" t="n">
        <v>2240817</v>
      </c>
      <c r="L496" s="0" t="s">
        <v>2124</v>
      </c>
      <c r="N496" s="0" t="n">
        <v>40</v>
      </c>
      <c r="O496" s="60" t="n">
        <v>80</v>
      </c>
    </row>
    <row r="497" customFormat="false" ht="15" hidden="false" customHeight="false" outlineLevel="0" collapsed="false">
      <c r="A497" s="0" t="n">
        <v>3</v>
      </c>
      <c r="B497" s="59" t="n">
        <v>46210</v>
      </c>
      <c r="C497" s="0" t="n">
        <v>6</v>
      </c>
      <c r="D497" s="0" t="s">
        <v>2125</v>
      </c>
      <c r="E497" s="0" t="n">
        <v>42</v>
      </c>
      <c r="F497" s="0" t="s">
        <v>81</v>
      </c>
      <c r="I497" s="0" t="n">
        <v>4360</v>
      </c>
      <c r="J497" s="0" t="n">
        <v>72679</v>
      </c>
      <c r="K497" s="0" t="n">
        <v>246</v>
      </c>
      <c r="L497" s="0" t="s">
        <v>2195</v>
      </c>
      <c r="N497" s="0" t="n">
        <v>20</v>
      </c>
      <c r="O497" s="60" t="n">
        <v>280</v>
      </c>
    </row>
    <row r="498" customFormat="false" ht="15" hidden="false" customHeight="false" outlineLevel="0" collapsed="false">
      <c r="A498" s="0" t="n">
        <v>3</v>
      </c>
      <c r="B498" s="59" t="n">
        <v>46210</v>
      </c>
      <c r="C498" s="0" t="n">
        <v>6</v>
      </c>
      <c r="D498" s="0" t="s">
        <v>2125</v>
      </c>
      <c r="E498" s="0" t="n">
        <v>42</v>
      </c>
      <c r="F498" s="0" t="s">
        <v>81</v>
      </c>
      <c r="I498" s="0" t="n">
        <v>4361</v>
      </c>
      <c r="J498" s="0" t="n">
        <v>100062</v>
      </c>
      <c r="K498" s="0" t="n">
        <v>63</v>
      </c>
      <c r="L498" s="0" t="s">
        <v>2259</v>
      </c>
      <c r="N498" s="0" t="n">
        <v>8.8</v>
      </c>
      <c r="O498" s="60" t="n">
        <v>105</v>
      </c>
    </row>
    <row r="499" customFormat="false" ht="15" hidden="false" customHeight="false" outlineLevel="0" collapsed="false">
      <c r="A499" s="0" t="n">
        <v>3</v>
      </c>
      <c r="B499" s="59" t="n">
        <v>46210</v>
      </c>
      <c r="C499" s="0" t="n">
        <v>6</v>
      </c>
      <c r="D499" s="0" t="s">
        <v>2125</v>
      </c>
      <c r="E499" s="0" t="n">
        <v>42</v>
      </c>
      <c r="F499" s="0" t="s">
        <v>81</v>
      </c>
      <c r="I499" s="0" t="n">
        <v>4361</v>
      </c>
      <c r="J499" s="0" t="n">
        <v>100104</v>
      </c>
      <c r="K499" s="0" t="n">
        <v>105</v>
      </c>
      <c r="L499" s="0" t="s">
        <v>2260</v>
      </c>
      <c r="N499" s="0" t="n">
        <v>5</v>
      </c>
      <c r="O499" s="60" t="n">
        <v>35</v>
      </c>
    </row>
    <row r="500" customFormat="false" ht="15" hidden="false" customHeight="false" outlineLevel="0" collapsed="false">
      <c r="A500" s="0" t="n">
        <v>3</v>
      </c>
      <c r="B500" s="59" t="n">
        <v>46210</v>
      </c>
      <c r="C500" s="0" t="n">
        <v>6</v>
      </c>
      <c r="D500" s="0" t="s">
        <v>2125</v>
      </c>
      <c r="E500" s="0" t="n">
        <v>42</v>
      </c>
      <c r="F500" s="0" t="s">
        <v>81</v>
      </c>
      <c r="I500" s="0" t="n">
        <v>4361</v>
      </c>
      <c r="J500" s="0" t="n">
        <v>100110</v>
      </c>
      <c r="K500" s="0" t="n">
        <v>111</v>
      </c>
      <c r="L500" s="0" t="s">
        <v>2262</v>
      </c>
      <c r="N500" s="0" t="n">
        <v>10</v>
      </c>
      <c r="O500" s="60" t="n">
        <v>100</v>
      </c>
    </row>
    <row r="501" customFormat="false" ht="15" hidden="false" customHeight="false" outlineLevel="0" collapsed="false">
      <c r="A501" s="0" t="n">
        <v>3</v>
      </c>
      <c r="B501" s="59" t="n">
        <v>46210</v>
      </c>
      <c r="C501" s="0" t="n">
        <v>6</v>
      </c>
      <c r="D501" s="0" t="s">
        <v>2125</v>
      </c>
      <c r="E501" s="0" t="n">
        <v>42</v>
      </c>
      <c r="F501" s="0" t="s">
        <v>81</v>
      </c>
      <c r="I501" s="0" t="n">
        <v>4361</v>
      </c>
      <c r="J501" s="0" t="n">
        <v>100112</v>
      </c>
      <c r="K501" s="0" t="n">
        <v>113</v>
      </c>
      <c r="L501" s="0" t="s">
        <v>2263</v>
      </c>
      <c r="N501" s="0" t="n">
        <v>22.2</v>
      </c>
      <c r="O501" s="60" t="n">
        <v>88</v>
      </c>
    </row>
    <row r="502" customFormat="false" ht="15" hidden="false" customHeight="false" outlineLevel="0" collapsed="false">
      <c r="A502" s="0" t="n">
        <v>3</v>
      </c>
      <c r="B502" s="59" t="n">
        <v>46210</v>
      </c>
      <c r="C502" s="0" t="n">
        <v>6</v>
      </c>
      <c r="D502" s="0" t="s">
        <v>2125</v>
      </c>
      <c r="E502" s="0" t="n">
        <v>42</v>
      </c>
      <c r="F502" s="0" t="s">
        <v>81</v>
      </c>
      <c r="I502" s="0" t="n">
        <v>4361</v>
      </c>
      <c r="J502" s="0" t="n">
        <v>100113</v>
      </c>
      <c r="K502" s="0" t="n">
        <v>114</v>
      </c>
      <c r="L502" s="0" t="s">
        <v>2264</v>
      </c>
      <c r="N502" s="0" t="n">
        <v>40</v>
      </c>
      <c r="O502" s="60" t="n">
        <v>160</v>
      </c>
    </row>
    <row r="503" customFormat="false" ht="15" hidden="false" customHeight="false" outlineLevel="0" collapsed="false">
      <c r="A503" s="0" t="n">
        <v>3</v>
      </c>
      <c r="B503" s="59" t="n">
        <v>46210</v>
      </c>
      <c r="C503" s="0" t="n">
        <v>6</v>
      </c>
      <c r="D503" s="0" t="s">
        <v>2125</v>
      </c>
      <c r="E503" s="0" t="n">
        <v>42</v>
      </c>
      <c r="F503" s="0" t="s">
        <v>81</v>
      </c>
      <c r="I503" s="0" t="n">
        <v>4361</v>
      </c>
      <c r="J503" s="0" t="n">
        <v>100115</v>
      </c>
      <c r="K503" s="0" t="n">
        <v>116</v>
      </c>
      <c r="L503" s="0" t="s">
        <v>2265</v>
      </c>
      <c r="N503" s="0" t="n">
        <v>15</v>
      </c>
      <c r="O503" s="60" t="n">
        <v>150</v>
      </c>
    </row>
    <row r="504" customFormat="false" ht="15" hidden="false" customHeight="false" outlineLevel="0" collapsed="false">
      <c r="A504" s="0" t="n">
        <v>3</v>
      </c>
      <c r="B504" s="59" t="n">
        <v>46210</v>
      </c>
      <c r="C504" s="0" t="n">
        <v>6</v>
      </c>
      <c r="D504" s="0" t="s">
        <v>2125</v>
      </c>
      <c r="E504" s="0" t="n">
        <v>42</v>
      </c>
      <c r="F504" s="0" t="s">
        <v>81</v>
      </c>
      <c r="I504" s="0" t="n">
        <v>4361</v>
      </c>
      <c r="J504" s="0" t="n">
        <v>100116</v>
      </c>
      <c r="K504" s="0" t="n">
        <v>117</v>
      </c>
      <c r="L504" s="0" t="s">
        <v>2266</v>
      </c>
      <c r="N504" s="0" t="n">
        <v>4</v>
      </c>
      <c r="O504" s="60" t="n">
        <v>44</v>
      </c>
    </row>
    <row r="505" customFormat="false" ht="15" hidden="false" customHeight="false" outlineLevel="0" collapsed="false">
      <c r="A505" s="0" t="n">
        <v>3</v>
      </c>
      <c r="B505" s="59" t="n">
        <v>46210</v>
      </c>
      <c r="C505" s="0" t="n">
        <v>6</v>
      </c>
      <c r="D505" s="0" t="s">
        <v>2125</v>
      </c>
      <c r="E505" s="0" t="n">
        <v>42</v>
      </c>
      <c r="F505" s="0" t="s">
        <v>81</v>
      </c>
      <c r="I505" s="0" t="n">
        <v>4361</v>
      </c>
      <c r="J505" s="0" t="n">
        <v>100118</v>
      </c>
      <c r="K505" s="0" t="n">
        <v>119</v>
      </c>
      <c r="L505" s="0" t="s">
        <v>2267</v>
      </c>
      <c r="N505" s="0" t="n">
        <v>10</v>
      </c>
      <c r="O505" s="60" t="n">
        <v>40</v>
      </c>
    </row>
    <row r="506" customFormat="false" ht="15" hidden="false" customHeight="false" outlineLevel="0" collapsed="false">
      <c r="A506" s="0" t="n">
        <v>3</v>
      </c>
      <c r="B506" s="59" t="n">
        <v>46210</v>
      </c>
      <c r="C506" s="0" t="n">
        <v>6</v>
      </c>
      <c r="D506" s="0" t="s">
        <v>2125</v>
      </c>
      <c r="E506" s="0" t="n">
        <v>42</v>
      </c>
      <c r="F506" s="0" t="s">
        <v>81</v>
      </c>
      <c r="I506" s="0" t="n">
        <v>4361</v>
      </c>
      <c r="J506" s="0" t="n">
        <v>100121</v>
      </c>
      <c r="K506" s="0" t="n">
        <v>122</v>
      </c>
      <c r="L506" s="0" t="s">
        <v>2422</v>
      </c>
      <c r="N506" s="0" t="n">
        <v>15</v>
      </c>
      <c r="O506" s="60" t="n">
        <v>270</v>
      </c>
    </row>
    <row r="507" customFormat="false" ht="15" hidden="false" customHeight="false" outlineLevel="0" collapsed="false">
      <c r="A507" s="0" t="n">
        <v>3</v>
      </c>
      <c r="B507" s="59" t="n">
        <v>46210</v>
      </c>
      <c r="C507" s="0" t="n">
        <v>6</v>
      </c>
      <c r="D507" s="0" t="s">
        <v>2125</v>
      </c>
      <c r="E507" s="0" t="n">
        <v>42</v>
      </c>
      <c r="F507" s="0" t="s">
        <v>81</v>
      </c>
      <c r="I507" s="0" t="n">
        <v>4361</v>
      </c>
      <c r="J507" s="0" t="n">
        <v>100122</v>
      </c>
      <c r="K507" s="0" t="n">
        <v>123</v>
      </c>
      <c r="L507" s="0" t="s">
        <v>2423</v>
      </c>
      <c r="N507" s="0" t="n">
        <v>10</v>
      </c>
      <c r="O507" s="60" t="n">
        <v>130</v>
      </c>
    </row>
    <row r="508" customFormat="false" ht="15" hidden="false" customHeight="false" outlineLevel="0" collapsed="false">
      <c r="A508" s="0" t="n">
        <v>3</v>
      </c>
      <c r="B508" s="59" t="n">
        <v>46210</v>
      </c>
      <c r="C508" s="0" t="n">
        <v>6</v>
      </c>
      <c r="D508" s="0" t="s">
        <v>2125</v>
      </c>
      <c r="E508" s="0" t="n">
        <v>42</v>
      </c>
      <c r="F508" s="0" t="s">
        <v>81</v>
      </c>
      <c r="I508" s="0" t="n">
        <v>4361</v>
      </c>
      <c r="J508" s="0" t="n">
        <v>100123</v>
      </c>
      <c r="K508" s="0" t="n">
        <v>124</v>
      </c>
      <c r="L508" s="0" t="s">
        <v>2268</v>
      </c>
      <c r="N508" s="0" t="n">
        <v>2</v>
      </c>
      <c r="O508" s="60" t="n">
        <v>22</v>
      </c>
    </row>
    <row r="509" customFormat="false" ht="15" hidden="false" customHeight="false" outlineLevel="0" collapsed="false">
      <c r="A509" s="0" t="n">
        <v>3</v>
      </c>
      <c r="B509" s="59" t="n">
        <v>46210</v>
      </c>
      <c r="C509" s="0" t="n">
        <v>6</v>
      </c>
      <c r="D509" s="0" t="s">
        <v>2125</v>
      </c>
      <c r="E509" s="0" t="n">
        <v>42</v>
      </c>
      <c r="F509" s="0" t="s">
        <v>81</v>
      </c>
      <c r="I509" s="0" t="n">
        <v>4361</v>
      </c>
      <c r="J509" s="0" t="n">
        <v>100124</v>
      </c>
      <c r="K509" s="0" t="n">
        <v>125</v>
      </c>
      <c r="L509" s="0" t="s">
        <v>2269</v>
      </c>
      <c r="N509" s="0" t="n">
        <v>10.2</v>
      </c>
      <c r="O509" s="60" t="n">
        <v>102</v>
      </c>
    </row>
    <row r="510" customFormat="false" ht="15" hidden="false" customHeight="false" outlineLevel="0" collapsed="false">
      <c r="A510" s="0" t="n">
        <v>3</v>
      </c>
      <c r="B510" s="59" t="n">
        <v>46210</v>
      </c>
      <c r="C510" s="0" t="n">
        <v>6</v>
      </c>
      <c r="D510" s="0" t="s">
        <v>2125</v>
      </c>
      <c r="E510" s="0" t="n">
        <v>42</v>
      </c>
      <c r="F510" s="0" t="s">
        <v>81</v>
      </c>
      <c r="I510" s="0" t="n">
        <v>4361</v>
      </c>
      <c r="J510" s="0" t="n">
        <v>100125</v>
      </c>
      <c r="K510" s="0" t="n">
        <v>126</v>
      </c>
      <c r="L510" s="0" t="s">
        <v>2424</v>
      </c>
      <c r="N510" s="0" t="n">
        <v>40</v>
      </c>
      <c r="O510" s="60" t="n">
        <v>240</v>
      </c>
    </row>
    <row r="511" customFormat="false" ht="15" hidden="false" customHeight="false" outlineLevel="0" collapsed="false">
      <c r="A511" s="0" t="n">
        <v>3</v>
      </c>
      <c r="B511" s="59" t="n">
        <v>46210</v>
      </c>
      <c r="C511" s="0" t="n">
        <v>6</v>
      </c>
      <c r="D511" s="0" t="s">
        <v>2125</v>
      </c>
      <c r="E511" s="0" t="n">
        <v>42</v>
      </c>
      <c r="F511" s="0" t="s">
        <v>81</v>
      </c>
      <c r="I511" s="0" t="n">
        <v>4361</v>
      </c>
      <c r="J511" s="0" t="n">
        <v>100131</v>
      </c>
      <c r="K511" s="0" t="n">
        <v>132</v>
      </c>
      <c r="L511" s="0" t="s">
        <v>2425</v>
      </c>
      <c r="N511" s="0" t="n">
        <v>1</v>
      </c>
      <c r="O511" s="60" t="n">
        <v>35</v>
      </c>
    </row>
    <row r="512" customFormat="false" ht="15" hidden="false" customHeight="false" outlineLevel="0" collapsed="false">
      <c r="A512" s="0" t="n">
        <v>3</v>
      </c>
      <c r="B512" s="59" t="n">
        <v>46210</v>
      </c>
      <c r="C512" s="0" t="n">
        <v>6</v>
      </c>
      <c r="D512" s="0" t="s">
        <v>2125</v>
      </c>
      <c r="E512" s="0" t="n">
        <v>42</v>
      </c>
      <c r="F512" s="0" t="s">
        <v>81</v>
      </c>
      <c r="I512" s="0" t="n">
        <v>4361</v>
      </c>
      <c r="J512" s="0" t="n">
        <v>100133</v>
      </c>
      <c r="K512" s="0" t="n">
        <v>134</v>
      </c>
      <c r="L512" s="0" t="s">
        <v>2271</v>
      </c>
      <c r="N512" s="0" t="n">
        <v>10</v>
      </c>
      <c r="O512" s="60" t="n">
        <v>60</v>
      </c>
    </row>
    <row r="513" customFormat="false" ht="15" hidden="false" customHeight="false" outlineLevel="0" collapsed="false">
      <c r="A513" s="0" t="n">
        <v>3</v>
      </c>
      <c r="B513" s="59" t="n">
        <v>46210</v>
      </c>
      <c r="C513" s="0" t="n">
        <v>6</v>
      </c>
      <c r="D513" s="0" t="s">
        <v>2125</v>
      </c>
      <c r="E513" s="0" t="n">
        <v>42</v>
      </c>
      <c r="F513" s="0" t="s">
        <v>81</v>
      </c>
      <c r="I513" s="0" t="n">
        <v>4361</v>
      </c>
      <c r="J513" s="0" t="n">
        <v>100138</v>
      </c>
      <c r="K513" s="0" t="n">
        <v>139</v>
      </c>
      <c r="L513" s="0" t="s">
        <v>2426</v>
      </c>
      <c r="N513" s="0" t="n">
        <v>1</v>
      </c>
      <c r="O513" s="60" t="n">
        <v>45</v>
      </c>
    </row>
    <row r="514" customFormat="false" ht="15" hidden="false" customHeight="false" outlineLevel="0" collapsed="false">
      <c r="A514" s="0" t="n">
        <v>3</v>
      </c>
      <c r="B514" s="59" t="n">
        <v>46210</v>
      </c>
      <c r="C514" s="0" t="n">
        <v>6</v>
      </c>
      <c r="D514" s="0" t="s">
        <v>2125</v>
      </c>
      <c r="E514" s="0" t="n">
        <v>42</v>
      </c>
      <c r="F514" s="0" t="s">
        <v>81</v>
      </c>
      <c r="I514" s="0" t="n">
        <v>4361</v>
      </c>
      <c r="J514" s="0" t="n">
        <v>100148</v>
      </c>
      <c r="K514" s="0" t="n">
        <v>149</v>
      </c>
      <c r="L514" s="0" t="s">
        <v>2272</v>
      </c>
      <c r="N514" s="0" t="n">
        <v>6</v>
      </c>
      <c r="O514" s="60" t="n">
        <v>72</v>
      </c>
    </row>
    <row r="515" customFormat="false" ht="15" hidden="false" customHeight="false" outlineLevel="0" collapsed="false">
      <c r="A515" s="0" t="n">
        <v>3</v>
      </c>
      <c r="B515" s="59" t="n">
        <v>46210</v>
      </c>
      <c r="C515" s="0" t="n">
        <v>6</v>
      </c>
      <c r="D515" s="0" t="s">
        <v>2125</v>
      </c>
      <c r="E515" s="0" t="n">
        <v>42</v>
      </c>
      <c r="F515" s="0" t="s">
        <v>81</v>
      </c>
      <c r="I515" s="0" t="n">
        <v>4361</v>
      </c>
      <c r="J515" s="0" t="n">
        <v>110142</v>
      </c>
      <c r="K515" s="0" t="n">
        <v>16699</v>
      </c>
      <c r="L515" s="0" t="s">
        <v>2273</v>
      </c>
      <c r="N515" s="0" t="n">
        <v>20</v>
      </c>
      <c r="O515" s="60" t="n">
        <v>120</v>
      </c>
    </row>
    <row r="516" customFormat="false" ht="15" hidden="false" customHeight="false" outlineLevel="0" collapsed="false">
      <c r="A516" s="0" t="n">
        <v>3</v>
      </c>
      <c r="B516" s="59" t="n">
        <v>46210</v>
      </c>
      <c r="C516" s="0" t="n">
        <v>11</v>
      </c>
      <c r="D516" s="0" t="s">
        <v>2126</v>
      </c>
      <c r="E516" s="0" t="n">
        <v>1815</v>
      </c>
      <c r="F516" s="0" t="s">
        <v>54</v>
      </c>
      <c r="I516" s="0" t="n">
        <v>390537</v>
      </c>
      <c r="J516" s="0" t="n">
        <v>100008</v>
      </c>
      <c r="K516" s="0" t="n">
        <v>9</v>
      </c>
      <c r="L516" s="0" t="s">
        <v>2229</v>
      </c>
      <c r="N516" s="0" t="n">
        <v>30.88</v>
      </c>
      <c r="O516" s="60" t="n">
        <v>926.09</v>
      </c>
    </row>
    <row r="517" customFormat="false" ht="15" hidden="false" customHeight="false" outlineLevel="0" collapsed="false">
      <c r="A517" s="0" t="n">
        <v>3</v>
      </c>
      <c r="B517" s="59" t="n">
        <v>46210</v>
      </c>
      <c r="C517" s="0" t="n">
        <v>11</v>
      </c>
      <c r="D517" s="0" t="s">
        <v>2126</v>
      </c>
      <c r="E517" s="0" t="n">
        <v>1815</v>
      </c>
      <c r="F517" s="0" t="s">
        <v>54</v>
      </c>
      <c r="I517" s="0" t="n">
        <v>390537</v>
      </c>
      <c r="J517" s="0" t="n">
        <v>100013</v>
      </c>
      <c r="K517" s="0" t="n">
        <v>14</v>
      </c>
      <c r="L517" s="0" t="s">
        <v>2233</v>
      </c>
      <c r="N517" s="0" t="n">
        <v>45.974</v>
      </c>
      <c r="O517" s="60" t="n">
        <v>1746.55</v>
      </c>
    </row>
    <row r="518" customFormat="false" ht="15" hidden="false" customHeight="false" outlineLevel="0" collapsed="false">
      <c r="A518" s="0" t="n">
        <v>3</v>
      </c>
      <c r="B518" s="59" t="n">
        <v>46210</v>
      </c>
      <c r="C518" s="0" t="n">
        <v>11</v>
      </c>
      <c r="D518" s="0" t="s">
        <v>2126</v>
      </c>
      <c r="E518" s="0" t="n">
        <v>1815</v>
      </c>
      <c r="F518" s="0" t="s">
        <v>54</v>
      </c>
      <c r="I518" s="0" t="n">
        <v>390537</v>
      </c>
      <c r="J518" s="0" t="n">
        <v>100014</v>
      </c>
      <c r="K518" s="0" t="n">
        <v>15</v>
      </c>
      <c r="L518" s="0" t="s">
        <v>2234</v>
      </c>
      <c r="N518" s="0" t="n">
        <v>43.112</v>
      </c>
      <c r="O518" s="60" t="n">
        <v>1853.38</v>
      </c>
    </row>
    <row r="519" customFormat="false" ht="15" hidden="false" customHeight="false" outlineLevel="0" collapsed="false">
      <c r="A519" s="0" t="n">
        <v>3</v>
      </c>
      <c r="B519" s="59" t="n">
        <v>46210</v>
      </c>
      <c r="C519" s="0" t="n">
        <v>11</v>
      </c>
      <c r="D519" s="0" t="s">
        <v>2126</v>
      </c>
      <c r="E519" s="0" t="n">
        <v>1815</v>
      </c>
      <c r="F519" s="0" t="s">
        <v>54</v>
      </c>
      <c r="I519" s="0" t="n">
        <v>390537</v>
      </c>
      <c r="J519" s="0" t="n">
        <v>102407</v>
      </c>
      <c r="K519" s="0" t="n">
        <v>7893000394117</v>
      </c>
      <c r="L519" s="0" t="s">
        <v>2427</v>
      </c>
      <c r="N519" s="0" t="n">
        <v>48</v>
      </c>
      <c r="O519" s="60" t="n">
        <v>240</v>
      </c>
    </row>
    <row r="520" customFormat="false" ht="15" hidden="false" customHeight="false" outlineLevel="0" collapsed="false">
      <c r="A520" s="0" t="n">
        <v>3</v>
      </c>
      <c r="B520" s="59" t="n">
        <v>46210</v>
      </c>
      <c r="C520" s="0" t="n">
        <v>11</v>
      </c>
      <c r="D520" s="0" t="s">
        <v>2126</v>
      </c>
      <c r="E520" s="0" t="n">
        <v>1815</v>
      </c>
      <c r="F520" s="0" t="s">
        <v>54</v>
      </c>
      <c r="I520" s="0" t="n">
        <v>390537</v>
      </c>
      <c r="J520" s="0" t="n">
        <v>102408</v>
      </c>
      <c r="K520" s="0" t="n">
        <v>7891515602918</v>
      </c>
      <c r="L520" s="0" t="s">
        <v>2428</v>
      </c>
      <c r="N520" s="0" t="n">
        <v>120</v>
      </c>
      <c r="O520" s="60" t="n">
        <v>415</v>
      </c>
    </row>
    <row r="521" customFormat="false" ht="15" hidden="false" customHeight="false" outlineLevel="0" collapsed="false">
      <c r="A521" s="0" t="n">
        <v>3</v>
      </c>
      <c r="B521" s="59" t="n">
        <v>46210</v>
      </c>
      <c r="C521" s="0" t="n">
        <v>11</v>
      </c>
      <c r="D521" s="0" t="s">
        <v>2126</v>
      </c>
      <c r="E521" s="0" t="n">
        <v>1815</v>
      </c>
      <c r="F521" s="0" t="s">
        <v>54</v>
      </c>
      <c r="I521" s="0" t="n">
        <v>390537</v>
      </c>
      <c r="J521" s="0" t="n">
        <v>31500</v>
      </c>
      <c r="K521" s="0" t="n">
        <v>7898922012378</v>
      </c>
      <c r="L521" s="0" t="s">
        <v>2429</v>
      </c>
      <c r="N521" s="0" t="n">
        <v>20</v>
      </c>
      <c r="O521" s="60" t="n">
        <v>88</v>
      </c>
    </row>
    <row r="522" customFormat="false" ht="15" hidden="false" customHeight="false" outlineLevel="0" collapsed="false">
      <c r="A522" s="0" t="n">
        <v>3</v>
      </c>
      <c r="B522" s="59" t="n">
        <v>46210</v>
      </c>
      <c r="C522" s="0" t="n">
        <v>11</v>
      </c>
      <c r="D522" s="0" t="s">
        <v>2126</v>
      </c>
      <c r="E522" s="0" t="n">
        <v>1815</v>
      </c>
      <c r="F522" s="0" t="s">
        <v>54</v>
      </c>
      <c r="I522" s="0" t="n">
        <v>390537</v>
      </c>
      <c r="J522" s="0" t="n">
        <v>31798</v>
      </c>
      <c r="K522" s="0" t="n">
        <v>7898922012392</v>
      </c>
      <c r="L522" s="0" t="s">
        <v>2430</v>
      </c>
      <c r="N522" s="0" t="n">
        <v>20</v>
      </c>
      <c r="O522" s="60" t="n">
        <v>68</v>
      </c>
    </row>
    <row r="523" customFormat="false" ht="15" hidden="false" customHeight="false" outlineLevel="0" collapsed="false">
      <c r="A523" s="0" t="n">
        <v>3</v>
      </c>
      <c r="B523" s="59" t="n">
        <v>46210</v>
      </c>
      <c r="C523" s="0" t="n">
        <v>11</v>
      </c>
      <c r="D523" s="0" t="s">
        <v>2126</v>
      </c>
      <c r="E523" s="0" t="n">
        <v>1815</v>
      </c>
      <c r="F523" s="0" t="s">
        <v>54</v>
      </c>
      <c r="I523" s="0" t="n">
        <v>390537</v>
      </c>
      <c r="J523" s="0" t="n">
        <v>33534</v>
      </c>
      <c r="K523" s="0" t="n">
        <v>7898922012408</v>
      </c>
      <c r="L523" s="0" t="s">
        <v>2431</v>
      </c>
      <c r="N523" s="0" t="n">
        <v>20</v>
      </c>
      <c r="O523" s="60" t="n">
        <v>63</v>
      </c>
    </row>
    <row r="524" customFormat="false" ht="15" hidden="false" customHeight="false" outlineLevel="0" collapsed="false">
      <c r="A524" s="0" t="n">
        <v>3</v>
      </c>
      <c r="B524" s="59" t="n">
        <v>46210</v>
      </c>
      <c r="C524" s="0" t="n">
        <v>11</v>
      </c>
      <c r="D524" s="0" t="s">
        <v>2126</v>
      </c>
      <c r="E524" s="0" t="n">
        <v>1815</v>
      </c>
      <c r="F524" s="0" t="s">
        <v>54</v>
      </c>
      <c r="I524" s="0" t="n">
        <v>390537</v>
      </c>
      <c r="J524" s="0" t="n">
        <v>110191</v>
      </c>
      <c r="K524" s="0" t="n">
        <v>37402</v>
      </c>
      <c r="L524" s="0" t="s">
        <v>2432</v>
      </c>
      <c r="N524" s="0" t="n">
        <v>60</v>
      </c>
      <c r="O524" s="60" t="n">
        <v>419.4</v>
      </c>
    </row>
    <row r="525" customFormat="false" ht="15" hidden="false" customHeight="false" outlineLevel="0" collapsed="false">
      <c r="A525" s="0" t="n">
        <v>3</v>
      </c>
      <c r="B525" s="59" t="n">
        <v>46210</v>
      </c>
      <c r="C525" s="0" t="n">
        <v>11</v>
      </c>
      <c r="D525" s="0" t="s">
        <v>2126</v>
      </c>
      <c r="E525" s="0" t="n">
        <v>1815</v>
      </c>
      <c r="F525" s="0" t="s">
        <v>54</v>
      </c>
      <c r="I525" s="0" t="n">
        <v>390537</v>
      </c>
      <c r="J525" s="0" t="n">
        <v>61513</v>
      </c>
      <c r="K525" s="0" t="n">
        <v>742832226301</v>
      </c>
      <c r="L525" s="0" t="s">
        <v>2433</v>
      </c>
      <c r="N525" s="0" t="n">
        <v>10.5</v>
      </c>
      <c r="O525" s="60" t="n">
        <v>54.59</v>
      </c>
    </row>
    <row r="526" customFormat="false" ht="15" hidden="false" customHeight="false" outlineLevel="0" collapsed="false">
      <c r="A526" s="0" t="n">
        <v>3</v>
      </c>
      <c r="B526" s="59" t="n">
        <v>46210</v>
      </c>
      <c r="C526" s="0" t="n">
        <v>11</v>
      </c>
      <c r="D526" s="0" t="s">
        <v>2126</v>
      </c>
      <c r="E526" s="0" t="n">
        <v>1815</v>
      </c>
      <c r="F526" s="0" t="s">
        <v>54</v>
      </c>
      <c r="I526" s="0" t="n">
        <v>390537</v>
      </c>
      <c r="J526" s="0" t="n">
        <v>61514</v>
      </c>
      <c r="K526" s="0" t="n">
        <v>742832226349</v>
      </c>
      <c r="L526" s="0" t="s">
        <v>2434</v>
      </c>
      <c r="N526" s="0" t="n">
        <v>36</v>
      </c>
      <c r="O526" s="60" t="n">
        <v>246</v>
      </c>
    </row>
    <row r="527" customFormat="false" ht="15" hidden="false" customHeight="false" outlineLevel="0" collapsed="false">
      <c r="A527" s="0" t="n">
        <v>3</v>
      </c>
      <c r="B527" s="59" t="n">
        <v>46210</v>
      </c>
      <c r="C527" s="0" t="n">
        <v>11</v>
      </c>
      <c r="D527" s="0" t="s">
        <v>2126</v>
      </c>
      <c r="E527" s="0" t="n">
        <v>1815</v>
      </c>
      <c r="F527" s="0" t="s">
        <v>54</v>
      </c>
      <c r="I527" s="0" t="n">
        <v>390537</v>
      </c>
      <c r="J527" s="0" t="n">
        <v>78982</v>
      </c>
      <c r="K527" s="0" t="n">
        <v>383</v>
      </c>
      <c r="L527" s="0" t="s">
        <v>2435</v>
      </c>
      <c r="N527" s="0" t="n">
        <v>19.27</v>
      </c>
      <c r="O527" s="60" t="n">
        <v>1406.71</v>
      </c>
    </row>
    <row r="528" customFormat="false" ht="15" hidden="false" customHeight="false" outlineLevel="0" collapsed="false">
      <c r="A528" s="0" t="n">
        <v>3</v>
      </c>
      <c r="B528" s="59" t="n">
        <v>46210</v>
      </c>
      <c r="C528" s="0" t="n">
        <v>11</v>
      </c>
      <c r="D528" s="0" t="s">
        <v>2126</v>
      </c>
      <c r="E528" s="0" t="n">
        <v>1612</v>
      </c>
      <c r="F528" s="0" t="s">
        <v>266</v>
      </c>
      <c r="I528" s="0" t="n">
        <v>2298987</v>
      </c>
      <c r="J528" s="0" t="n">
        <v>100820</v>
      </c>
      <c r="K528" s="0" t="n">
        <v>7896013100386</v>
      </c>
      <c r="L528" s="0" t="s">
        <v>2436</v>
      </c>
      <c r="N528" s="0" t="n">
        <v>120</v>
      </c>
      <c r="O528" s="60" t="n">
        <v>274.8</v>
      </c>
    </row>
    <row r="529" customFormat="false" ht="15" hidden="false" customHeight="false" outlineLevel="0" collapsed="false">
      <c r="A529" s="0" t="n">
        <v>3</v>
      </c>
      <c r="B529" s="59" t="n">
        <v>46210</v>
      </c>
      <c r="C529" s="0" t="n">
        <v>11</v>
      </c>
      <c r="D529" s="0" t="s">
        <v>2126</v>
      </c>
      <c r="E529" s="0" t="n">
        <v>1612</v>
      </c>
      <c r="F529" s="0" t="s">
        <v>266</v>
      </c>
      <c r="I529" s="0" t="n">
        <v>2298987</v>
      </c>
      <c r="J529" s="0" t="n">
        <v>100831</v>
      </c>
      <c r="K529" s="0" t="n">
        <v>7896013102359</v>
      </c>
      <c r="L529" s="0" t="s">
        <v>2437</v>
      </c>
      <c r="N529" s="0" t="n">
        <v>24</v>
      </c>
      <c r="O529" s="60" t="n">
        <v>54.96</v>
      </c>
    </row>
    <row r="530" customFormat="false" ht="15" hidden="false" customHeight="false" outlineLevel="0" collapsed="false">
      <c r="A530" s="0" t="n">
        <v>3</v>
      </c>
      <c r="B530" s="59" t="n">
        <v>46210</v>
      </c>
      <c r="C530" s="0" t="n">
        <v>11</v>
      </c>
      <c r="D530" s="0" t="s">
        <v>2126</v>
      </c>
      <c r="E530" s="0" t="n">
        <v>1612</v>
      </c>
      <c r="F530" s="0" t="s">
        <v>266</v>
      </c>
      <c r="I530" s="0" t="n">
        <v>2298987</v>
      </c>
      <c r="J530" s="0" t="n">
        <v>100832</v>
      </c>
      <c r="K530" s="0" t="n">
        <v>7896013100072</v>
      </c>
      <c r="L530" s="0" t="s">
        <v>2438</v>
      </c>
      <c r="N530" s="0" t="n">
        <v>24</v>
      </c>
      <c r="O530" s="60" t="n">
        <v>54.96</v>
      </c>
    </row>
    <row r="531" customFormat="false" ht="15" hidden="false" customHeight="false" outlineLevel="0" collapsed="false">
      <c r="A531" s="0" t="n">
        <v>3</v>
      </c>
      <c r="B531" s="59" t="n">
        <v>46210</v>
      </c>
      <c r="C531" s="0" t="n">
        <v>11</v>
      </c>
      <c r="D531" s="0" t="s">
        <v>2126</v>
      </c>
      <c r="E531" s="0" t="n">
        <v>1612</v>
      </c>
      <c r="F531" s="0" t="s">
        <v>266</v>
      </c>
      <c r="I531" s="0" t="n">
        <v>2298987</v>
      </c>
      <c r="J531" s="0" t="n">
        <v>100834</v>
      </c>
      <c r="K531" s="0" t="n">
        <v>7896013100515</v>
      </c>
      <c r="L531" s="0" t="s">
        <v>2439</v>
      </c>
      <c r="N531" s="0" t="n">
        <v>24</v>
      </c>
      <c r="O531" s="60" t="n">
        <v>54.96</v>
      </c>
    </row>
    <row r="532" customFormat="false" ht="15" hidden="false" customHeight="false" outlineLevel="0" collapsed="false">
      <c r="A532" s="0" t="n">
        <v>3</v>
      </c>
      <c r="B532" s="59" t="n">
        <v>46210</v>
      </c>
      <c r="C532" s="0" t="n">
        <v>11</v>
      </c>
      <c r="D532" s="0" t="s">
        <v>2126</v>
      </c>
      <c r="E532" s="0" t="n">
        <v>1612</v>
      </c>
      <c r="F532" s="0" t="s">
        <v>266</v>
      </c>
      <c r="I532" s="0" t="n">
        <v>2298987</v>
      </c>
      <c r="J532" s="0" t="n">
        <v>103880</v>
      </c>
      <c r="K532" s="0" t="n">
        <v>7896013104438</v>
      </c>
      <c r="L532" s="0" t="s">
        <v>2440</v>
      </c>
      <c r="N532" s="0" t="n">
        <v>12</v>
      </c>
      <c r="O532" s="60" t="n">
        <v>31.86</v>
      </c>
    </row>
    <row r="533" customFormat="false" ht="15" hidden="false" customHeight="false" outlineLevel="0" collapsed="false">
      <c r="A533" s="0" t="n">
        <v>3</v>
      </c>
      <c r="B533" s="59" t="n">
        <v>46210</v>
      </c>
      <c r="C533" s="0" t="n">
        <v>11</v>
      </c>
      <c r="D533" s="0" t="s">
        <v>2126</v>
      </c>
      <c r="E533" s="0" t="n">
        <v>1612</v>
      </c>
      <c r="F533" s="0" t="s">
        <v>266</v>
      </c>
      <c r="I533" s="0" t="n">
        <v>2298987</v>
      </c>
      <c r="J533" s="0" t="n">
        <v>103881</v>
      </c>
      <c r="K533" s="0" t="n">
        <v>7896013100546</v>
      </c>
      <c r="L533" s="0" t="s">
        <v>2441</v>
      </c>
      <c r="N533" s="0" t="n">
        <v>24</v>
      </c>
      <c r="O533" s="60" t="n">
        <v>54.96</v>
      </c>
    </row>
    <row r="534" customFormat="false" ht="15" hidden="false" customHeight="false" outlineLevel="0" collapsed="false">
      <c r="A534" s="0" t="n">
        <v>3</v>
      </c>
      <c r="B534" s="59" t="n">
        <v>46210</v>
      </c>
      <c r="C534" s="0" t="n">
        <v>11</v>
      </c>
      <c r="D534" s="0" t="s">
        <v>2126</v>
      </c>
      <c r="E534" s="0" t="n">
        <v>1612</v>
      </c>
      <c r="F534" s="0" t="s">
        <v>266</v>
      </c>
      <c r="I534" s="0" t="n">
        <v>2298987</v>
      </c>
      <c r="J534" s="0" t="n">
        <v>105107</v>
      </c>
      <c r="K534" s="0" t="n">
        <v>7896013102854</v>
      </c>
      <c r="L534" s="0" t="s">
        <v>2442</v>
      </c>
      <c r="N534" s="0" t="n">
        <v>12</v>
      </c>
      <c r="O534" s="60" t="n">
        <v>60.36</v>
      </c>
    </row>
    <row r="535" customFormat="false" ht="15" hidden="false" customHeight="false" outlineLevel="0" collapsed="false">
      <c r="A535" s="0" t="n">
        <v>3</v>
      </c>
      <c r="B535" s="59" t="n">
        <v>46210</v>
      </c>
      <c r="C535" s="0" t="n">
        <v>11</v>
      </c>
      <c r="D535" s="0" t="s">
        <v>2126</v>
      </c>
      <c r="E535" s="0" t="n">
        <v>1612</v>
      </c>
      <c r="F535" s="0" t="s">
        <v>266</v>
      </c>
      <c r="I535" s="0" t="n">
        <v>2298987</v>
      </c>
      <c r="J535" s="0" t="n">
        <v>105454</v>
      </c>
      <c r="K535" s="0" t="n">
        <v>7896013100966</v>
      </c>
      <c r="L535" s="0" t="s">
        <v>2443</v>
      </c>
      <c r="N535" s="0" t="n">
        <v>12</v>
      </c>
      <c r="O535" s="60" t="n">
        <v>31.86</v>
      </c>
    </row>
    <row r="536" customFormat="false" ht="15" hidden="false" customHeight="false" outlineLevel="0" collapsed="false">
      <c r="A536" s="0" t="n">
        <v>3</v>
      </c>
      <c r="B536" s="59" t="n">
        <v>46210</v>
      </c>
      <c r="C536" s="0" t="n">
        <v>11</v>
      </c>
      <c r="D536" s="0" t="s">
        <v>2126</v>
      </c>
      <c r="E536" s="0" t="n">
        <v>1612</v>
      </c>
      <c r="F536" s="0" t="s">
        <v>266</v>
      </c>
      <c r="I536" s="0" t="n">
        <v>2298987</v>
      </c>
      <c r="J536" s="0" t="n">
        <v>109517</v>
      </c>
      <c r="K536" s="0" t="n">
        <v>7896013102496</v>
      </c>
      <c r="L536" s="0" t="s">
        <v>2444</v>
      </c>
      <c r="N536" s="0" t="n">
        <v>48</v>
      </c>
      <c r="O536" s="60" t="n">
        <v>90</v>
      </c>
    </row>
    <row r="537" customFormat="false" ht="15" hidden="false" customHeight="false" outlineLevel="0" collapsed="false">
      <c r="A537" s="0" t="n">
        <v>3</v>
      </c>
      <c r="B537" s="59" t="n">
        <v>46210</v>
      </c>
      <c r="C537" s="0" t="n">
        <v>11</v>
      </c>
      <c r="D537" s="0" t="s">
        <v>2126</v>
      </c>
      <c r="E537" s="0" t="n">
        <v>1612</v>
      </c>
      <c r="F537" s="0" t="s">
        <v>266</v>
      </c>
      <c r="I537" s="0" t="n">
        <v>2298987</v>
      </c>
      <c r="J537" s="0" t="n">
        <v>109519</v>
      </c>
      <c r="K537" s="0" t="n">
        <v>7896013102427</v>
      </c>
      <c r="L537" s="0" t="s">
        <v>2445</v>
      </c>
      <c r="N537" s="0" t="n">
        <v>12</v>
      </c>
      <c r="O537" s="60" t="n">
        <v>83.58</v>
      </c>
    </row>
    <row r="538" customFormat="false" ht="15" hidden="false" customHeight="false" outlineLevel="0" collapsed="false">
      <c r="A538" s="0" t="n">
        <v>3</v>
      </c>
      <c r="B538" s="59" t="n">
        <v>46210</v>
      </c>
      <c r="C538" s="0" t="n">
        <v>11</v>
      </c>
      <c r="D538" s="0" t="s">
        <v>2126</v>
      </c>
      <c r="E538" s="0" t="n">
        <v>1612</v>
      </c>
      <c r="F538" s="0" t="s">
        <v>266</v>
      </c>
      <c r="I538" s="0" t="n">
        <v>2298987</v>
      </c>
      <c r="J538" s="0" t="n">
        <v>109524</v>
      </c>
      <c r="K538" s="0" t="n">
        <v>7896013102472</v>
      </c>
      <c r="L538" s="0" t="s">
        <v>2446</v>
      </c>
      <c r="N538" s="0" t="n">
        <v>48</v>
      </c>
      <c r="O538" s="60" t="n">
        <v>90</v>
      </c>
    </row>
    <row r="539" customFormat="false" ht="15" hidden="false" customHeight="false" outlineLevel="0" collapsed="false">
      <c r="A539" s="0" t="n">
        <v>3</v>
      </c>
      <c r="B539" s="59" t="n">
        <v>46210</v>
      </c>
      <c r="C539" s="0" t="n">
        <v>11</v>
      </c>
      <c r="D539" s="0" t="s">
        <v>2126</v>
      </c>
      <c r="E539" s="0" t="n">
        <v>1612</v>
      </c>
      <c r="F539" s="0" t="s">
        <v>266</v>
      </c>
      <c r="I539" s="0" t="n">
        <v>2298987</v>
      </c>
      <c r="J539" s="0" t="n">
        <v>11568</v>
      </c>
      <c r="K539" s="0" t="n">
        <v>7896013104193</v>
      </c>
      <c r="L539" s="0" t="s">
        <v>2447</v>
      </c>
      <c r="N539" s="0" t="n">
        <v>12</v>
      </c>
      <c r="O539" s="60" t="n">
        <v>83.58</v>
      </c>
    </row>
    <row r="540" customFormat="false" ht="15" hidden="false" customHeight="false" outlineLevel="0" collapsed="false">
      <c r="A540" s="0" t="n">
        <v>3</v>
      </c>
      <c r="B540" s="59" t="n">
        <v>46210</v>
      </c>
      <c r="C540" s="0" t="n">
        <v>11</v>
      </c>
      <c r="D540" s="0" t="s">
        <v>2126</v>
      </c>
      <c r="E540" s="0" t="n">
        <v>1612</v>
      </c>
      <c r="F540" s="0" t="s">
        <v>266</v>
      </c>
      <c r="I540" s="0" t="n">
        <v>2298987</v>
      </c>
      <c r="J540" s="0" t="n">
        <v>12563</v>
      </c>
      <c r="K540" s="0" t="n">
        <v>7896013104216</v>
      </c>
      <c r="L540" s="0" t="s">
        <v>2448</v>
      </c>
      <c r="N540" s="0" t="n">
        <v>12</v>
      </c>
      <c r="O540" s="60" t="n">
        <v>125.34</v>
      </c>
    </row>
    <row r="541" customFormat="false" ht="15" hidden="false" customHeight="false" outlineLevel="0" collapsed="false">
      <c r="A541" s="0" t="n">
        <v>3</v>
      </c>
      <c r="B541" s="59" t="n">
        <v>46210</v>
      </c>
      <c r="C541" s="0" t="n">
        <v>11</v>
      </c>
      <c r="D541" s="0" t="s">
        <v>2126</v>
      </c>
      <c r="E541" s="0" t="n">
        <v>1612</v>
      </c>
      <c r="F541" s="0" t="s">
        <v>266</v>
      </c>
      <c r="I541" s="0" t="n">
        <v>2298987</v>
      </c>
      <c r="J541" s="0" t="n">
        <v>16765</v>
      </c>
      <c r="K541" s="0" t="n">
        <v>7896013101628</v>
      </c>
      <c r="L541" s="0" t="s">
        <v>2449</v>
      </c>
      <c r="N541" s="0" t="n">
        <v>24</v>
      </c>
      <c r="O541" s="60" t="n">
        <v>44.52</v>
      </c>
    </row>
    <row r="542" customFormat="false" ht="15" hidden="false" customHeight="false" outlineLevel="0" collapsed="false">
      <c r="A542" s="0" t="n">
        <v>3</v>
      </c>
      <c r="B542" s="59" t="n">
        <v>46210</v>
      </c>
      <c r="C542" s="0" t="n">
        <v>11</v>
      </c>
      <c r="D542" s="0" t="s">
        <v>2126</v>
      </c>
      <c r="E542" s="0" t="n">
        <v>1612</v>
      </c>
      <c r="F542" s="0" t="s">
        <v>266</v>
      </c>
      <c r="I542" s="0" t="n">
        <v>2298987</v>
      </c>
      <c r="J542" s="0" t="n">
        <v>17478</v>
      </c>
      <c r="K542" s="0" t="n">
        <v>7896013105299</v>
      </c>
      <c r="L542" s="0" t="s">
        <v>2450</v>
      </c>
      <c r="N542" s="0" t="n">
        <v>12</v>
      </c>
      <c r="O542" s="60" t="n">
        <v>91.92</v>
      </c>
    </row>
    <row r="543" customFormat="false" ht="15" hidden="false" customHeight="false" outlineLevel="0" collapsed="false">
      <c r="A543" s="0" t="n">
        <v>3</v>
      </c>
      <c r="B543" s="59" t="n">
        <v>46210</v>
      </c>
      <c r="C543" s="0" t="n">
        <v>11</v>
      </c>
      <c r="D543" s="0" t="s">
        <v>2126</v>
      </c>
      <c r="E543" s="0" t="n">
        <v>1612</v>
      </c>
      <c r="F543" s="0" t="s">
        <v>266</v>
      </c>
      <c r="I543" s="0" t="n">
        <v>2298987</v>
      </c>
      <c r="J543" s="0" t="n">
        <v>20645</v>
      </c>
      <c r="K543" s="0" t="n">
        <v>7896013105282</v>
      </c>
      <c r="L543" s="0" t="s">
        <v>2451</v>
      </c>
      <c r="N543" s="0" t="n">
        <v>12</v>
      </c>
      <c r="O543" s="60" t="n">
        <v>137.88</v>
      </c>
    </row>
    <row r="544" customFormat="false" ht="15" hidden="false" customHeight="false" outlineLevel="0" collapsed="false">
      <c r="A544" s="0" t="n">
        <v>3</v>
      </c>
      <c r="B544" s="59" t="n">
        <v>46210</v>
      </c>
      <c r="C544" s="0" t="n">
        <v>11</v>
      </c>
      <c r="D544" s="0" t="s">
        <v>2126</v>
      </c>
      <c r="E544" s="0" t="n">
        <v>1612</v>
      </c>
      <c r="F544" s="0" t="s">
        <v>266</v>
      </c>
      <c r="I544" s="0" t="n">
        <v>2298987</v>
      </c>
      <c r="J544" s="0" t="n">
        <v>21372</v>
      </c>
      <c r="K544" s="0" t="n">
        <v>7896013105305</v>
      </c>
      <c r="L544" s="0" t="s">
        <v>2452</v>
      </c>
      <c r="N544" s="0" t="n">
        <v>12</v>
      </c>
      <c r="O544" s="60" t="n">
        <v>91.92</v>
      </c>
    </row>
    <row r="545" customFormat="false" ht="15" hidden="false" customHeight="false" outlineLevel="0" collapsed="false">
      <c r="A545" s="0" t="n">
        <v>3</v>
      </c>
      <c r="B545" s="59" t="n">
        <v>46210</v>
      </c>
      <c r="C545" s="0" t="n">
        <v>11</v>
      </c>
      <c r="D545" s="0" t="s">
        <v>2126</v>
      </c>
      <c r="E545" s="0" t="n">
        <v>1612</v>
      </c>
      <c r="F545" s="0" t="s">
        <v>266</v>
      </c>
      <c r="I545" s="0" t="n">
        <v>2298987</v>
      </c>
      <c r="J545" s="0" t="n">
        <v>24943</v>
      </c>
      <c r="K545" s="0" t="n">
        <v>7896058506105</v>
      </c>
      <c r="L545" s="0" t="s">
        <v>2453</v>
      </c>
      <c r="N545" s="0" t="n">
        <v>180</v>
      </c>
      <c r="O545" s="60" t="n">
        <v>108</v>
      </c>
    </row>
    <row r="546" customFormat="false" ht="15" hidden="false" customHeight="false" outlineLevel="0" collapsed="false">
      <c r="A546" s="0" t="n">
        <v>3</v>
      </c>
      <c r="B546" s="59" t="n">
        <v>46210</v>
      </c>
      <c r="C546" s="0" t="n">
        <v>11</v>
      </c>
      <c r="D546" s="0" t="s">
        <v>2126</v>
      </c>
      <c r="E546" s="0" t="n">
        <v>1612</v>
      </c>
      <c r="F546" s="0" t="s">
        <v>266</v>
      </c>
      <c r="I546" s="0" t="n">
        <v>2298987</v>
      </c>
      <c r="J546" s="0" t="n">
        <v>27537</v>
      </c>
      <c r="K546" s="0" t="n">
        <v>7896013106968</v>
      </c>
      <c r="L546" s="0" t="s">
        <v>2454</v>
      </c>
      <c r="N546" s="0" t="n">
        <v>36</v>
      </c>
      <c r="O546" s="60" t="n">
        <v>74.87</v>
      </c>
    </row>
    <row r="547" customFormat="false" ht="15" hidden="false" customHeight="false" outlineLevel="0" collapsed="false">
      <c r="A547" s="0" t="n">
        <v>3</v>
      </c>
      <c r="B547" s="59" t="n">
        <v>46210</v>
      </c>
      <c r="C547" s="0" t="n">
        <v>11</v>
      </c>
      <c r="D547" s="0" t="s">
        <v>2126</v>
      </c>
      <c r="E547" s="0" t="n">
        <v>1612</v>
      </c>
      <c r="F547" s="0" t="s">
        <v>266</v>
      </c>
      <c r="I547" s="0" t="n">
        <v>2298987</v>
      </c>
      <c r="J547" s="0" t="n">
        <v>29655</v>
      </c>
      <c r="K547" s="0" t="n">
        <v>7896013107897</v>
      </c>
      <c r="L547" s="0" t="s">
        <v>2455</v>
      </c>
      <c r="N547" s="0" t="n">
        <v>36</v>
      </c>
      <c r="O547" s="60" t="n">
        <v>79.2</v>
      </c>
    </row>
    <row r="548" customFormat="false" ht="15" hidden="false" customHeight="false" outlineLevel="0" collapsed="false">
      <c r="A548" s="0" t="n">
        <v>3</v>
      </c>
      <c r="B548" s="59" t="n">
        <v>46210</v>
      </c>
      <c r="C548" s="0" t="n">
        <v>11</v>
      </c>
      <c r="D548" s="0" t="s">
        <v>2126</v>
      </c>
      <c r="E548" s="0" t="n">
        <v>1612</v>
      </c>
      <c r="F548" s="0" t="s">
        <v>266</v>
      </c>
      <c r="I548" s="0" t="n">
        <v>2298987</v>
      </c>
      <c r="J548" s="0" t="n">
        <v>29656</v>
      </c>
      <c r="K548" s="0" t="n">
        <v>7896013107880</v>
      </c>
      <c r="L548" s="0" t="s">
        <v>2456</v>
      </c>
      <c r="N548" s="0" t="n">
        <v>36</v>
      </c>
      <c r="O548" s="60" t="n">
        <v>79.2</v>
      </c>
    </row>
    <row r="549" customFormat="false" ht="15" hidden="false" customHeight="false" outlineLevel="0" collapsed="false">
      <c r="A549" s="0" t="n">
        <v>3</v>
      </c>
      <c r="B549" s="59" t="n">
        <v>46210</v>
      </c>
      <c r="C549" s="0" t="n">
        <v>11</v>
      </c>
      <c r="D549" s="0" t="s">
        <v>2126</v>
      </c>
      <c r="E549" s="0" t="n">
        <v>1612</v>
      </c>
      <c r="F549" s="0" t="s">
        <v>266</v>
      </c>
      <c r="I549" s="0" t="n">
        <v>2298987</v>
      </c>
      <c r="J549" s="0" t="n">
        <v>29657</v>
      </c>
      <c r="K549" s="0" t="n">
        <v>7896013107859</v>
      </c>
      <c r="L549" s="0" t="s">
        <v>2457</v>
      </c>
      <c r="N549" s="0" t="n">
        <v>36</v>
      </c>
      <c r="O549" s="60" t="n">
        <v>79.2</v>
      </c>
    </row>
    <row r="550" customFormat="false" ht="15" hidden="false" customHeight="false" outlineLevel="0" collapsed="false">
      <c r="A550" s="0" t="n">
        <v>3</v>
      </c>
      <c r="B550" s="59" t="n">
        <v>46210</v>
      </c>
      <c r="C550" s="0" t="n">
        <v>11</v>
      </c>
      <c r="D550" s="0" t="s">
        <v>2126</v>
      </c>
      <c r="E550" s="0" t="n">
        <v>1612</v>
      </c>
      <c r="F550" s="0" t="s">
        <v>266</v>
      </c>
      <c r="I550" s="0" t="n">
        <v>2298987</v>
      </c>
      <c r="J550" s="0" t="n">
        <v>29881</v>
      </c>
      <c r="K550" s="0" t="n">
        <v>7896013107866</v>
      </c>
      <c r="L550" s="0" t="s">
        <v>2458</v>
      </c>
      <c r="N550" s="0" t="n">
        <v>36</v>
      </c>
      <c r="O550" s="60" t="n">
        <v>79.2</v>
      </c>
    </row>
    <row r="551" customFormat="false" ht="15" hidden="false" customHeight="false" outlineLevel="0" collapsed="false">
      <c r="A551" s="0" t="n">
        <v>3</v>
      </c>
      <c r="B551" s="59" t="n">
        <v>46210</v>
      </c>
      <c r="C551" s="0" t="n">
        <v>11</v>
      </c>
      <c r="D551" s="0" t="s">
        <v>2126</v>
      </c>
      <c r="E551" s="0" t="n">
        <v>1612</v>
      </c>
      <c r="F551" s="0" t="s">
        <v>266</v>
      </c>
      <c r="I551" s="0" t="n">
        <v>2298987</v>
      </c>
      <c r="J551" s="0" t="n">
        <v>31796</v>
      </c>
      <c r="K551" s="0" t="n">
        <v>7896013107927</v>
      </c>
      <c r="L551" s="0" t="s">
        <v>2459</v>
      </c>
      <c r="N551" s="0" t="n">
        <v>36</v>
      </c>
      <c r="O551" s="60" t="n">
        <v>79.2</v>
      </c>
    </row>
    <row r="552" customFormat="false" ht="15" hidden="false" customHeight="false" outlineLevel="0" collapsed="false">
      <c r="A552" s="0" t="n">
        <v>3</v>
      </c>
      <c r="B552" s="59" t="n">
        <v>46210</v>
      </c>
      <c r="C552" s="0" t="n">
        <v>11</v>
      </c>
      <c r="D552" s="0" t="s">
        <v>2126</v>
      </c>
      <c r="E552" s="0" t="n">
        <v>1612</v>
      </c>
      <c r="F552" s="0" t="s">
        <v>266</v>
      </c>
      <c r="I552" s="0" t="n">
        <v>2298987</v>
      </c>
      <c r="J552" s="0" t="n">
        <v>34478</v>
      </c>
      <c r="K552" s="0" t="n">
        <v>7896013107873</v>
      </c>
      <c r="L552" s="0" t="s">
        <v>2460</v>
      </c>
      <c r="N552" s="0" t="n">
        <v>36</v>
      </c>
      <c r="O552" s="60" t="n">
        <v>79.2</v>
      </c>
    </row>
    <row r="553" customFormat="false" ht="15" hidden="false" customHeight="false" outlineLevel="0" collapsed="false">
      <c r="A553" s="0" t="n">
        <v>3</v>
      </c>
      <c r="B553" s="59" t="n">
        <v>46210</v>
      </c>
      <c r="C553" s="0" t="n">
        <v>11</v>
      </c>
      <c r="D553" s="0" t="s">
        <v>2126</v>
      </c>
      <c r="E553" s="0" t="n">
        <v>1612</v>
      </c>
      <c r="F553" s="0" t="s">
        <v>266</v>
      </c>
      <c r="I553" s="0" t="n">
        <v>2298987</v>
      </c>
      <c r="J553" s="0" t="n">
        <v>34649</v>
      </c>
      <c r="K553" s="0" t="n">
        <v>7896013108191</v>
      </c>
      <c r="L553" s="0" t="s">
        <v>2461</v>
      </c>
      <c r="N553" s="0" t="n">
        <v>12</v>
      </c>
      <c r="O553" s="60" t="n">
        <v>47.94</v>
      </c>
    </row>
    <row r="554" customFormat="false" ht="15" hidden="false" customHeight="false" outlineLevel="0" collapsed="false">
      <c r="A554" s="0" t="n">
        <v>3</v>
      </c>
      <c r="B554" s="59" t="n">
        <v>46210</v>
      </c>
      <c r="C554" s="0" t="n">
        <v>11</v>
      </c>
      <c r="D554" s="0" t="s">
        <v>2126</v>
      </c>
      <c r="E554" s="0" t="n">
        <v>1612</v>
      </c>
      <c r="F554" s="0" t="s">
        <v>266</v>
      </c>
      <c r="I554" s="0" t="n">
        <v>2298987</v>
      </c>
      <c r="J554" s="0" t="n">
        <v>36271</v>
      </c>
      <c r="K554" s="0" t="n">
        <v>7896013108160</v>
      </c>
      <c r="L554" s="0" t="s">
        <v>2462</v>
      </c>
      <c r="N554" s="0" t="n">
        <v>12</v>
      </c>
      <c r="O554" s="60" t="n">
        <v>47.94</v>
      </c>
    </row>
    <row r="555" customFormat="false" ht="15" hidden="false" customHeight="false" outlineLevel="0" collapsed="false">
      <c r="A555" s="0" t="n">
        <v>3</v>
      </c>
      <c r="B555" s="59" t="n">
        <v>46210</v>
      </c>
      <c r="C555" s="0" t="n">
        <v>11</v>
      </c>
      <c r="D555" s="0" t="s">
        <v>2126</v>
      </c>
      <c r="E555" s="0" t="n">
        <v>1612</v>
      </c>
      <c r="F555" s="0" t="s">
        <v>266</v>
      </c>
      <c r="I555" s="0" t="n">
        <v>2298987</v>
      </c>
      <c r="J555" s="0" t="n">
        <v>36272</v>
      </c>
      <c r="K555" s="0" t="n">
        <v>7896013108184</v>
      </c>
      <c r="L555" s="0" t="s">
        <v>2463</v>
      </c>
      <c r="N555" s="0" t="n">
        <v>12</v>
      </c>
      <c r="O555" s="60" t="n">
        <v>47.94</v>
      </c>
    </row>
    <row r="556" customFormat="false" ht="15" hidden="false" customHeight="false" outlineLevel="0" collapsed="false">
      <c r="A556" s="0" t="n">
        <v>3</v>
      </c>
      <c r="B556" s="59" t="n">
        <v>46210</v>
      </c>
      <c r="C556" s="0" t="n">
        <v>11</v>
      </c>
      <c r="D556" s="0" t="s">
        <v>2126</v>
      </c>
      <c r="E556" s="0" t="n">
        <v>1612</v>
      </c>
      <c r="F556" s="0" t="s">
        <v>266</v>
      </c>
      <c r="I556" s="0" t="n">
        <v>2298987</v>
      </c>
      <c r="J556" s="0" t="n">
        <v>36273</v>
      </c>
      <c r="K556" s="0" t="n">
        <v>7896013108177</v>
      </c>
      <c r="L556" s="0" t="s">
        <v>2464</v>
      </c>
      <c r="N556" s="0" t="n">
        <v>12</v>
      </c>
      <c r="O556" s="60" t="n">
        <v>47.94</v>
      </c>
    </row>
    <row r="557" customFormat="false" ht="15" hidden="false" customHeight="false" outlineLevel="0" collapsed="false">
      <c r="A557" s="0" t="n">
        <v>3</v>
      </c>
      <c r="B557" s="59" t="n">
        <v>46210</v>
      </c>
      <c r="C557" s="0" t="n">
        <v>11</v>
      </c>
      <c r="D557" s="0" t="s">
        <v>2126</v>
      </c>
      <c r="E557" s="0" t="n">
        <v>1612</v>
      </c>
      <c r="F557" s="0" t="s">
        <v>266</v>
      </c>
      <c r="I557" s="0" t="n">
        <v>2298987</v>
      </c>
      <c r="J557" s="0" t="n">
        <v>36892</v>
      </c>
      <c r="K557" s="0" t="n">
        <v>7896058506099</v>
      </c>
      <c r="L557" s="0" t="s">
        <v>2465</v>
      </c>
      <c r="N557" s="0" t="n">
        <v>180</v>
      </c>
      <c r="O557" s="60" t="n">
        <v>108</v>
      </c>
    </row>
    <row r="558" customFormat="false" ht="15" hidden="false" customHeight="false" outlineLevel="0" collapsed="false">
      <c r="A558" s="0" t="n">
        <v>3</v>
      </c>
      <c r="B558" s="59" t="n">
        <v>46210</v>
      </c>
      <c r="C558" s="0" t="n">
        <v>11</v>
      </c>
      <c r="D558" s="0" t="s">
        <v>2126</v>
      </c>
      <c r="E558" s="0" t="n">
        <v>1612</v>
      </c>
      <c r="F558" s="0" t="s">
        <v>266</v>
      </c>
      <c r="I558" s="0" t="n">
        <v>2298987</v>
      </c>
      <c r="J558" s="0" t="n">
        <v>37539</v>
      </c>
      <c r="K558" s="0" t="n">
        <v>7896013106951</v>
      </c>
      <c r="L558" s="0" t="s">
        <v>2466</v>
      </c>
      <c r="N558" s="0" t="n">
        <v>36</v>
      </c>
      <c r="O558" s="60" t="n">
        <v>74.88</v>
      </c>
    </row>
    <row r="559" customFormat="false" ht="15" hidden="false" customHeight="false" outlineLevel="0" collapsed="false">
      <c r="A559" s="0" t="n">
        <v>3</v>
      </c>
      <c r="B559" s="59" t="n">
        <v>46210</v>
      </c>
      <c r="C559" s="0" t="n">
        <v>11</v>
      </c>
      <c r="D559" s="0" t="s">
        <v>2126</v>
      </c>
      <c r="E559" s="0" t="n">
        <v>1612</v>
      </c>
      <c r="F559" s="0" t="s">
        <v>266</v>
      </c>
      <c r="I559" s="0" t="n">
        <v>2298987</v>
      </c>
      <c r="J559" s="0" t="n">
        <v>46521</v>
      </c>
      <c r="K559" s="0" t="n">
        <v>7898331012761</v>
      </c>
      <c r="L559" s="0" t="s">
        <v>2467</v>
      </c>
      <c r="N559" s="0" t="n">
        <v>20</v>
      </c>
      <c r="O559" s="60" t="n">
        <v>149.8</v>
      </c>
    </row>
    <row r="560" customFormat="false" ht="15" hidden="false" customHeight="false" outlineLevel="0" collapsed="false">
      <c r="A560" s="0" t="n">
        <v>3</v>
      </c>
      <c r="B560" s="59" t="n">
        <v>46210</v>
      </c>
      <c r="C560" s="0" t="n">
        <v>11</v>
      </c>
      <c r="D560" s="0" t="s">
        <v>2126</v>
      </c>
      <c r="E560" s="0" t="n">
        <v>1612</v>
      </c>
      <c r="F560" s="0" t="s">
        <v>266</v>
      </c>
      <c r="I560" s="0" t="n">
        <v>2298987</v>
      </c>
      <c r="J560" s="0" t="n">
        <v>46785</v>
      </c>
      <c r="K560" s="0" t="n">
        <v>7898331012969</v>
      </c>
      <c r="L560" s="0" t="s">
        <v>2468</v>
      </c>
      <c r="N560" s="0" t="n">
        <v>20</v>
      </c>
      <c r="O560" s="60" t="n">
        <v>149.8</v>
      </c>
    </row>
    <row r="561" customFormat="false" ht="15" hidden="false" customHeight="false" outlineLevel="0" collapsed="false">
      <c r="A561" s="0" t="n">
        <v>3</v>
      </c>
      <c r="B561" s="59" t="n">
        <v>46210</v>
      </c>
      <c r="C561" s="0" t="n">
        <v>11</v>
      </c>
      <c r="D561" s="0" t="s">
        <v>2126</v>
      </c>
      <c r="E561" s="0" t="n">
        <v>1612</v>
      </c>
      <c r="F561" s="0" t="s">
        <v>266</v>
      </c>
      <c r="I561" s="0" t="n">
        <v>2298987</v>
      </c>
      <c r="J561" s="0" t="n">
        <v>57078</v>
      </c>
      <c r="K561" s="0" t="n">
        <v>7898331013270</v>
      </c>
      <c r="L561" s="0" t="s">
        <v>2469</v>
      </c>
      <c r="N561" s="0" t="n">
        <v>4</v>
      </c>
      <c r="O561" s="60" t="n">
        <v>29.96</v>
      </c>
    </row>
    <row r="562" customFormat="false" ht="15" hidden="false" customHeight="false" outlineLevel="0" collapsed="false">
      <c r="A562" s="0" t="n">
        <v>3</v>
      </c>
      <c r="B562" s="59" t="n">
        <v>46210</v>
      </c>
      <c r="C562" s="0" t="n">
        <v>11</v>
      </c>
      <c r="D562" s="0" t="s">
        <v>2126</v>
      </c>
      <c r="E562" s="0" t="n">
        <v>1612</v>
      </c>
      <c r="F562" s="0" t="s">
        <v>266</v>
      </c>
      <c r="I562" s="0" t="n">
        <v>2298987</v>
      </c>
      <c r="J562" s="0" t="n">
        <v>78733</v>
      </c>
      <c r="K562" s="0" t="n">
        <v>7896003740325</v>
      </c>
      <c r="L562" s="0" t="s">
        <v>2470</v>
      </c>
      <c r="N562" s="0" t="n">
        <v>42</v>
      </c>
      <c r="O562" s="60" t="n">
        <v>112.98</v>
      </c>
    </row>
    <row r="563" customFormat="false" ht="15" hidden="false" customHeight="false" outlineLevel="0" collapsed="false">
      <c r="A563" s="0" t="n">
        <v>3</v>
      </c>
      <c r="B563" s="59" t="n">
        <v>46211</v>
      </c>
      <c r="C563" s="0" t="n">
        <v>1</v>
      </c>
      <c r="D563" s="0" t="s">
        <v>2118</v>
      </c>
      <c r="E563" s="0" t="n">
        <v>1378</v>
      </c>
      <c r="F563" s="0" t="s">
        <v>121</v>
      </c>
      <c r="I563" s="0" t="n">
        <v>18119</v>
      </c>
      <c r="J563" s="0" t="n">
        <v>74061</v>
      </c>
      <c r="K563" s="0" t="n">
        <v>42882264255</v>
      </c>
      <c r="L563" s="0" t="s">
        <v>2297</v>
      </c>
      <c r="N563" s="0" t="n">
        <v>8</v>
      </c>
      <c r="O563" s="60" t="n">
        <v>40.8</v>
      </c>
    </row>
    <row r="564" customFormat="false" ht="15" hidden="false" customHeight="false" outlineLevel="0" collapsed="false">
      <c r="A564" s="0" t="n">
        <v>3</v>
      </c>
      <c r="B564" s="59" t="n">
        <v>46211</v>
      </c>
      <c r="C564" s="0" t="n">
        <v>1</v>
      </c>
      <c r="D564" s="0" t="s">
        <v>2118</v>
      </c>
      <c r="E564" s="0" t="n">
        <v>1378</v>
      </c>
      <c r="F564" s="0" t="s">
        <v>121</v>
      </c>
      <c r="I564" s="0" t="n">
        <v>18119</v>
      </c>
      <c r="J564" s="0" t="n">
        <v>74063</v>
      </c>
      <c r="K564" s="0" t="n">
        <v>42882264262</v>
      </c>
      <c r="L564" s="0" t="s">
        <v>2298</v>
      </c>
      <c r="N564" s="0" t="n">
        <v>6</v>
      </c>
      <c r="O564" s="60" t="n">
        <v>27</v>
      </c>
    </row>
    <row r="565" customFormat="false" ht="15" hidden="false" customHeight="false" outlineLevel="0" collapsed="false">
      <c r="A565" s="0" t="n">
        <v>3</v>
      </c>
      <c r="B565" s="59" t="n">
        <v>46211</v>
      </c>
      <c r="C565" s="0" t="n">
        <v>1</v>
      </c>
      <c r="D565" s="0" t="s">
        <v>2118</v>
      </c>
      <c r="E565" s="0" t="n">
        <v>1378</v>
      </c>
      <c r="F565" s="0" t="s">
        <v>121</v>
      </c>
      <c r="I565" s="0" t="n">
        <v>18119</v>
      </c>
      <c r="J565" s="0" t="n">
        <v>74064</v>
      </c>
      <c r="K565" s="0" t="n">
        <v>42882264279</v>
      </c>
      <c r="L565" s="0" t="s">
        <v>2299</v>
      </c>
      <c r="N565" s="0" t="n">
        <v>6</v>
      </c>
      <c r="O565" s="60" t="n">
        <v>28.8</v>
      </c>
    </row>
    <row r="566" customFormat="false" ht="15" hidden="false" customHeight="false" outlineLevel="0" collapsed="false">
      <c r="A566" s="0" t="n">
        <v>3</v>
      </c>
      <c r="B566" s="59" t="n">
        <v>46211</v>
      </c>
      <c r="C566" s="0" t="n">
        <v>1</v>
      </c>
      <c r="D566" s="0" t="s">
        <v>2118</v>
      </c>
      <c r="E566" s="0" t="n">
        <v>1378</v>
      </c>
      <c r="F566" s="0" t="s">
        <v>121</v>
      </c>
      <c r="I566" s="0" t="n">
        <v>18119</v>
      </c>
      <c r="J566" s="0" t="n">
        <v>77994</v>
      </c>
      <c r="K566" s="0" t="n">
        <v>780117</v>
      </c>
      <c r="L566" s="0" t="s">
        <v>2301</v>
      </c>
      <c r="N566" s="0" t="n">
        <v>28</v>
      </c>
      <c r="O566" s="60" t="n">
        <v>162.4</v>
      </c>
    </row>
    <row r="567" customFormat="false" ht="15" hidden="false" customHeight="false" outlineLevel="0" collapsed="false">
      <c r="A567" s="0" t="n">
        <v>3</v>
      </c>
      <c r="B567" s="59" t="n">
        <v>46211</v>
      </c>
      <c r="C567" s="0" t="n">
        <v>1</v>
      </c>
      <c r="D567" s="0" t="s">
        <v>2118</v>
      </c>
      <c r="E567" s="0" t="n">
        <v>1672</v>
      </c>
      <c r="F567" s="0" t="s">
        <v>68</v>
      </c>
      <c r="I567" s="0" t="n">
        <v>1388539</v>
      </c>
      <c r="J567" s="0" t="n">
        <v>101308</v>
      </c>
      <c r="K567" s="0" t="n">
        <v>7896579330098</v>
      </c>
      <c r="L567" s="0" t="s">
        <v>2471</v>
      </c>
      <c r="N567" s="0" t="n">
        <v>50</v>
      </c>
      <c r="O567" s="60" t="n">
        <v>375</v>
      </c>
    </row>
    <row r="568" customFormat="false" ht="15" hidden="false" customHeight="false" outlineLevel="0" collapsed="false">
      <c r="A568" s="0" t="n">
        <v>3</v>
      </c>
      <c r="B568" s="59" t="n">
        <v>46211</v>
      </c>
      <c r="C568" s="0" t="n">
        <v>1</v>
      </c>
      <c r="D568" s="0" t="s">
        <v>2118</v>
      </c>
      <c r="E568" s="0" t="n">
        <v>1672</v>
      </c>
      <c r="F568" s="0" t="s">
        <v>68</v>
      </c>
      <c r="I568" s="0" t="n">
        <v>1388539</v>
      </c>
      <c r="J568" s="0" t="n">
        <v>37507</v>
      </c>
      <c r="K568" s="0" t="n">
        <v>7896579310854</v>
      </c>
      <c r="L568" s="0" t="s">
        <v>2472</v>
      </c>
      <c r="N568" s="0" t="n">
        <v>200</v>
      </c>
      <c r="O568" s="60" t="n">
        <v>1400</v>
      </c>
    </row>
    <row r="569" customFormat="false" ht="15" hidden="false" customHeight="false" outlineLevel="0" collapsed="false">
      <c r="A569" s="0" t="n">
        <v>3</v>
      </c>
      <c r="B569" s="59" t="n">
        <v>46211</v>
      </c>
      <c r="C569" s="0" t="n">
        <v>2</v>
      </c>
      <c r="D569" s="0" t="s">
        <v>2122</v>
      </c>
      <c r="E569" s="0" t="n">
        <v>42</v>
      </c>
      <c r="F569" s="0" t="s">
        <v>81</v>
      </c>
      <c r="I569" s="0" t="n">
        <v>80701</v>
      </c>
      <c r="J569" s="0" t="n">
        <v>74674</v>
      </c>
      <c r="K569" s="0" t="n">
        <v>741</v>
      </c>
      <c r="L569" s="0" t="s">
        <v>2473</v>
      </c>
      <c r="N569" s="0" t="n">
        <v>50</v>
      </c>
      <c r="O569" s="60" t="n">
        <v>600</v>
      </c>
    </row>
    <row r="570" customFormat="false" ht="15" hidden="false" customHeight="false" outlineLevel="0" collapsed="false">
      <c r="A570" s="0" t="n">
        <v>3</v>
      </c>
      <c r="B570" s="59" t="n">
        <v>46211</v>
      </c>
      <c r="C570" s="0" t="n">
        <v>2</v>
      </c>
      <c r="D570" s="0" t="s">
        <v>2122</v>
      </c>
      <c r="E570" s="0" t="n">
        <v>42</v>
      </c>
      <c r="F570" s="0" t="s">
        <v>81</v>
      </c>
      <c r="I570" s="0" t="n">
        <v>80702</v>
      </c>
      <c r="J570" s="0" t="n">
        <v>100103</v>
      </c>
      <c r="K570" s="0" t="n">
        <v>104</v>
      </c>
      <c r="L570" s="0" t="s">
        <v>2193</v>
      </c>
      <c r="N570" s="0" t="n">
        <v>40</v>
      </c>
      <c r="O570" s="60" t="n">
        <v>240</v>
      </c>
    </row>
    <row r="571" customFormat="false" ht="15" hidden="false" customHeight="false" outlineLevel="0" collapsed="false">
      <c r="A571" s="0" t="n">
        <v>3</v>
      </c>
      <c r="B571" s="59" t="n">
        <v>46211</v>
      </c>
      <c r="C571" s="0" t="n">
        <v>2</v>
      </c>
      <c r="D571" s="0" t="s">
        <v>2122</v>
      </c>
      <c r="E571" s="0" t="n">
        <v>42</v>
      </c>
      <c r="F571" s="0" t="s">
        <v>81</v>
      </c>
      <c r="I571" s="0" t="n">
        <v>80703</v>
      </c>
      <c r="J571" s="0" t="n">
        <v>37359</v>
      </c>
      <c r="K571" s="0" t="n">
        <v>55526</v>
      </c>
      <c r="L571" s="0" t="s">
        <v>2194</v>
      </c>
      <c r="N571" s="0" t="n">
        <v>5</v>
      </c>
      <c r="O571" s="60" t="n">
        <v>30</v>
      </c>
    </row>
    <row r="572" customFormat="false" ht="15" hidden="false" customHeight="false" outlineLevel="0" collapsed="false">
      <c r="A572" s="0" t="n">
        <v>3</v>
      </c>
      <c r="B572" s="59" t="n">
        <v>46211</v>
      </c>
      <c r="C572" s="0" t="n">
        <v>2</v>
      </c>
      <c r="D572" s="0" t="s">
        <v>2122</v>
      </c>
      <c r="E572" s="0" t="n">
        <v>42</v>
      </c>
      <c r="F572" s="0" t="s">
        <v>81</v>
      </c>
      <c r="I572" s="0" t="n">
        <v>80703</v>
      </c>
      <c r="J572" s="0" t="n">
        <v>37361</v>
      </c>
      <c r="K572" s="0" t="n">
        <v>2240817</v>
      </c>
      <c r="L572" s="0" t="s">
        <v>2124</v>
      </c>
      <c r="N572" s="0" t="n">
        <v>40</v>
      </c>
      <c r="O572" s="60" t="n">
        <v>80</v>
      </c>
    </row>
    <row r="573" customFormat="false" ht="15" hidden="false" customHeight="false" outlineLevel="0" collapsed="false">
      <c r="A573" s="0" t="n">
        <v>3</v>
      </c>
      <c r="B573" s="59" t="n">
        <v>46211</v>
      </c>
      <c r="C573" s="0" t="n">
        <v>6</v>
      </c>
      <c r="D573" s="0" t="s">
        <v>2125</v>
      </c>
      <c r="E573" s="0" t="n">
        <v>42</v>
      </c>
      <c r="F573" s="0" t="s">
        <v>81</v>
      </c>
      <c r="I573" s="0" t="n">
        <v>4362</v>
      </c>
      <c r="J573" s="0" t="n">
        <v>74674</v>
      </c>
      <c r="K573" s="0" t="n">
        <v>741</v>
      </c>
      <c r="L573" s="0" t="s">
        <v>2473</v>
      </c>
      <c r="N573" s="0" t="n">
        <v>50</v>
      </c>
      <c r="O573" s="60" t="n">
        <v>600</v>
      </c>
    </row>
    <row r="574" customFormat="false" ht="15" hidden="false" customHeight="false" outlineLevel="0" collapsed="false">
      <c r="A574" s="0" t="n">
        <v>3</v>
      </c>
      <c r="B574" s="59" t="n">
        <v>46211</v>
      </c>
      <c r="C574" s="0" t="n">
        <v>6</v>
      </c>
      <c r="D574" s="0" t="s">
        <v>2125</v>
      </c>
      <c r="E574" s="0" t="n">
        <v>42</v>
      </c>
      <c r="F574" s="0" t="s">
        <v>81</v>
      </c>
      <c r="I574" s="0" t="n">
        <v>4363</v>
      </c>
      <c r="J574" s="0" t="n">
        <v>100103</v>
      </c>
      <c r="K574" s="0" t="n">
        <v>104</v>
      </c>
      <c r="L574" s="0" t="s">
        <v>2193</v>
      </c>
      <c r="N574" s="0" t="n">
        <v>40</v>
      </c>
      <c r="O574" s="60" t="n">
        <v>240</v>
      </c>
    </row>
    <row r="575" customFormat="false" ht="15" hidden="false" customHeight="false" outlineLevel="0" collapsed="false">
      <c r="A575" s="0" t="n">
        <v>3</v>
      </c>
      <c r="B575" s="59" t="n">
        <v>46211</v>
      </c>
      <c r="C575" s="0" t="n">
        <v>6</v>
      </c>
      <c r="D575" s="0" t="s">
        <v>2125</v>
      </c>
      <c r="E575" s="0" t="n">
        <v>42</v>
      </c>
      <c r="F575" s="0" t="s">
        <v>81</v>
      </c>
      <c r="I575" s="0" t="n">
        <v>4364</v>
      </c>
      <c r="J575" s="0" t="n">
        <v>37359</v>
      </c>
      <c r="K575" s="0" t="n">
        <v>55526</v>
      </c>
      <c r="L575" s="0" t="s">
        <v>2194</v>
      </c>
      <c r="N575" s="0" t="n">
        <v>5</v>
      </c>
      <c r="O575" s="60" t="n">
        <v>30</v>
      </c>
    </row>
    <row r="576" customFormat="false" ht="15" hidden="false" customHeight="false" outlineLevel="0" collapsed="false">
      <c r="A576" s="0" t="n">
        <v>3</v>
      </c>
      <c r="B576" s="59" t="n">
        <v>46211</v>
      </c>
      <c r="C576" s="0" t="n">
        <v>6</v>
      </c>
      <c r="D576" s="0" t="s">
        <v>2125</v>
      </c>
      <c r="E576" s="0" t="n">
        <v>42</v>
      </c>
      <c r="F576" s="0" t="s">
        <v>81</v>
      </c>
      <c r="I576" s="0" t="n">
        <v>4364</v>
      </c>
      <c r="J576" s="0" t="n">
        <v>37361</v>
      </c>
      <c r="K576" s="0" t="n">
        <v>2240817</v>
      </c>
      <c r="L576" s="0" t="s">
        <v>2124</v>
      </c>
      <c r="N576" s="0" t="n">
        <v>40</v>
      </c>
      <c r="O576" s="60" t="n">
        <v>80</v>
      </c>
    </row>
    <row r="577" customFormat="false" ht="15" hidden="false" customHeight="false" outlineLevel="0" collapsed="false">
      <c r="A577" s="0" t="n">
        <v>3</v>
      </c>
      <c r="B577" s="59" t="n">
        <v>46212</v>
      </c>
      <c r="C577" s="0" t="n">
        <v>1</v>
      </c>
      <c r="D577" s="0" t="s">
        <v>2118</v>
      </c>
      <c r="E577" s="0" t="n">
        <v>1722</v>
      </c>
      <c r="F577" s="0" t="s">
        <v>419</v>
      </c>
      <c r="I577" s="0" t="n">
        <v>6756</v>
      </c>
      <c r="J577" s="0" t="n">
        <v>66756</v>
      </c>
      <c r="K577" s="0" t="n">
        <v>40141707161</v>
      </c>
      <c r="L577" s="0" t="s">
        <v>2474</v>
      </c>
      <c r="N577" s="0" t="n">
        <v>3</v>
      </c>
      <c r="O577" s="60" t="n">
        <v>24</v>
      </c>
    </row>
    <row r="578" customFormat="false" ht="15" hidden="false" customHeight="false" outlineLevel="0" collapsed="false">
      <c r="A578" s="0" t="n">
        <v>3</v>
      </c>
      <c r="B578" s="59" t="n">
        <v>46212</v>
      </c>
      <c r="C578" s="0" t="n">
        <v>1</v>
      </c>
      <c r="D578" s="0" t="s">
        <v>2118</v>
      </c>
      <c r="E578" s="0" t="n">
        <v>1722</v>
      </c>
      <c r="F578" s="0" t="s">
        <v>419</v>
      </c>
      <c r="I578" s="0" t="n">
        <v>6756</v>
      </c>
      <c r="J578" s="0" t="n">
        <v>67102</v>
      </c>
      <c r="K578" s="0" t="n">
        <v>40141707178</v>
      </c>
      <c r="L578" s="0" t="s">
        <v>2475</v>
      </c>
      <c r="N578" s="0" t="n">
        <v>25</v>
      </c>
      <c r="O578" s="60" t="n">
        <v>175</v>
      </c>
    </row>
    <row r="579" customFormat="false" ht="15" hidden="false" customHeight="false" outlineLevel="0" collapsed="false">
      <c r="A579" s="0" t="n">
        <v>3</v>
      </c>
      <c r="B579" s="59" t="n">
        <v>46212</v>
      </c>
      <c r="C579" s="0" t="n">
        <v>1</v>
      </c>
      <c r="D579" s="0" t="s">
        <v>2118</v>
      </c>
      <c r="E579" s="0" t="n">
        <v>1457</v>
      </c>
      <c r="F579" s="0" t="s">
        <v>180</v>
      </c>
      <c r="I579" s="0" t="n">
        <v>12783</v>
      </c>
      <c r="J579" s="0" t="n">
        <v>59541</v>
      </c>
      <c r="K579" s="0" t="n">
        <v>7896862000752</v>
      </c>
      <c r="L579" s="0" t="s">
        <v>2130</v>
      </c>
      <c r="N579" s="0" t="n">
        <v>2</v>
      </c>
      <c r="O579" s="60" t="n">
        <v>21.76</v>
      </c>
    </row>
    <row r="580" customFormat="false" ht="15" hidden="false" customHeight="false" outlineLevel="0" collapsed="false">
      <c r="A580" s="0" t="n">
        <v>3</v>
      </c>
      <c r="B580" s="59" t="n">
        <v>46212</v>
      </c>
      <c r="C580" s="0" t="n">
        <v>1</v>
      </c>
      <c r="D580" s="0" t="s">
        <v>2118</v>
      </c>
      <c r="E580" s="0" t="n">
        <v>1457</v>
      </c>
      <c r="F580" s="0" t="s">
        <v>180</v>
      </c>
      <c r="I580" s="0" t="n">
        <v>12783</v>
      </c>
      <c r="J580" s="0" t="n">
        <v>59542</v>
      </c>
      <c r="K580" s="0" t="n">
        <v>7896862000776</v>
      </c>
      <c r="L580" s="0" t="s">
        <v>2476</v>
      </c>
      <c r="N580" s="0" t="n">
        <v>2</v>
      </c>
      <c r="O580" s="60" t="n">
        <v>21.76</v>
      </c>
    </row>
    <row r="581" customFormat="false" ht="15" hidden="false" customHeight="false" outlineLevel="0" collapsed="false">
      <c r="A581" s="0" t="n">
        <v>3</v>
      </c>
      <c r="B581" s="59" t="n">
        <v>46212</v>
      </c>
      <c r="C581" s="0" t="n">
        <v>1</v>
      </c>
      <c r="D581" s="0" t="s">
        <v>2118</v>
      </c>
      <c r="E581" s="0" t="n">
        <v>1457</v>
      </c>
      <c r="F581" s="0" t="s">
        <v>180</v>
      </c>
      <c r="I581" s="0" t="n">
        <v>12783</v>
      </c>
      <c r="J581" s="0" t="n">
        <v>75895</v>
      </c>
      <c r="K581" s="0" t="n">
        <v>2269252</v>
      </c>
      <c r="L581" s="0" t="s">
        <v>2477</v>
      </c>
      <c r="N581" s="0" t="n">
        <v>54</v>
      </c>
      <c r="O581" s="60" t="n">
        <v>130.14</v>
      </c>
    </row>
    <row r="582" customFormat="false" ht="15" hidden="false" customHeight="false" outlineLevel="0" collapsed="false">
      <c r="A582" s="0" t="n">
        <v>3</v>
      </c>
      <c r="B582" s="59" t="n">
        <v>46212</v>
      </c>
      <c r="C582" s="0" t="n">
        <v>1</v>
      </c>
      <c r="D582" s="0" t="s">
        <v>2118</v>
      </c>
      <c r="E582" s="0" t="n">
        <v>1734</v>
      </c>
      <c r="F582" s="0" t="s">
        <v>126</v>
      </c>
      <c r="I582" s="0" t="n">
        <v>255010</v>
      </c>
      <c r="J582" s="0" t="n">
        <v>38215</v>
      </c>
      <c r="K582" s="0" t="n">
        <v>7898055450474</v>
      </c>
      <c r="L582" s="0" t="s">
        <v>2478</v>
      </c>
      <c r="N582" s="0" t="n">
        <v>20</v>
      </c>
      <c r="O582" s="60" t="n">
        <v>146.86</v>
      </c>
    </row>
    <row r="583" customFormat="false" ht="15" hidden="false" customHeight="false" outlineLevel="0" collapsed="false">
      <c r="A583" s="0" t="n">
        <v>3</v>
      </c>
      <c r="B583" s="59" t="n">
        <v>46212</v>
      </c>
      <c r="C583" s="0" t="n">
        <v>1</v>
      </c>
      <c r="D583" s="0" t="s">
        <v>2118</v>
      </c>
      <c r="E583" s="0" t="n">
        <v>1734</v>
      </c>
      <c r="F583" s="0" t="s">
        <v>126</v>
      </c>
      <c r="I583" s="0" t="n">
        <v>255010</v>
      </c>
      <c r="J583" s="0" t="n">
        <v>38222</v>
      </c>
      <c r="K583" s="0" t="n">
        <v>7898055450863</v>
      </c>
      <c r="L583" s="0" t="s">
        <v>2479</v>
      </c>
      <c r="N583" s="0" t="n">
        <v>20</v>
      </c>
      <c r="O583" s="60" t="n">
        <v>146.86</v>
      </c>
    </row>
    <row r="584" customFormat="false" ht="15" hidden="false" customHeight="false" outlineLevel="0" collapsed="false">
      <c r="A584" s="0" t="n">
        <v>3</v>
      </c>
      <c r="B584" s="59" t="n">
        <v>46212</v>
      </c>
      <c r="C584" s="0" t="n">
        <v>1</v>
      </c>
      <c r="D584" s="0" t="s">
        <v>2118</v>
      </c>
      <c r="E584" s="0" t="n">
        <v>1734</v>
      </c>
      <c r="F584" s="0" t="s">
        <v>126</v>
      </c>
      <c r="I584" s="0" t="n">
        <v>255010</v>
      </c>
      <c r="J584" s="0" t="n">
        <v>38782</v>
      </c>
      <c r="K584" s="0" t="n">
        <v>7898055450306</v>
      </c>
      <c r="L584" s="0" t="s">
        <v>2480</v>
      </c>
      <c r="N584" s="0" t="n">
        <v>20</v>
      </c>
      <c r="O584" s="60" t="n">
        <v>52.45</v>
      </c>
    </row>
    <row r="585" customFormat="false" ht="15" hidden="false" customHeight="false" outlineLevel="0" collapsed="false">
      <c r="A585" s="0" t="n">
        <v>3</v>
      </c>
      <c r="B585" s="59" t="n">
        <v>46212</v>
      </c>
      <c r="C585" s="0" t="n">
        <v>1</v>
      </c>
      <c r="D585" s="0" t="s">
        <v>2118</v>
      </c>
      <c r="E585" s="0" t="n">
        <v>1734</v>
      </c>
      <c r="F585" s="0" t="s">
        <v>126</v>
      </c>
      <c r="I585" s="0" t="n">
        <v>255010</v>
      </c>
      <c r="J585" s="0" t="n">
        <v>38785</v>
      </c>
      <c r="K585" s="0" t="n">
        <v>7898055450344</v>
      </c>
      <c r="L585" s="0" t="s">
        <v>2481</v>
      </c>
      <c r="N585" s="0" t="n">
        <v>20</v>
      </c>
      <c r="O585" s="60" t="n">
        <v>52.45</v>
      </c>
    </row>
    <row r="586" customFormat="false" ht="15" hidden="false" customHeight="false" outlineLevel="0" collapsed="false">
      <c r="A586" s="0" t="n">
        <v>3</v>
      </c>
      <c r="B586" s="59" t="n">
        <v>46212</v>
      </c>
      <c r="C586" s="0" t="n">
        <v>1</v>
      </c>
      <c r="D586" s="0" t="s">
        <v>2118</v>
      </c>
      <c r="E586" s="0" t="n">
        <v>1734</v>
      </c>
      <c r="F586" s="0" t="s">
        <v>126</v>
      </c>
      <c r="I586" s="0" t="n">
        <v>255010</v>
      </c>
      <c r="J586" s="0" t="n">
        <v>39028</v>
      </c>
      <c r="K586" s="0" t="n">
        <v>7898055450368</v>
      </c>
      <c r="L586" s="0" t="s">
        <v>2482</v>
      </c>
      <c r="N586" s="0" t="n">
        <v>20</v>
      </c>
      <c r="O586" s="60" t="n">
        <v>102.8</v>
      </c>
    </row>
    <row r="587" customFormat="false" ht="15" hidden="false" customHeight="false" outlineLevel="0" collapsed="false">
      <c r="A587" s="0" t="n">
        <v>3</v>
      </c>
      <c r="B587" s="59" t="n">
        <v>46212</v>
      </c>
      <c r="C587" s="0" t="n">
        <v>1</v>
      </c>
      <c r="D587" s="0" t="s">
        <v>2118</v>
      </c>
      <c r="E587" s="0" t="n">
        <v>1734</v>
      </c>
      <c r="F587" s="0" t="s">
        <v>126</v>
      </c>
      <c r="I587" s="0" t="n">
        <v>255010</v>
      </c>
      <c r="J587" s="0" t="n">
        <v>45875</v>
      </c>
      <c r="K587" s="0" t="n">
        <v>7898055450214</v>
      </c>
      <c r="L587" s="0" t="s">
        <v>2483</v>
      </c>
      <c r="N587" s="0" t="n">
        <v>20</v>
      </c>
      <c r="O587" s="60" t="n">
        <v>52.45</v>
      </c>
    </row>
    <row r="588" customFormat="false" ht="15" hidden="false" customHeight="false" outlineLevel="0" collapsed="false">
      <c r="A588" s="0" t="n">
        <v>3</v>
      </c>
      <c r="B588" s="59" t="n">
        <v>46212</v>
      </c>
      <c r="C588" s="0" t="n">
        <v>1</v>
      </c>
      <c r="D588" s="0" t="s">
        <v>2118</v>
      </c>
      <c r="E588" s="0" t="n">
        <v>1642</v>
      </c>
      <c r="F588" s="0" t="s">
        <v>276</v>
      </c>
      <c r="I588" s="0" t="n">
        <v>1031024</v>
      </c>
      <c r="J588" s="0" t="n">
        <v>105780</v>
      </c>
      <c r="K588" s="0" t="n">
        <v>7896289210017</v>
      </c>
      <c r="L588" s="0" t="s">
        <v>2186</v>
      </c>
      <c r="N588" s="0" t="n">
        <v>10</v>
      </c>
      <c r="O588" s="60" t="n">
        <v>106.7</v>
      </c>
    </row>
    <row r="589" customFormat="false" ht="15" hidden="false" customHeight="false" outlineLevel="0" collapsed="false">
      <c r="A589" s="0" t="n">
        <v>3</v>
      </c>
      <c r="B589" s="59" t="n">
        <v>46212</v>
      </c>
      <c r="C589" s="0" t="n">
        <v>1</v>
      </c>
      <c r="D589" s="0" t="s">
        <v>2118</v>
      </c>
      <c r="E589" s="0" t="n">
        <v>1642</v>
      </c>
      <c r="F589" s="0" t="s">
        <v>276</v>
      </c>
      <c r="I589" s="0" t="n">
        <v>1031024</v>
      </c>
      <c r="J589" s="0" t="n">
        <v>105782</v>
      </c>
      <c r="K589" s="0" t="n">
        <v>7896289210352</v>
      </c>
      <c r="L589" s="0" t="s">
        <v>2187</v>
      </c>
      <c r="N589" s="0" t="n">
        <v>6</v>
      </c>
      <c r="O589" s="60" t="n">
        <v>41.16</v>
      </c>
    </row>
    <row r="590" customFormat="false" ht="15" hidden="false" customHeight="false" outlineLevel="0" collapsed="false">
      <c r="A590" s="0" t="n">
        <v>3</v>
      </c>
      <c r="B590" s="59" t="n">
        <v>46212</v>
      </c>
      <c r="C590" s="0" t="n">
        <v>1</v>
      </c>
      <c r="D590" s="0" t="s">
        <v>2118</v>
      </c>
      <c r="E590" s="0" t="n">
        <v>1642</v>
      </c>
      <c r="F590" s="0" t="s">
        <v>276</v>
      </c>
      <c r="I590" s="0" t="n">
        <v>1031024</v>
      </c>
      <c r="J590" s="0" t="n">
        <v>106079</v>
      </c>
      <c r="K590" s="0" t="n">
        <v>7896289210130</v>
      </c>
      <c r="L590" s="0" t="s">
        <v>2188</v>
      </c>
      <c r="N590" s="0" t="n">
        <v>8</v>
      </c>
      <c r="O590" s="60" t="n">
        <v>109.6</v>
      </c>
    </row>
    <row r="591" customFormat="false" ht="15" hidden="false" customHeight="false" outlineLevel="0" collapsed="false">
      <c r="A591" s="0" t="n">
        <v>3</v>
      </c>
      <c r="B591" s="59" t="n">
        <v>46212</v>
      </c>
      <c r="C591" s="0" t="n">
        <v>1</v>
      </c>
      <c r="D591" s="0" t="s">
        <v>2118</v>
      </c>
      <c r="E591" s="0" t="n">
        <v>1642</v>
      </c>
      <c r="F591" s="0" t="s">
        <v>276</v>
      </c>
      <c r="I591" s="0" t="n">
        <v>1031024</v>
      </c>
      <c r="J591" s="0" t="n">
        <v>106274</v>
      </c>
      <c r="K591" s="0" t="n">
        <v>7896289210086</v>
      </c>
      <c r="L591" s="0" t="s">
        <v>2189</v>
      </c>
      <c r="N591" s="0" t="n">
        <v>8</v>
      </c>
      <c r="O591" s="60" t="n">
        <v>100.48</v>
      </c>
    </row>
    <row r="592" customFormat="false" ht="15" hidden="false" customHeight="false" outlineLevel="0" collapsed="false">
      <c r="A592" s="0" t="n">
        <v>3</v>
      </c>
      <c r="B592" s="59" t="n">
        <v>46212</v>
      </c>
      <c r="C592" s="0" t="n">
        <v>1</v>
      </c>
      <c r="D592" s="0" t="s">
        <v>2118</v>
      </c>
      <c r="E592" s="0" t="n">
        <v>1642</v>
      </c>
      <c r="F592" s="0" t="s">
        <v>276</v>
      </c>
      <c r="I592" s="0" t="n">
        <v>1031024</v>
      </c>
      <c r="J592" s="0" t="n">
        <v>106280</v>
      </c>
      <c r="K592" s="0" t="n">
        <v>7896289210062</v>
      </c>
      <c r="L592" s="0" t="s">
        <v>2190</v>
      </c>
      <c r="N592" s="0" t="n">
        <v>4</v>
      </c>
      <c r="O592" s="60" t="n">
        <v>50.24</v>
      </c>
    </row>
    <row r="593" customFormat="false" ht="15" hidden="false" customHeight="false" outlineLevel="0" collapsed="false">
      <c r="A593" s="0" t="n">
        <v>3</v>
      </c>
      <c r="B593" s="59" t="n">
        <v>46212</v>
      </c>
      <c r="C593" s="0" t="n">
        <v>1</v>
      </c>
      <c r="D593" s="0" t="s">
        <v>2118</v>
      </c>
      <c r="E593" s="0" t="n">
        <v>1642</v>
      </c>
      <c r="F593" s="0" t="s">
        <v>276</v>
      </c>
      <c r="I593" s="0" t="n">
        <v>1031024</v>
      </c>
      <c r="J593" s="0" t="n">
        <v>106407</v>
      </c>
      <c r="K593" s="0" t="n">
        <v>7896289210031</v>
      </c>
      <c r="L593" s="0" t="s">
        <v>2191</v>
      </c>
      <c r="N593" s="0" t="n">
        <v>8</v>
      </c>
      <c r="O593" s="60" t="n">
        <v>93.12</v>
      </c>
    </row>
    <row r="594" customFormat="false" ht="15" hidden="false" customHeight="false" outlineLevel="0" collapsed="false">
      <c r="A594" s="0" t="n">
        <v>3</v>
      </c>
      <c r="B594" s="59" t="n">
        <v>46212</v>
      </c>
      <c r="C594" s="0" t="n">
        <v>6</v>
      </c>
      <c r="D594" s="0" t="s">
        <v>2125</v>
      </c>
      <c r="E594" s="0" t="n">
        <v>42</v>
      </c>
      <c r="F594" s="0" t="s">
        <v>81</v>
      </c>
      <c r="I594" s="0" t="n">
        <v>4369</v>
      </c>
      <c r="J594" s="0" t="n">
        <v>109791</v>
      </c>
      <c r="K594" s="0" t="n">
        <v>9667</v>
      </c>
      <c r="L594" s="0" t="s">
        <v>2123</v>
      </c>
      <c r="N594" s="0" t="n">
        <v>10</v>
      </c>
      <c r="O594" s="60" t="n">
        <v>25</v>
      </c>
    </row>
    <row r="595" customFormat="false" ht="15" hidden="false" customHeight="false" outlineLevel="0" collapsed="false">
      <c r="A595" s="0" t="n">
        <v>3</v>
      </c>
      <c r="B595" s="59" t="n">
        <v>46212</v>
      </c>
      <c r="C595" s="0" t="n">
        <v>6</v>
      </c>
      <c r="D595" s="0" t="s">
        <v>2125</v>
      </c>
      <c r="E595" s="0" t="n">
        <v>42</v>
      </c>
      <c r="F595" s="0" t="s">
        <v>81</v>
      </c>
      <c r="I595" s="0" t="n">
        <v>4369</v>
      </c>
      <c r="J595" s="0" t="n">
        <v>37361</v>
      </c>
      <c r="K595" s="0" t="n">
        <v>2240817</v>
      </c>
      <c r="L595" s="0" t="s">
        <v>2124</v>
      </c>
      <c r="N595" s="0" t="n">
        <v>20</v>
      </c>
      <c r="O595" s="60" t="n">
        <v>40</v>
      </c>
    </row>
    <row r="596" customFormat="false" ht="15" hidden="false" customHeight="false" outlineLevel="0" collapsed="false">
      <c r="A596" s="0" t="n">
        <v>3</v>
      </c>
      <c r="B596" s="59" t="n">
        <v>46212</v>
      </c>
      <c r="C596" s="0" t="n">
        <v>11</v>
      </c>
      <c r="D596" s="0" t="s">
        <v>2126</v>
      </c>
      <c r="E596" s="0" t="n">
        <v>1676</v>
      </c>
      <c r="F596" s="0" t="s">
        <v>255</v>
      </c>
      <c r="I596" s="0" t="n">
        <v>10718</v>
      </c>
      <c r="J596" s="0" t="n">
        <v>11842</v>
      </c>
      <c r="K596" s="0" t="n">
        <v>7896025800052</v>
      </c>
      <c r="L596" s="0" t="s">
        <v>2484</v>
      </c>
      <c r="N596" s="0" t="n">
        <v>12</v>
      </c>
      <c r="O596" s="60" t="n">
        <v>46.8</v>
      </c>
    </row>
    <row r="597" customFormat="false" ht="15" hidden="false" customHeight="false" outlineLevel="0" collapsed="false">
      <c r="A597" s="0" t="n">
        <v>3</v>
      </c>
      <c r="B597" s="59" t="n">
        <v>46212</v>
      </c>
      <c r="C597" s="0" t="n">
        <v>11</v>
      </c>
      <c r="D597" s="0" t="s">
        <v>2126</v>
      </c>
      <c r="E597" s="0" t="n">
        <v>1676</v>
      </c>
      <c r="F597" s="0" t="s">
        <v>255</v>
      </c>
      <c r="I597" s="0" t="n">
        <v>10718</v>
      </c>
      <c r="J597" s="0" t="n">
        <v>13343</v>
      </c>
      <c r="K597" s="0" t="n">
        <v>7896327501060</v>
      </c>
      <c r="L597" s="0" t="s">
        <v>2485</v>
      </c>
      <c r="N597" s="0" t="n">
        <v>20</v>
      </c>
      <c r="O597" s="60" t="n">
        <v>128</v>
      </c>
    </row>
    <row r="598" customFormat="false" ht="15" hidden="false" customHeight="false" outlineLevel="0" collapsed="false">
      <c r="A598" s="0" t="n">
        <v>3</v>
      </c>
      <c r="B598" s="59" t="n">
        <v>46212</v>
      </c>
      <c r="C598" s="0" t="n">
        <v>11</v>
      </c>
      <c r="D598" s="0" t="s">
        <v>2126</v>
      </c>
      <c r="E598" s="0" t="n">
        <v>1676</v>
      </c>
      <c r="F598" s="0" t="s">
        <v>255</v>
      </c>
      <c r="I598" s="0" t="n">
        <v>10718</v>
      </c>
      <c r="J598" s="0" t="n">
        <v>14634</v>
      </c>
      <c r="K598" s="0" t="n">
        <v>7891032015932</v>
      </c>
      <c r="L598" s="0" t="s">
        <v>2486</v>
      </c>
      <c r="N598" s="0" t="n">
        <v>12</v>
      </c>
      <c r="O598" s="60" t="n">
        <v>66.24</v>
      </c>
    </row>
    <row r="599" customFormat="false" ht="15" hidden="false" customHeight="false" outlineLevel="0" collapsed="false">
      <c r="A599" s="0" t="n">
        <v>3</v>
      </c>
      <c r="B599" s="59" t="n">
        <v>46212</v>
      </c>
      <c r="C599" s="0" t="n">
        <v>11</v>
      </c>
      <c r="D599" s="0" t="s">
        <v>2126</v>
      </c>
      <c r="E599" s="0" t="n">
        <v>1676</v>
      </c>
      <c r="F599" s="0" t="s">
        <v>255</v>
      </c>
      <c r="I599" s="0" t="n">
        <v>10718</v>
      </c>
      <c r="J599" s="0" t="n">
        <v>15607</v>
      </c>
      <c r="K599" s="0" t="n">
        <v>7891340303714</v>
      </c>
      <c r="L599" s="0" t="s">
        <v>2487</v>
      </c>
      <c r="N599" s="0" t="n">
        <v>20</v>
      </c>
      <c r="O599" s="60" t="n">
        <v>51</v>
      </c>
    </row>
    <row r="600" customFormat="false" ht="15" hidden="false" customHeight="false" outlineLevel="0" collapsed="false">
      <c r="A600" s="0" t="n">
        <v>3</v>
      </c>
      <c r="B600" s="59" t="n">
        <v>46212</v>
      </c>
      <c r="C600" s="0" t="n">
        <v>11</v>
      </c>
      <c r="D600" s="0" t="s">
        <v>2126</v>
      </c>
      <c r="E600" s="0" t="n">
        <v>1676</v>
      </c>
      <c r="F600" s="0" t="s">
        <v>255</v>
      </c>
      <c r="I600" s="0" t="n">
        <v>10718</v>
      </c>
      <c r="J600" s="0" t="n">
        <v>15608</v>
      </c>
      <c r="K600" s="0" t="n">
        <v>7891340303233</v>
      </c>
      <c r="L600" s="0" t="s">
        <v>2488</v>
      </c>
      <c r="N600" s="0" t="n">
        <v>20</v>
      </c>
      <c r="O600" s="60" t="n">
        <v>51</v>
      </c>
    </row>
    <row r="601" customFormat="false" ht="15" hidden="false" customHeight="false" outlineLevel="0" collapsed="false">
      <c r="A601" s="0" t="n">
        <v>3</v>
      </c>
      <c r="B601" s="59" t="n">
        <v>46212</v>
      </c>
      <c r="C601" s="0" t="n">
        <v>11</v>
      </c>
      <c r="D601" s="0" t="s">
        <v>2126</v>
      </c>
      <c r="E601" s="0" t="n">
        <v>1676</v>
      </c>
      <c r="F601" s="0" t="s">
        <v>255</v>
      </c>
      <c r="I601" s="0" t="n">
        <v>10718</v>
      </c>
      <c r="J601" s="0" t="n">
        <v>15650</v>
      </c>
      <c r="K601" s="0" t="n">
        <v>7891340303615</v>
      </c>
      <c r="L601" s="0" t="s">
        <v>2489</v>
      </c>
      <c r="N601" s="0" t="n">
        <v>20</v>
      </c>
      <c r="O601" s="60" t="n">
        <v>51</v>
      </c>
    </row>
    <row r="602" customFormat="false" ht="15" hidden="false" customHeight="false" outlineLevel="0" collapsed="false">
      <c r="A602" s="0" t="n">
        <v>3</v>
      </c>
      <c r="B602" s="59" t="n">
        <v>46212</v>
      </c>
      <c r="C602" s="0" t="n">
        <v>11</v>
      </c>
      <c r="D602" s="0" t="s">
        <v>2126</v>
      </c>
      <c r="E602" s="0" t="n">
        <v>1676</v>
      </c>
      <c r="F602" s="0" t="s">
        <v>255</v>
      </c>
      <c r="I602" s="0" t="n">
        <v>10718</v>
      </c>
      <c r="J602" s="0" t="n">
        <v>15784</v>
      </c>
      <c r="K602" s="0" t="n">
        <v>7891032015994</v>
      </c>
      <c r="L602" s="0" t="s">
        <v>2490</v>
      </c>
      <c r="N602" s="0" t="n">
        <v>24</v>
      </c>
      <c r="O602" s="60" t="n">
        <v>76.8</v>
      </c>
    </row>
    <row r="603" customFormat="false" ht="15" hidden="false" customHeight="false" outlineLevel="0" collapsed="false">
      <c r="A603" s="0" t="n">
        <v>3</v>
      </c>
      <c r="B603" s="59" t="n">
        <v>46212</v>
      </c>
      <c r="C603" s="0" t="n">
        <v>11</v>
      </c>
      <c r="D603" s="0" t="s">
        <v>2126</v>
      </c>
      <c r="E603" s="0" t="n">
        <v>1676</v>
      </c>
      <c r="F603" s="0" t="s">
        <v>255</v>
      </c>
      <c r="I603" s="0" t="n">
        <v>10718</v>
      </c>
      <c r="J603" s="0" t="n">
        <v>16280</v>
      </c>
      <c r="K603" s="0" t="n">
        <v>7898932838036</v>
      </c>
      <c r="L603" s="0" t="s">
        <v>2491</v>
      </c>
      <c r="N603" s="0" t="n">
        <v>10</v>
      </c>
      <c r="O603" s="60" t="n">
        <v>25.55</v>
      </c>
    </row>
    <row r="604" customFormat="false" ht="15" hidden="false" customHeight="false" outlineLevel="0" collapsed="false">
      <c r="A604" s="0" t="n">
        <v>3</v>
      </c>
      <c r="B604" s="59" t="n">
        <v>46212</v>
      </c>
      <c r="C604" s="0" t="n">
        <v>11</v>
      </c>
      <c r="D604" s="0" t="s">
        <v>2126</v>
      </c>
      <c r="E604" s="0" t="n">
        <v>1676</v>
      </c>
      <c r="F604" s="0" t="s">
        <v>255</v>
      </c>
      <c r="I604" s="0" t="n">
        <v>10718</v>
      </c>
      <c r="J604" s="0" t="n">
        <v>17770</v>
      </c>
      <c r="K604" s="0" t="n">
        <v>7896327511984</v>
      </c>
      <c r="L604" s="0" t="s">
        <v>2492</v>
      </c>
      <c r="N604" s="0" t="n">
        <v>12</v>
      </c>
      <c r="O604" s="60" t="n">
        <v>54.25</v>
      </c>
    </row>
    <row r="605" customFormat="false" ht="15" hidden="false" customHeight="false" outlineLevel="0" collapsed="false">
      <c r="A605" s="0" t="n">
        <v>3</v>
      </c>
      <c r="B605" s="59" t="n">
        <v>46212</v>
      </c>
      <c r="C605" s="0" t="n">
        <v>11</v>
      </c>
      <c r="D605" s="0" t="s">
        <v>2126</v>
      </c>
      <c r="E605" s="0" t="n">
        <v>1676</v>
      </c>
      <c r="F605" s="0" t="s">
        <v>255</v>
      </c>
      <c r="I605" s="0" t="n">
        <v>10718</v>
      </c>
      <c r="J605" s="0" t="n">
        <v>17863</v>
      </c>
      <c r="K605" s="0" t="n">
        <v>7891340303332</v>
      </c>
      <c r="L605" s="0" t="s">
        <v>2493</v>
      </c>
      <c r="N605" s="0" t="n">
        <v>20</v>
      </c>
      <c r="O605" s="60" t="n">
        <v>51</v>
      </c>
    </row>
    <row r="606" customFormat="false" ht="15" hidden="false" customHeight="false" outlineLevel="0" collapsed="false">
      <c r="A606" s="0" t="n">
        <v>3</v>
      </c>
      <c r="B606" s="59" t="n">
        <v>46212</v>
      </c>
      <c r="C606" s="0" t="n">
        <v>11</v>
      </c>
      <c r="D606" s="0" t="s">
        <v>2126</v>
      </c>
      <c r="E606" s="0" t="n">
        <v>1676</v>
      </c>
      <c r="F606" s="0" t="s">
        <v>255</v>
      </c>
      <c r="I606" s="0" t="n">
        <v>10718</v>
      </c>
      <c r="J606" s="0" t="n">
        <v>27803</v>
      </c>
      <c r="K606" s="0" t="n">
        <v>7898916462097</v>
      </c>
      <c r="L606" s="0" t="s">
        <v>2494</v>
      </c>
      <c r="N606" s="0" t="n">
        <v>24</v>
      </c>
      <c r="O606" s="60" t="n">
        <v>62</v>
      </c>
    </row>
    <row r="607" customFormat="false" ht="15" hidden="false" customHeight="false" outlineLevel="0" collapsed="false">
      <c r="A607" s="0" t="n">
        <v>3</v>
      </c>
      <c r="B607" s="59" t="n">
        <v>46212</v>
      </c>
      <c r="C607" s="0" t="n">
        <v>11</v>
      </c>
      <c r="D607" s="0" t="s">
        <v>2126</v>
      </c>
      <c r="E607" s="0" t="n">
        <v>1676</v>
      </c>
      <c r="F607" s="0" t="s">
        <v>255</v>
      </c>
      <c r="I607" s="0" t="n">
        <v>10718</v>
      </c>
      <c r="J607" s="0" t="n">
        <v>29561</v>
      </c>
      <c r="K607" s="0" t="n">
        <v>7891032015765</v>
      </c>
      <c r="L607" s="0" t="s">
        <v>2495</v>
      </c>
      <c r="N607" s="0" t="n">
        <v>48</v>
      </c>
      <c r="O607" s="60" t="n">
        <v>71.8</v>
      </c>
    </row>
    <row r="608" customFormat="false" ht="15" hidden="false" customHeight="false" outlineLevel="0" collapsed="false">
      <c r="A608" s="0" t="n">
        <v>3</v>
      </c>
      <c r="B608" s="59" t="n">
        <v>46212</v>
      </c>
      <c r="C608" s="0" t="n">
        <v>11</v>
      </c>
      <c r="D608" s="0" t="s">
        <v>2126</v>
      </c>
      <c r="E608" s="0" t="n">
        <v>1676</v>
      </c>
      <c r="F608" s="0" t="s">
        <v>255</v>
      </c>
      <c r="I608" s="0" t="n">
        <v>10718</v>
      </c>
      <c r="J608" s="0" t="n">
        <v>37303</v>
      </c>
      <c r="K608" s="0" t="n">
        <v>7891340365392</v>
      </c>
      <c r="L608" s="0" t="s">
        <v>2496</v>
      </c>
      <c r="N608" s="0" t="n">
        <v>20</v>
      </c>
      <c r="O608" s="60" t="n">
        <v>51</v>
      </c>
    </row>
    <row r="609" customFormat="false" ht="15" hidden="false" customHeight="false" outlineLevel="0" collapsed="false">
      <c r="A609" s="0" t="n">
        <v>3</v>
      </c>
      <c r="B609" s="59" t="n">
        <v>46212</v>
      </c>
      <c r="C609" s="0" t="n">
        <v>11</v>
      </c>
      <c r="D609" s="0" t="s">
        <v>2126</v>
      </c>
      <c r="E609" s="0" t="n">
        <v>1676</v>
      </c>
      <c r="F609" s="0" t="s">
        <v>255</v>
      </c>
      <c r="I609" s="0" t="n">
        <v>10718</v>
      </c>
      <c r="J609" s="0" t="n">
        <v>37519</v>
      </c>
      <c r="K609" s="0" t="n">
        <v>7896025802360</v>
      </c>
      <c r="L609" s="0" t="s">
        <v>2497</v>
      </c>
      <c r="N609" s="0" t="n">
        <v>12</v>
      </c>
      <c r="O609" s="60" t="n">
        <v>85.08</v>
      </c>
    </row>
    <row r="610" customFormat="false" ht="15" hidden="false" customHeight="false" outlineLevel="0" collapsed="false">
      <c r="A610" s="0" t="n">
        <v>3</v>
      </c>
      <c r="B610" s="59" t="n">
        <v>46212</v>
      </c>
      <c r="C610" s="0" t="n">
        <v>11</v>
      </c>
      <c r="D610" s="0" t="s">
        <v>2126</v>
      </c>
      <c r="E610" s="0" t="n">
        <v>1676</v>
      </c>
      <c r="F610" s="0" t="s">
        <v>255</v>
      </c>
      <c r="I610" s="0" t="n">
        <v>10718</v>
      </c>
      <c r="J610" s="0" t="n">
        <v>44719</v>
      </c>
      <c r="K610" s="0" t="n">
        <v>7896552906647</v>
      </c>
      <c r="L610" s="0" t="s">
        <v>2498</v>
      </c>
      <c r="N610" s="0" t="n">
        <v>3</v>
      </c>
      <c r="O610" s="60" t="n">
        <v>41.1</v>
      </c>
    </row>
    <row r="611" customFormat="false" ht="15" hidden="false" customHeight="false" outlineLevel="0" collapsed="false">
      <c r="A611" s="0" t="n">
        <v>3</v>
      </c>
      <c r="B611" s="59" t="n">
        <v>46212</v>
      </c>
      <c r="C611" s="0" t="n">
        <v>11</v>
      </c>
      <c r="D611" s="0" t="s">
        <v>2126</v>
      </c>
      <c r="E611" s="0" t="n">
        <v>1676</v>
      </c>
      <c r="F611" s="0" t="s">
        <v>255</v>
      </c>
      <c r="I611" s="0" t="n">
        <v>10718</v>
      </c>
      <c r="J611" s="0" t="n">
        <v>44936</v>
      </c>
      <c r="K611" s="0" t="n">
        <v>7891340365477</v>
      </c>
      <c r="L611" s="0" t="s">
        <v>2499</v>
      </c>
      <c r="N611" s="0" t="n">
        <v>30</v>
      </c>
      <c r="O611" s="60" t="n">
        <v>56</v>
      </c>
    </row>
    <row r="612" customFormat="false" ht="15" hidden="false" customHeight="false" outlineLevel="0" collapsed="false">
      <c r="A612" s="0" t="n">
        <v>3</v>
      </c>
      <c r="B612" s="59" t="n">
        <v>46212</v>
      </c>
      <c r="C612" s="0" t="n">
        <v>11</v>
      </c>
      <c r="D612" s="0" t="s">
        <v>2126</v>
      </c>
      <c r="E612" s="0" t="n">
        <v>1676</v>
      </c>
      <c r="F612" s="0" t="s">
        <v>255</v>
      </c>
      <c r="I612" s="0" t="n">
        <v>10718</v>
      </c>
      <c r="J612" s="0" t="n">
        <v>44934</v>
      </c>
      <c r="K612" s="0" t="n">
        <v>7891340365262</v>
      </c>
      <c r="L612" s="0" t="s">
        <v>2500</v>
      </c>
      <c r="N612" s="0" t="n">
        <v>30</v>
      </c>
      <c r="O612" s="60" t="n">
        <v>53</v>
      </c>
    </row>
    <row r="613" customFormat="false" ht="15" hidden="false" customHeight="false" outlineLevel="0" collapsed="false">
      <c r="A613" s="0" t="n">
        <v>3</v>
      </c>
      <c r="B613" s="59" t="n">
        <v>46212</v>
      </c>
      <c r="C613" s="0" t="n">
        <v>11</v>
      </c>
      <c r="D613" s="0" t="s">
        <v>2126</v>
      </c>
      <c r="E613" s="0" t="n">
        <v>1676</v>
      </c>
      <c r="F613" s="0" t="s">
        <v>255</v>
      </c>
      <c r="I613" s="0" t="n">
        <v>10718</v>
      </c>
      <c r="J613" s="0" t="n">
        <v>44937</v>
      </c>
      <c r="K613" s="0" t="n">
        <v>7891340365460</v>
      </c>
      <c r="L613" s="0" t="s">
        <v>2501</v>
      </c>
      <c r="N613" s="0" t="n">
        <v>30</v>
      </c>
      <c r="O613" s="60" t="n">
        <v>56</v>
      </c>
    </row>
    <row r="614" customFormat="false" ht="15" hidden="false" customHeight="false" outlineLevel="0" collapsed="false">
      <c r="A614" s="0" t="n">
        <v>3</v>
      </c>
      <c r="B614" s="59" t="n">
        <v>46212</v>
      </c>
      <c r="C614" s="0" t="n">
        <v>11</v>
      </c>
      <c r="D614" s="0" t="s">
        <v>2126</v>
      </c>
      <c r="E614" s="0" t="n">
        <v>1676</v>
      </c>
      <c r="F614" s="0" t="s">
        <v>255</v>
      </c>
      <c r="I614" s="0" t="n">
        <v>10718</v>
      </c>
      <c r="J614" s="0" t="n">
        <v>49142</v>
      </c>
      <c r="K614" s="0" t="n">
        <v>7891340365576</v>
      </c>
      <c r="L614" s="0" t="s">
        <v>2502</v>
      </c>
      <c r="N614" s="0" t="n">
        <v>20</v>
      </c>
      <c r="O614" s="60" t="n">
        <v>51</v>
      </c>
    </row>
    <row r="615" customFormat="false" ht="15" hidden="false" customHeight="false" outlineLevel="0" collapsed="false">
      <c r="A615" s="0" t="n">
        <v>3</v>
      </c>
      <c r="B615" s="59" t="n">
        <v>46212</v>
      </c>
      <c r="C615" s="0" t="n">
        <v>11</v>
      </c>
      <c r="D615" s="0" t="s">
        <v>2126</v>
      </c>
      <c r="E615" s="0" t="n">
        <v>1676</v>
      </c>
      <c r="F615" s="0" t="s">
        <v>255</v>
      </c>
      <c r="I615" s="0" t="n">
        <v>10718</v>
      </c>
      <c r="J615" s="0" t="n">
        <v>50541</v>
      </c>
      <c r="K615" s="0" t="n">
        <v>7891340365279</v>
      </c>
      <c r="L615" s="0" t="s">
        <v>2503</v>
      </c>
      <c r="N615" s="0" t="n">
        <v>30</v>
      </c>
      <c r="O615" s="60" t="n">
        <v>53</v>
      </c>
    </row>
    <row r="616" customFormat="false" ht="15" hidden="false" customHeight="false" outlineLevel="0" collapsed="false">
      <c r="A616" s="0" t="n">
        <v>3</v>
      </c>
      <c r="B616" s="59" t="n">
        <v>46212</v>
      </c>
      <c r="C616" s="0" t="n">
        <v>11</v>
      </c>
      <c r="D616" s="0" t="s">
        <v>2126</v>
      </c>
      <c r="E616" s="0" t="n">
        <v>1676</v>
      </c>
      <c r="F616" s="0" t="s">
        <v>255</v>
      </c>
      <c r="I616" s="0" t="n">
        <v>10718</v>
      </c>
      <c r="J616" s="0" t="n">
        <v>54413</v>
      </c>
      <c r="K616" s="0" t="n">
        <v>7891340365491</v>
      </c>
      <c r="L616" s="0" t="s">
        <v>2504</v>
      </c>
      <c r="N616" s="0" t="n">
        <v>30</v>
      </c>
      <c r="O616" s="60" t="n">
        <v>56</v>
      </c>
    </row>
    <row r="617" customFormat="false" ht="15" hidden="false" customHeight="false" outlineLevel="0" collapsed="false">
      <c r="A617" s="0" t="n">
        <v>3</v>
      </c>
      <c r="B617" s="59" t="n">
        <v>46212</v>
      </c>
      <c r="C617" s="0" t="n">
        <v>11</v>
      </c>
      <c r="D617" s="0" t="s">
        <v>2126</v>
      </c>
      <c r="E617" s="0" t="n">
        <v>1676</v>
      </c>
      <c r="F617" s="0" t="s">
        <v>255</v>
      </c>
      <c r="I617" s="0" t="n">
        <v>10718</v>
      </c>
      <c r="J617" s="0" t="n">
        <v>75055</v>
      </c>
      <c r="K617" s="0" t="n">
        <v>7896025805811</v>
      </c>
      <c r="L617" s="0" t="s">
        <v>2505</v>
      </c>
      <c r="N617" s="0" t="n">
        <v>6</v>
      </c>
      <c r="O617" s="60" t="n">
        <v>39.54</v>
      </c>
    </row>
    <row r="618" customFormat="false" ht="15" hidden="false" customHeight="false" outlineLevel="0" collapsed="false">
      <c r="A618" s="0" t="n">
        <v>3</v>
      </c>
      <c r="B618" s="59" t="n">
        <v>46212</v>
      </c>
      <c r="C618" s="0" t="n">
        <v>11</v>
      </c>
      <c r="D618" s="0" t="s">
        <v>2126</v>
      </c>
      <c r="E618" s="0" t="n">
        <v>1676</v>
      </c>
      <c r="F618" s="0" t="s">
        <v>255</v>
      </c>
      <c r="I618" s="0" t="n">
        <v>10718</v>
      </c>
      <c r="J618" s="0" t="n">
        <v>76653</v>
      </c>
      <c r="K618" s="0" t="n">
        <v>7896552907484</v>
      </c>
      <c r="L618" s="0" t="s">
        <v>2506</v>
      </c>
      <c r="N618" s="0" t="n">
        <v>12</v>
      </c>
      <c r="O618" s="60" t="n">
        <v>131.88</v>
      </c>
    </row>
    <row r="619" customFormat="false" ht="15" hidden="false" customHeight="false" outlineLevel="0" collapsed="false">
      <c r="A619" s="0" t="n">
        <v>3</v>
      </c>
      <c r="B619" s="59" t="n">
        <v>46212</v>
      </c>
      <c r="C619" s="0" t="n">
        <v>11</v>
      </c>
      <c r="D619" s="0" t="s">
        <v>2126</v>
      </c>
      <c r="E619" s="0" t="n">
        <v>1676</v>
      </c>
      <c r="F619" s="0" t="s">
        <v>255</v>
      </c>
      <c r="I619" s="0" t="n">
        <v>10718</v>
      </c>
      <c r="J619" s="0" t="n">
        <v>80089</v>
      </c>
      <c r="K619" s="0" t="n">
        <v>7891340365286</v>
      </c>
      <c r="L619" s="0" t="s">
        <v>2507</v>
      </c>
      <c r="N619" s="0" t="n">
        <v>30</v>
      </c>
      <c r="O619" s="60" t="n">
        <v>53</v>
      </c>
    </row>
    <row r="620" customFormat="false" ht="15" hidden="false" customHeight="false" outlineLevel="0" collapsed="false">
      <c r="A620" s="0" t="n">
        <v>3</v>
      </c>
      <c r="B620" s="59" t="n">
        <v>46212</v>
      </c>
      <c r="C620" s="0" t="n">
        <v>11</v>
      </c>
      <c r="D620" s="0" t="s">
        <v>2126</v>
      </c>
      <c r="E620" s="0" t="n">
        <v>1676</v>
      </c>
      <c r="F620" s="0" t="s">
        <v>255</v>
      </c>
      <c r="I620" s="0" t="n">
        <v>10718</v>
      </c>
      <c r="J620" s="0" t="n">
        <v>80561</v>
      </c>
      <c r="K620" s="0" t="n">
        <v>7896075301080</v>
      </c>
      <c r="L620" s="0" t="s">
        <v>2508</v>
      </c>
      <c r="N620" s="0" t="n">
        <v>16</v>
      </c>
      <c r="O620" s="60" t="n">
        <v>45</v>
      </c>
    </row>
    <row r="621" customFormat="false" ht="15" hidden="false" customHeight="false" outlineLevel="0" collapsed="false">
      <c r="A621" s="0" t="n">
        <v>3</v>
      </c>
      <c r="B621" s="59" t="n">
        <v>46212</v>
      </c>
      <c r="C621" s="0" t="n">
        <v>11</v>
      </c>
      <c r="D621" s="0" t="s">
        <v>2126</v>
      </c>
      <c r="E621" s="0" t="n">
        <v>1676</v>
      </c>
      <c r="F621" s="0" t="s">
        <v>255</v>
      </c>
      <c r="I621" s="0" t="n">
        <v>10718</v>
      </c>
      <c r="J621" s="0" t="n">
        <v>81234</v>
      </c>
      <c r="K621" s="0" t="n">
        <v>7896075301103</v>
      </c>
      <c r="L621" s="0" t="s">
        <v>2509</v>
      </c>
      <c r="N621" s="0" t="n">
        <v>16</v>
      </c>
      <c r="O621" s="60" t="n">
        <v>57.94</v>
      </c>
    </row>
    <row r="622" customFormat="false" ht="15" hidden="false" customHeight="false" outlineLevel="0" collapsed="false">
      <c r="A622" s="0" t="n">
        <v>3</v>
      </c>
      <c r="B622" s="59" t="n">
        <v>46212</v>
      </c>
      <c r="C622" s="0" t="n">
        <v>11</v>
      </c>
      <c r="D622" s="0" t="s">
        <v>2126</v>
      </c>
      <c r="E622" s="0" t="n">
        <v>1676</v>
      </c>
      <c r="F622" s="0" t="s">
        <v>255</v>
      </c>
      <c r="I622" s="0" t="n">
        <v>10718</v>
      </c>
      <c r="J622" s="0" t="n">
        <v>81238</v>
      </c>
      <c r="K622" s="0" t="n">
        <v>7898932839125</v>
      </c>
      <c r="L622" s="0" t="s">
        <v>2510</v>
      </c>
      <c r="N622" s="0" t="n">
        <v>10</v>
      </c>
      <c r="O622" s="60" t="n">
        <v>106.7</v>
      </c>
    </row>
    <row r="623" customFormat="false" ht="15" hidden="false" customHeight="false" outlineLevel="0" collapsed="false">
      <c r="A623" s="0" t="n">
        <v>3</v>
      </c>
      <c r="B623" s="59" t="n">
        <v>46212</v>
      </c>
      <c r="C623" s="0" t="n">
        <v>11</v>
      </c>
      <c r="D623" s="0" t="s">
        <v>2126</v>
      </c>
      <c r="E623" s="0" t="n">
        <v>1676</v>
      </c>
      <c r="F623" s="0" t="s">
        <v>255</v>
      </c>
      <c r="I623" s="0" t="n">
        <v>10718</v>
      </c>
      <c r="J623" s="0" t="n">
        <v>81685</v>
      </c>
      <c r="K623" s="0" t="n">
        <v>7898932838029</v>
      </c>
      <c r="L623" s="0" t="s">
        <v>2511</v>
      </c>
      <c r="N623" s="0" t="n">
        <v>10</v>
      </c>
      <c r="O623" s="60" t="n">
        <v>45.6</v>
      </c>
    </row>
    <row r="624" customFormat="false" ht="15" hidden="false" customHeight="false" outlineLevel="0" collapsed="false">
      <c r="A624" s="0" t="n">
        <v>3</v>
      </c>
      <c r="B624" s="59" t="n">
        <v>46212</v>
      </c>
      <c r="C624" s="0" t="n">
        <v>11</v>
      </c>
      <c r="D624" s="0" t="s">
        <v>2126</v>
      </c>
      <c r="E624" s="0" t="n">
        <v>1916</v>
      </c>
      <c r="F624" s="0" t="s">
        <v>353</v>
      </c>
      <c r="I624" s="0" t="n">
        <v>39713</v>
      </c>
      <c r="J624" s="0" t="n">
        <v>43924</v>
      </c>
      <c r="K624" s="0" t="n">
        <v>7898592350268</v>
      </c>
      <c r="L624" s="0" t="s">
        <v>2512</v>
      </c>
      <c r="N624" s="0" t="n">
        <v>175</v>
      </c>
      <c r="O624" s="60" t="n">
        <v>700</v>
      </c>
    </row>
    <row r="625" customFormat="false" ht="15" hidden="false" customHeight="false" outlineLevel="0" collapsed="false">
      <c r="A625" s="0" t="n">
        <v>3</v>
      </c>
      <c r="B625" s="59" t="n">
        <v>46212</v>
      </c>
      <c r="C625" s="0" t="n">
        <v>11</v>
      </c>
      <c r="D625" s="0" t="s">
        <v>2126</v>
      </c>
      <c r="E625" s="0" t="n">
        <v>1916</v>
      </c>
      <c r="F625" s="0" t="s">
        <v>353</v>
      </c>
      <c r="I625" s="0" t="n">
        <v>39713</v>
      </c>
      <c r="J625" s="0" t="n">
        <v>48436</v>
      </c>
      <c r="K625" s="0" t="n">
        <v>7898592350251</v>
      </c>
      <c r="L625" s="0" t="s">
        <v>2258</v>
      </c>
      <c r="N625" s="0" t="n">
        <v>150</v>
      </c>
      <c r="O625" s="60" t="n">
        <v>1500</v>
      </c>
    </row>
    <row r="626" customFormat="false" ht="15" hidden="false" customHeight="false" outlineLevel="0" collapsed="false">
      <c r="A626" s="0" t="n">
        <v>3</v>
      </c>
      <c r="B626" s="59" t="n">
        <v>46212</v>
      </c>
      <c r="C626" s="0" t="n">
        <v>11</v>
      </c>
      <c r="D626" s="0" t="s">
        <v>2126</v>
      </c>
      <c r="E626" s="0" t="n">
        <v>1723</v>
      </c>
      <c r="F626" s="0" t="s">
        <v>77</v>
      </c>
      <c r="I626" s="0" t="n">
        <v>172782</v>
      </c>
      <c r="J626" s="0" t="n">
        <v>29080</v>
      </c>
      <c r="K626" s="0" t="n">
        <v>55516</v>
      </c>
      <c r="L626" s="0" t="s">
        <v>2137</v>
      </c>
      <c r="N626" s="0" t="n">
        <v>126</v>
      </c>
      <c r="O626" s="60" t="n">
        <v>2772</v>
      </c>
    </row>
    <row r="627" customFormat="false" ht="15" hidden="false" customHeight="false" outlineLevel="0" collapsed="false">
      <c r="A627" s="0" t="n">
        <v>3</v>
      </c>
      <c r="B627" s="59" t="n">
        <v>46212</v>
      </c>
      <c r="C627" s="0" t="n">
        <v>11</v>
      </c>
      <c r="D627" s="0" t="s">
        <v>2126</v>
      </c>
      <c r="E627" s="0" t="n">
        <v>1723</v>
      </c>
      <c r="F627" s="0" t="s">
        <v>77</v>
      </c>
      <c r="I627" s="0" t="n">
        <v>172840</v>
      </c>
      <c r="J627" s="0" t="n">
        <v>29079</v>
      </c>
      <c r="K627" s="0" t="n">
        <v>55515</v>
      </c>
      <c r="L627" s="0" t="s">
        <v>2213</v>
      </c>
      <c r="N627" s="0" t="n">
        <v>164.6</v>
      </c>
      <c r="O627" s="60" t="n">
        <v>5267.2</v>
      </c>
    </row>
    <row r="628" customFormat="false" ht="15" hidden="false" customHeight="false" outlineLevel="0" collapsed="false">
      <c r="A628" s="0" t="n">
        <v>3</v>
      </c>
      <c r="B628" s="59" t="n">
        <v>46212</v>
      </c>
      <c r="C628" s="0" t="n">
        <v>11</v>
      </c>
      <c r="D628" s="0" t="s">
        <v>2126</v>
      </c>
      <c r="E628" s="0" t="n">
        <v>1605</v>
      </c>
      <c r="F628" s="0" t="s">
        <v>114</v>
      </c>
      <c r="I628" s="0" t="n">
        <v>217864</v>
      </c>
      <c r="J628" s="0" t="n">
        <v>10811</v>
      </c>
      <c r="K628" s="0" t="n">
        <v>7891999941879</v>
      </c>
      <c r="L628" s="0" t="s">
        <v>2513</v>
      </c>
      <c r="N628" s="0" t="n">
        <v>24</v>
      </c>
      <c r="O628" s="60" t="n">
        <v>47.8</v>
      </c>
    </row>
    <row r="629" customFormat="false" ht="15" hidden="false" customHeight="false" outlineLevel="0" collapsed="false">
      <c r="A629" s="0" t="n">
        <v>3</v>
      </c>
      <c r="B629" s="59" t="n">
        <v>46212</v>
      </c>
      <c r="C629" s="0" t="n">
        <v>11</v>
      </c>
      <c r="D629" s="0" t="s">
        <v>2126</v>
      </c>
      <c r="E629" s="0" t="n">
        <v>1605</v>
      </c>
      <c r="F629" s="0" t="s">
        <v>114</v>
      </c>
      <c r="I629" s="0" t="n">
        <v>217864</v>
      </c>
      <c r="J629" s="0" t="n">
        <v>10812</v>
      </c>
      <c r="K629" s="0" t="n">
        <v>7891999100047</v>
      </c>
      <c r="L629" s="0" t="s">
        <v>2514</v>
      </c>
      <c r="N629" s="0" t="n">
        <v>24</v>
      </c>
      <c r="O629" s="60" t="n">
        <v>47.8</v>
      </c>
    </row>
    <row r="630" customFormat="false" ht="15" hidden="false" customHeight="false" outlineLevel="0" collapsed="false">
      <c r="A630" s="0" t="n">
        <v>3</v>
      </c>
      <c r="B630" s="59" t="n">
        <v>46212</v>
      </c>
      <c r="C630" s="0" t="n">
        <v>11</v>
      </c>
      <c r="D630" s="0" t="s">
        <v>2126</v>
      </c>
      <c r="E630" s="0" t="n">
        <v>1605</v>
      </c>
      <c r="F630" s="0" t="s">
        <v>114</v>
      </c>
      <c r="I630" s="0" t="n">
        <v>217864</v>
      </c>
      <c r="J630" s="0" t="n">
        <v>11158</v>
      </c>
      <c r="K630" s="0" t="n">
        <v>7891999340108</v>
      </c>
      <c r="L630" s="0" t="s">
        <v>2515</v>
      </c>
      <c r="N630" s="0" t="n">
        <v>24</v>
      </c>
      <c r="O630" s="60" t="n">
        <v>47.8</v>
      </c>
    </row>
    <row r="631" customFormat="false" ht="15" hidden="false" customHeight="false" outlineLevel="0" collapsed="false">
      <c r="A631" s="0" t="n">
        <v>3</v>
      </c>
      <c r="B631" s="59" t="n">
        <v>46212</v>
      </c>
      <c r="C631" s="0" t="n">
        <v>11</v>
      </c>
      <c r="D631" s="0" t="s">
        <v>2126</v>
      </c>
      <c r="E631" s="0" t="n">
        <v>1605</v>
      </c>
      <c r="F631" s="0" t="s">
        <v>114</v>
      </c>
      <c r="I631" s="0" t="n">
        <v>217864</v>
      </c>
      <c r="J631" s="0" t="n">
        <v>14127</v>
      </c>
      <c r="K631" s="0" t="n">
        <v>7898080640635</v>
      </c>
      <c r="L631" s="0" t="s">
        <v>2516</v>
      </c>
      <c r="N631" s="0" t="n">
        <v>12</v>
      </c>
      <c r="O631" s="60" t="n">
        <v>77.88</v>
      </c>
    </row>
    <row r="632" customFormat="false" ht="15" hidden="false" customHeight="false" outlineLevel="0" collapsed="false">
      <c r="A632" s="0" t="n">
        <v>3</v>
      </c>
      <c r="B632" s="59" t="n">
        <v>46212</v>
      </c>
      <c r="C632" s="0" t="n">
        <v>11</v>
      </c>
      <c r="D632" s="0" t="s">
        <v>2126</v>
      </c>
      <c r="E632" s="0" t="n">
        <v>1605</v>
      </c>
      <c r="F632" s="0" t="s">
        <v>114</v>
      </c>
      <c r="I632" s="0" t="n">
        <v>217864</v>
      </c>
      <c r="J632" s="0" t="n">
        <v>14128</v>
      </c>
      <c r="K632" s="0" t="n">
        <v>7898080640611</v>
      </c>
      <c r="L632" s="0" t="s">
        <v>2517</v>
      </c>
      <c r="N632" s="0" t="n">
        <v>108</v>
      </c>
      <c r="O632" s="60" t="n">
        <v>754.92</v>
      </c>
    </row>
    <row r="633" customFormat="false" ht="15" hidden="false" customHeight="false" outlineLevel="0" collapsed="false">
      <c r="A633" s="0" t="n">
        <v>3</v>
      </c>
      <c r="B633" s="59" t="n">
        <v>46212</v>
      </c>
      <c r="C633" s="0" t="n">
        <v>11</v>
      </c>
      <c r="D633" s="0" t="s">
        <v>2126</v>
      </c>
      <c r="E633" s="0" t="n">
        <v>1605</v>
      </c>
      <c r="F633" s="0" t="s">
        <v>114</v>
      </c>
      <c r="I633" s="0" t="n">
        <v>217864</v>
      </c>
      <c r="J633" s="0" t="n">
        <v>22022</v>
      </c>
      <c r="K633" s="0" t="n">
        <v>7891999100023</v>
      </c>
      <c r="L633" s="0" t="s">
        <v>2518</v>
      </c>
      <c r="N633" s="0" t="n">
        <v>24</v>
      </c>
      <c r="O633" s="60" t="n">
        <v>47.8</v>
      </c>
    </row>
    <row r="634" customFormat="false" ht="15" hidden="false" customHeight="false" outlineLevel="0" collapsed="false">
      <c r="A634" s="0" t="n">
        <v>3</v>
      </c>
      <c r="B634" s="59" t="n">
        <v>46212</v>
      </c>
      <c r="C634" s="0" t="n">
        <v>11</v>
      </c>
      <c r="D634" s="0" t="s">
        <v>2126</v>
      </c>
      <c r="E634" s="0" t="n">
        <v>1605</v>
      </c>
      <c r="F634" s="0" t="s">
        <v>114</v>
      </c>
      <c r="I634" s="0" t="n">
        <v>217864</v>
      </c>
      <c r="J634" s="0" t="n">
        <v>28453</v>
      </c>
      <c r="K634" s="0" t="n">
        <v>7891999100016</v>
      </c>
      <c r="L634" s="0" t="s">
        <v>2519</v>
      </c>
      <c r="N634" s="0" t="n">
        <v>24</v>
      </c>
      <c r="O634" s="60" t="n">
        <v>47.8</v>
      </c>
    </row>
    <row r="635" customFormat="false" ht="15" hidden="false" customHeight="false" outlineLevel="0" collapsed="false">
      <c r="A635" s="0" t="n">
        <v>3</v>
      </c>
      <c r="B635" s="59" t="n">
        <v>46212</v>
      </c>
      <c r="C635" s="0" t="n">
        <v>11</v>
      </c>
      <c r="D635" s="0" t="s">
        <v>2126</v>
      </c>
      <c r="E635" s="0" t="n">
        <v>1656</v>
      </c>
      <c r="F635" s="0" t="s">
        <v>262</v>
      </c>
      <c r="I635" s="0" t="n">
        <v>223333</v>
      </c>
      <c r="J635" s="0" t="n">
        <v>73554</v>
      </c>
      <c r="K635" s="0" t="n">
        <v>67891032014708</v>
      </c>
      <c r="L635" s="0" t="s">
        <v>2520</v>
      </c>
      <c r="N635" s="0" t="n">
        <v>32</v>
      </c>
      <c r="O635" s="60" t="n">
        <v>88.13</v>
      </c>
    </row>
    <row r="636" customFormat="false" ht="15" hidden="false" customHeight="false" outlineLevel="0" collapsed="false">
      <c r="A636" s="0" t="n">
        <v>3</v>
      </c>
      <c r="B636" s="59" t="n">
        <v>46212</v>
      </c>
      <c r="C636" s="0" t="n">
        <v>11</v>
      </c>
      <c r="D636" s="0" t="s">
        <v>2126</v>
      </c>
      <c r="E636" s="0" t="n">
        <v>1656</v>
      </c>
      <c r="F636" s="0" t="s">
        <v>262</v>
      </c>
      <c r="I636" s="0" t="n">
        <v>223333</v>
      </c>
      <c r="J636" s="0" t="n">
        <v>102497</v>
      </c>
      <c r="K636" s="0" t="n">
        <v>7891032013259</v>
      </c>
      <c r="L636" s="0" t="s">
        <v>2521</v>
      </c>
      <c r="N636" s="0" t="n">
        <v>12</v>
      </c>
      <c r="O636" s="60" t="n">
        <v>44.93</v>
      </c>
    </row>
    <row r="637" customFormat="false" ht="15" hidden="false" customHeight="false" outlineLevel="0" collapsed="false">
      <c r="A637" s="0" t="n">
        <v>3</v>
      </c>
      <c r="B637" s="59" t="n">
        <v>46212</v>
      </c>
      <c r="C637" s="0" t="n">
        <v>11</v>
      </c>
      <c r="D637" s="0" t="s">
        <v>2126</v>
      </c>
      <c r="E637" s="0" t="n">
        <v>1656</v>
      </c>
      <c r="F637" s="0" t="s">
        <v>262</v>
      </c>
      <c r="I637" s="0" t="n">
        <v>223333</v>
      </c>
      <c r="J637" s="0" t="n">
        <v>10685</v>
      </c>
      <c r="K637" s="0" t="n">
        <v>7891032012504</v>
      </c>
      <c r="L637" s="0" t="s">
        <v>2522</v>
      </c>
      <c r="N637" s="0" t="n">
        <v>24</v>
      </c>
      <c r="O637" s="60" t="n">
        <v>72.15</v>
      </c>
    </row>
    <row r="638" customFormat="false" ht="15" hidden="false" customHeight="false" outlineLevel="0" collapsed="false">
      <c r="A638" s="0" t="n">
        <v>3</v>
      </c>
      <c r="B638" s="59" t="n">
        <v>46212</v>
      </c>
      <c r="C638" s="0" t="n">
        <v>11</v>
      </c>
      <c r="D638" s="0" t="s">
        <v>2126</v>
      </c>
      <c r="E638" s="0" t="n">
        <v>1656</v>
      </c>
      <c r="F638" s="0" t="s">
        <v>262</v>
      </c>
      <c r="I638" s="0" t="n">
        <v>223333</v>
      </c>
      <c r="J638" s="0" t="n">
        <v>10686</v>
      </c>
      <c r="K638" s="0" t="n">
        <v>7891032013105</v>
      </c>
      <c r="L638" s="0" t="s">
        <v>2523</v>
      </c>
      <c r="N638" s="0" t="n">
        <v>24</v>
      </c>
      <c r="O638" s="60" t="n">
        <v>72.86</v>
      </c>
    </row>
    <row r="639" customFormat="false" ht="15" hidden="false" customHeight="false" outlineLevel="0" collapsed="false">
      <c r="A639" s="0" t="n">
        <v>3</v>
      </c>
      <c r="B639" s="59" t="n">
        <v>46212</v>
      </c>
      <c r="C639" s="0" t="n">
        <v>11</v>
      </c>
      <c r="D639" s="0" t="s">
        <v>2126</v>
      </c>
      <c r="E639" s="0" t="n">
        <v>1656</v>
      </c>
      <c r="F639" s="0" t="s">
        <v>262</v>
      </c>
      <c r="I639" s="0" t="n">
        <v>223333</v>
      </c>
      <c r="J639" s="0" t="n">
        <v>31411</v>
      </c>
      <c r="K639" s="0" t="n">
        <v>7896327501855</v>
      </c>
      <c r="L639" s="0" t="s">
        <v>2524</v>
      </c>
      <c r="N639" s="0" t="n">
        <v>12</v>
      </c>
      <c r="O639" s="60" t="n">
        <v>35.33</v>
      </c>
    </row>
    <row r="640" customFormat="false" ht="15" hidden="false" customHeight="false" outlineLevel="0" collapsed="false">
      <c r="A640" s="0" t="n">
        <v>3</v>
      </c>
      <c r="B640" s="59" t="n">
        <v>46212</v>
      </c>
      <c r="C640" s="0" t="n">
        <v>11</v>
      </c>
      <c r="D640" s="0" t="s">
        <v>2126</v>
      </c>
      <c r="E640" s="0" t="n">
        <v>1656</v>
      </c>
      <c r="F640" s="0" t="s">
        <v>262</v>
      </c>
      <c r="I640" s="0" t="n">
        <v>223333</v>
      </c>
      <c r="J640" s="0" t="n">
        <v>33179</v>
      </c>
      <c r="K640" s="0" t="n">
        <v>7896327514329</v>
      </c>
      <c r="L640" s="0" t="s">
        <v>2525</v>
      </c>
      <c r="N640" s="0" t="n">
        <v>12</v>
      </c>
      <c r="O640" s="60" t="n">
        <v>54.14</v>
      </c>
    </row>
    <row r="641" customFormat="false" ht="15" hidden="false" customHeight="false" outlineLevel="0" collapsed="false">
      <c r="A641" s="0" t="n">
        <v>3</v>
      </c>
      <c r="B641" s="59" t="n">
        <v>46212</v>
      </c>
      <c r="C641" s="0" t="n">
        <v>11</v>
      </c>
      <c r="D641" s="0" t="s">
        <v>2126</v>
      </c>
      <c r="E641" s="0" t="n">
        <v>1656</v>
      </c>
      <c r="F641" s="0" t="s">
        <v>262</v>
      </c>
      <c r="I641" s="0" t="n">
        <v>223333</v>
      </c>
      <c r="J641" s="0" t="n">
        <v>41997</v>
      </c>
      <c r="K641" s="0" t="n">
        <v>17896327501050</v>
      </c>
      <c r="L641" s="0" t="s">
        <v>2526</v>
      </c>
      <c r="N641" s="0" t="n">
        <v>20</v>
      </c>
      <c r="O641" s="60" t="n">
        <v>63.36</v>
      </c>
    </row>
    <row r="642" customFormat="false" ht="15" hidden="false" customHeight="false" outlineLevel="0" collapsed="false">
      <c r="A642" s="0" t="n">
        <v>3</v>
      </c>
      <c r="B642" s="59" t="n">
        <v>46212</v>
      </c>
      <c r="C642" s="0" t="n">
        <v>11</v>
      </c>
      <c r="D642" s="0" t="s">
        <v>2126</v>
      </c>
      <c r="E642" s="0" t="n">
        <v>1656</v>
      </c>
      <c r="F642" s="0" t="s">
        <v>262</v>
      </c>
      <c r="I642" s="0" t="n">
        <v>223333</v>
      </c>
      <c r="J642" s="0" t="n">
        <v>46484</v>
      </c>
      <c r="K642" s="0" t="n">
        <v>7898969376334</v>
      </c>
      <c r="L642" s="0" t="s">
        <v>2527</v>
      </c>
      <c r="N642" s="0" t="n">
        <v>12</v>
      </c>
      <c r="O642" s="60" t="n">
        <v>28.7</v>
      </c>
    </row>
    <row r="643" customFormat="false" ht="15" hidden="false" customHeight="false" outlineLevel="0" collapsed="false">
      <c r="A643" s="0" t="n">
        <v>3</v>
      </c>
      <c r="B643" s="59" t="n">
        <v>46212</v>
      </c>
      <c r="C643" s="0" t="n">
        <v>11</v>
      </c>
      <c r="D643" s="0" t="s">
        <v>2126</v>
      </c>
      <c r="E643" s="0" t="n">
        <v>1656</v>
      </c>
      <c r="F643" s="0" t="s">
        <v>262</v>
      </c>
      <c r="I643" s="0" t="n">
        <v>223333</v>
      </c>
      <c r="J643" s="0" t="n">
        <v>48562</v>
      </c>
      <c r="K643" s="0" t="n">
        <v>7898969376310</v>
      </c>
      <c r="L643" s="0" t="s">
        <v>2527</v>
      </c>
      <c r="N643" s="0" t="n">
        <v>16</v>
      </c>
      <c r="O643" s="60" t="n">
        <v>78.34</v>
      </c>
    </row>
    <row r="644" customFormat="false" ht="15" hidden="false" customHeight="false" outlineLevel="0" collapsed="false">
      <c r="A644" s="0" t="n">
        <v>3</v>
      </c>
      <c r="B644" s="59" t="n">
        <v>46212</v>
      </c>
      <c r="C644" s="0" t="n">
        <v>11</v>
      </c>
      <c r="D644" s="0" t="s">
        <v>2126</v>
      </c>
      <c r="E644" s="0" t="n">
        <v>1656</v>
      </c>
      <c r="F644" s="0" t="s">
        <v>262</v>
      </c>
      <c r="I644" s="0" t="n">
        <v>223333</v>
      </c>
      <c r="J644" s="0" t="n">
        <v>60844</v>
      </c>
      <c r="K644" s="0" t="n">
        <v>7893596029905</v>
      </c>
      <c r="L644" s="0" t="s">
        <v>2528</v>
      </c>
      <c r="N644" s="0" t="n">
        <v>32</v>
      </c>
      <c r="O644" s="60" t="n">
        <v>110.36</v>
      </c>
    </row>
    <row r="645" customFormat="false" ht="15" hidden="false" customHeight="false" outlineLevel="0" collapsed="false">
      <c r="A645" s="0" t="n">
        <v>3</v>
      </c>
      <c r="B645" s="59" t="n">
        <v>46212</v>
      </c>
      <c r="C645" s="0" t="n">
        <v>11</v>
      </c>
      <c r="D645" s="0" t="s">
        <v>2126</v>
      </c>
      <c r="E645" s="0" t="n">
        <v>1656</v>
      </c>
      <c r="F645" s="0" t="s">
        <v>262</v>
      </c>
      <c r="I645" s="0" t="n">
        <v>223333</v>
      </c>
      <c r="J645" s="0" t="n">
        <v>71351</v>
      </c>
      <c r="K645" s="0" t="n">
        <v>7898954857879</v>
      </c>
      <c r="L645" s="0" t="s">
        <v>2529</v>
      </c>
      <c r="N645" s="0" t="n">
        <v>30</v>
      </c>
      <c r="O645" s="60" t="n">
        <v>41.66</v>
      </c>
    </row>
    <row r="646" customFormat="false" ht="15" hidden="false" customHeight="false" outlineLevel="0" collapsed="false">
      <c r="A646" s="0" t="n">
        <v>3</v>
      </c>
      <c r="B646" s="59" t="n">
        <v>46212</v>
      </c>
      <c r="C646" s="0" t="n">
        <v>11</v>
      </c>
      <c r="D646" s="0" t="s">
        <v>2126</v>
      </c>
      <c r="E646" s="0" t="n">
        <v>1656</v>
      </c>
      <c r="F646" s="0" t="s">
        <v>262</v>
      </c>
      <c r="I646" s="0" t="n">
        <v>223333</v>
      </c>
      <c r="J646" s="0" t="n">
        <v>74051</v>
      </c>
      <c r="K646" s="0" t="n">
        <v>37896327512968</v>
      </c>
      <c r="L646" s="0" t="s">
        <v>2530</v>
      </c>
      <c r="N646" s="0" t="n">
        <v>12</v>
      </c>
      <c r="O646" s="60" t="n">
        <v>32.06</v>
      </c>
    </row>
    <row r="647" customFormat="false" ht="15" hidden="false" customHeight="false" outlineLevel="0" collapsed="false">
      <c r="A647" s="0" t="n">
        <v>3</v>
      </c>
      <c r="B647" s="59" t="n">
        <v>46212</v>
      </c>
      <c r="C647" s="0" t="n">
        <v>11</v>
      </c>
      <c r="D647" s="0" t="s">
        <v>2126</v>
      </c>
      <c r="E647" s="0" t="n">
        <v>1656</v>
      </c>
      <c r="F647" s="0" t="s">
        <v>262</v>
      </c>
      <c r="I647" s="0" t="n">
        <v>223333</v>
      </c>
      <c r="J647" s="0" t="n">
        <v>74394</v>
      </c>
      <c r="K647" s="0" t="n">
        <v>7898215152330</v>
      </c>
      <c r="L647" s="0" t="s">
        <v>2531</v>
      </c>
      <c r="N647" s="0" t="n">
        <v>50</v>
      </c>
      <c r="O647" s="60" t="n">
        <v>372.48</v>
      </c>
    </row>
    <row r="648" customFormat="false" ht="15" hidden="false" customHeight="false" outlineLevel="0" collapsed="false">
      <c r="A648" s="0" t="n">
        <v>3</v>
      </c>
      <c r="B648" s="59" t="n">
        <v>46212</v>
      </c>
      <c r="C648" s="0" t="n">
        <v>11</v>
      </c>
      <c r="D648" s="0" t="s">
        <v>2126</v>
      </c>
      <c r="E648" s="0" t="n">
        <v>1656</v>
      </c>
      <c r="F648" s="0" t="s">
        <v>262</v>
      </c>
      <c r="I648" s="0" t="n">
        <v>223333</v>
      </c>
      <c r="J648" s="0" t="n">
        <v>81689</v>
      </c>
      <c r="K648" s="0" t="n">
        <v>602883457690</v>
      </c>
      <c r="L648" s="0" t="s">
        <v>2532</v>
      </c>
      <c r="N648" s="0" t="n">
        <v>12</v>
      </c>
      <c r="O648" s="60" t="n">
        <v>95.04</v>
      </c>
    </row>
    <row r="649" customFormat="false" ht="15" hidden="false" customHeight="false" outlineLevel="0" collapsed="false">
      <c r="A649" s="0" t="n">
        <v>3</v>
      </c>
      <c r="B649" s="59" t="n">
        <v>46212</v>
      </c>
      <c r="C649" s="0" t="n">
        <v>11</v>
      </c>
      <c r="D649" s="0" t="s">
        <v>2126</v>
      </c>
      <c r="E649" s="0" t="n">
        <v>1734</v>
      </c>
      <c r="F649" s="0" t="s">
        <v>126</v>
      </c>
      <c r="I649" s="0" t="n">
        <v>255009</v>
      </c>
      <c r="J649" s="0" t="n">
        <v>38208</v>
      </c>
      <c r="K649" s="0" t="n">
        <v>7898055452126</v>
      </c>
      <c r="L649" s="0" t="s">
        <v>2145</v>
      </c>
      <c r="N649" s="0" t="n">
        <v>2</v>
      </c>
      <c r="O649" s="60" t="n">
        <v>39.86</v>
      </c>
    </row>
    <row r="650" customFormat="false" ht="15" hidden="false" customHeight="false" outlineLevel="0" collapsed="false">
      <c r="A650" s="0" t="n">
        <v>3</v>
      </c>
      <c r="B650" s="59" t="n">
        <v>46212</v>
      </c>
      <c r="C650" s="0" t="n">
        <v>11</v>
      </c>
      <c r="D650" s="0" t="s">
        <v>2126</v>
      </c>
      <c r="E650" s="0" t="n">
        <v>1734</v>
      </c>
      <c r="F650" s="0" t="s">
        <v>126</v>
      </c>
      <c r="I650" s="0" t="n">
        <v>255009</v>
      </c>
      <c r="J650" s="0" t="n">
        <v>38209</v>
      </c>
      <c r="K650" s="0" t="n">
        <v>7898055451761</v>
      </c>
      <c r="L650" s="0" t="s">
        <v>2533</v>
      </c>
      <c r="N650" s="0" t="n">
        <v>4</v>
      </c>
      <c r="O650" s="60" t="n">
        <v>79.72</v>
      </c>
    </row>
    <row r="651" customFormat="false" ht="15" hidden="false" customHeight="false" outlineLevel="0" collapsed="false">
      <c r="A651" s="0" t="n">
        <v>3</v>
      </c>
      <c r="B651" s="59" t="n">
        <v>46212</v>
      </c>
      <c r="C651" s="0" t="n">
        <v>11</v>
      </c>
      <c r="D651" s="0" t="s">
        <v>2126</v>
      </c>
      <c r="E651" s="0" t="n">
        <v>1734</v>
      </c>
      <c r="F651" s="0" t="s">
        <v>126</v>
      </c>
      <c r="I651" s="0" t="n">
        <v>255009</v>
      </c>
      <c r="J651" s="0" t="n">
        <v>38210</v>
      </c>
      <c r="K651" s="0" t="n">
        <v>7898055452119</v>
      </c>
      <c r="L651" s="0" t="s">
        <v>2534</v>
      </c>
      <c r="N651" s="0" t="n">
        <v>2</v>
      </c>
      <c r="O651" s="60" t="n">
        <v>39.86</v>
      </c>
    </row>
    <row r="652" customFormat="false" ht="15" hidden="false" customHeight="false" outlineLevel="0" collapsed="false">
      <c r="A652" s="0" t="n">
        <v>3</v>
      </c>
      <c r="B652" s="59" t="n">
        <v>46212</v>
      </c>
      <c r="C652" s="0" t="n">
        <v>11</v>
      </c>
      <c r="D652" s="0" t="s">
        <v>2126</v>
      </c>
      <c r="E652" s="0" t="n">
        <v>1734</v>
      </c>
      <c r="F652" s="0" t="s">
        <v>126</v>
      </c>
      <c r="I652" s="0" t="n">
        <v>255009</v>
      </c>
      <c r="J652" s="0" t="n">
        <v>38213</v>
      </c>
      <c r="K652" s="0" t="n">
        <v>7898055450023</v>
      </c>
      <c r="L652" s="0" t="s">
        <v>2144</v>
      </c>
      <c r="N652" s="0" t="n">
        <v>4</v>
      </c>
      <c r="O652" s="60" t="n">
        <v>79.72</v>
      </c>
    </row>
    <row r="653" customFormat="false" ht="15" hidden="false" customHeight="false" outlineLevel="0" collapsed="false">
      <c r="A653" s="0" t="n">
        <v>3</v>
      </c>
      <c r="B653" s="59" t="n">
        <v>46212</v>
      </c>
      <c r="C653" s="0" t="n">
        <v>11</v>
      </c>
      <c r="D653" s="0" t="s">
        <v>2126</v>
      </c>
      <c r="E653" s="0" t="n">
        <v>1734</v>
      </c>
      <c r="F653" s="0" t="s">
        <v>126</v>
      </c>
      <c r="I653" s="0" t="n">
        <v>255009</v>
      </c>
      <c r="J653" s="0" t="n">
        <v>38214</v>
      </c>
      <c r="K653" s="0" t="n">
        <v>7898055452249</v>
      </c>
      <c r="L653" s="0" t="s">
        <v>2147</v>
      </c>
      <c r="N653" s="0" t="n">
        <v>2</v>
      </c>
      <c r="O653" s="60" t="n">
        <v>39.86</v>
      </c>
    </row>
    <row r="654" customFormat="false" ht="15" hidden="false" customHeight="false" outlineLevel="0" collapsed="false">
      <c r="A654" s="0" t="n">
        <v>3</v>
      </c>
      <c r="B654" s="59" t="n">
        <v>46212</v>
      </c>
      <c r="C654" s="0" t="n">
        <v>11</v>
      </c>
      <c r="D654" s="0" t="s">
        <v>2126</v>
      </c>
      <c r="E654" s="0" t="n">
        <v>1734</v>
      </c>
      <c r="F654" s="0" t="s">
        <v>126</v>
      </c>
      <c r="I654" s="0" t="n">
        <v>255009</v>
      </c>
      <c r="J654" s="0" t="n">
        <v>38216</v>
      </c>
      <c r="K654" s="0" t="n">
        <v>7898055454281</v>
      </c>
      <c r="L654" s="0" t="s">
        <v>2148</v>
      </c>
      <c r="N654" s="0" t="n">
        <v>4</v>
      </c>
      <c r="O654" s="60" t="n">
        <v>50.35</v>
      </c>
    </row>
    <row r="655" customFormat="false" ht="15" hidden="false" customHeight="false" outlineLevel="0" collapsed="false">
      <c r="A655" s="0" t="n">
        <v>3</v>
      </c>
      <c r="B655" s="59" t="n">
        <v>46212</v>
      </c>
      <c r="C655" s="0" t="n">
        <v>11</v>
      </c>
      <c r="D655" s="0" t="s">
        <v>2126</v>
      </c>
      <c r="E655" s="0" t="n">
        <v>1734</v>
      </c>
      <c r="F655" s="0" t="s">
        <v>126</v>
      </c>
      <c r="I655" s="0" t="n">
        <v>255009</v>
      </c>
      <c r="J655" s="0" t="n">
        <v>38218</v>
      </c>
      <c r="K655" s="0" t="n">
        <v>7898055454298</v>
      </c>
      <c r="L655" s="0" t="s">
        <v>2535</v>
      </c>
      <c r="N655" s="0" t="n">
        <v>4</v>
      </c>
      <c r="O655" s="60" t="n">
        <v>50.35</v>
      </c>
    </row>
    <row r="656" customFormat="false" ht="15" hidden="false" customHeight="false" outlineLevel="0" collapsed="false">
      <c r="A656" s="0" t="n">
        <v>3</v>
      </c>
      <c r="B656" s="59" t="n">
        <v>46212</v>
      </c>
      <c r="C656" s="0" t="n">
        <v>11</v>
      </c>
      <c r="D656" s="0" t="s">
        <v>2126</v>
      </c>
      <c r="E656" s="0" t="n">
        <v>1734</v>
      </c>
      <c r="F656" s="0" t="s">
        <v>126</v>
      </c>
      <c r="I656" s="0" t="n">
        <v>255009</v>
      </c>
      <c r="J656" s="0" t="n">
        <v>38219</v>
      </c>
      <c r="K656" s="0" t="n">
        <v>7898055452348</v>
      </c>
      <c r="L656" s="0" t="s">
        <v>2149</v>
      </c>
      <c r="N656" s="0" t="n">
        <v>2</v>
      </c>
      <c r="O656" s="60" t="n">
        <v>39.86</v>
      </c>
    </row>
    <row r="657" customFormat="false" ht="15" hidden="false" customHeight="false" outlineLevel="0" collapsed="false">
      <c r="A657" s="0" t="n">
        <v>3</v>
      </c>
      <c r="B657" s="59" t="n">
        <v>46212</v>
      </c>
      <c r="C657" s="0" t="n">
        <v>11</v>
      </c>
      <c r="D657" s="0" t="s">
        <v>2126</v>
      </c>
      <c r="E657" s="0" t="n">
        <v>1734</v>
      </c>
      <c r="F657" s="0" t="s">
        <v>126</v>
      </c>
      <c r="I657" s="0" t="n">
        <v>255009</v>
      </c>
      <c r="J657" s="0" t="n">
        <v>38220</v>
      </c>
      <c r="K657" s="0" t="n">
        <v>7898055452355</v>
      </c>
      <c r="L657" s="0" t="s">
        <v>2144</v>
      </c>
      <c r="N657" s="0" t="n">
        <v>4</v>
      </c>
      <c r="O657" s="60" t="n">
        <v>79.72</v>
      </c>
    </row>
    <row r="658" customFormat="false" ht="15" hidden="false" customHeight="false" outlineLevel="0" collapsed="false">
      <c r="A658" s="0" t="n">
        <v>3</v>
      </c>
      <c r="B658" s="59" t="n">
        <v>46212</v>
      </c>
      <c r="C658" s="0" t="n">
        <v>11</v>
      </c>
      <c r="D658" s="0" t="s">
        <v>2126</v>
      </c>
      <c r="E658" s="0" t="n">
        <v>1734</v>
      </c>
      <c r="F658" s="0" t="s">
        <v>126</v>
      </c>
      <c r="I658" s="0" t="n">
        <v>255009</v>
      </c>
      <c r="J658" s="0" t="n">
        <v>38789</v>
      </c>
      <c r="K658" s="0" t="n">
        <v>7898055451754</v>
      </c>
      <c r="L658" s="0" t="s">
        <v>2536</v>
      </c>
      <c r="N658" s="0" t="n">
        <v>4</v>
      </c>
      <c r="O658" s="60" t="n">
        <v>50.35</v>
      </c>
    </row>
    <row r="659" customFormat="false" ht="15" hidden="false" customHeight="false" outlineLevel="0" collapsed="false">
      <c r="A659" s="0" t="n">
        <v>3</v>
      </c>
      <c r="B659" s="59" t="n">
        <v>46212</v>
      </c>
      <c r="C659" s="0" t="n">
        <v>11</v>
      </c>
      <c r="D659" s="0" t="s">
        <v>2126</v>
      </c>
      <c r="E659" s="0" t="n">
        <v>1734</v>
      </c>
      <c r="F659" s="0" t="s">
        <v>126</v>
      </c>
      <c r="I659" s="0" t="n">
        <v>255009</v>
      </c>
      <c r="J659" s="0" t="n">
        <v>39443</v>
      </c>
      <c r="K659" s="0" t="n">
        <v>7898055451648</v>
      </c>
      <c r="L659" s="0" t="s">
        <v>2537</v>
      </c>
      <c r="N659" s="0" t="n">
        <v>4</v>
      </c>
      <c r="O659" s="60" t="n">
        <v>50.35</v>
      </c>
    </row>
    <row r="660" customFormat="false" ht="15" hidden="false" customHeight="false" outlineLevel="0" collapsed="false">
      <c r="A660" s="0" t="n">
        <v>3</v>
      </c>
      <c r="B660" s="59" t="n">
        <v>46212</v>
      </c>
      <c r="C660" s="0" t="n">
        <v>11</v>
      </c>
      <c r="D660" s="0" t="s">
        <v>2126</v>
      </c>
      <c r="E660" s="0" t="n">
        <v>1734</v>
      </c>
      <c r="F660" s="0" t="s">
        <v>126</v>
      </c>
      <c r="I660" s="0" t="n">
        <v>255009</v>
      </c>
      <c r="J660" s="0" t="n">
        <v>39447</v>
      </c>
      <c r="K660" s="0" t="n">
        <v>7898055450139</v>
      </c>
      <c r="L660" s="0" t="s">
        <v>2153</v>
      </c>
      <c r="N660" s="0" t="n">
        <v>2</v>
      </c>
      <c r="O660" s="60" t="n">
        <v>39.86</v>
      </c>
    </row>
    <row r="661" customFormat="false" ht="15" hidden="false" customHeight="false" outlineLevel="0" collapsed="false">
      <c r="A661" s="0" t="n">
        <v>3</v>
      </c>
      <c r="B661" s="59" t="n">
        <v>46212</v>
      </c>
      <c r="C661" s="0" t="n">
        <v>11</v>
      </c>
      <c r="D661" s="0" t="s">
        <v>2126</v>
      </c>
      <c r="E661" s="0" t="n">
        <v>1734</v>
      </c>
      <c r="F661" s="0" t="s">
        <v>126</v>
      </c>
      <c r="I661" s="0" t="n">
        <v>255009</v>
      </c>
      <c r="J661" s="0" t="n">
        <v>40954</v>
      </c>
      <c r="K661" s="0" t="n">
        <v>7898055450405</v>
      </c>
      <c r="L661" s="0" t="s">
        <v>2538</v>
      </c>
      <c r="N661" s="0" t="n">
        <v>2</v>
      </c>
      <c r="O661" s="60" t="n">
        <v>39.86</v>
      </c>
    </row>
    <row r="662" customFormat="false" ht="15" hidden="false" customHeight="false" outlineLevel="0" collapsed="false">
      <c r="A662" s="0" t="n">
        <v>3</v>
      </c>
      <c r="B662" s="59" t="n">
        <v>46212</v>
      </c>
      <c r="C662" s="0" t="n">
        <v>11</v>
      </c>
      <c r="D662" s="0" t="s">
        <v>2126</v>
      </c>
      <c r="E662" s="0" t="n">
        <v>1734</v>
      </c>
      <c r="F662" s="0" t="s">
        <v>126</v>
      </c>
      <c r="I662" s="0" t="n">
        <v>255009</v>
      </c>
      <c r="J662" s="0" t="n">
        <v>40955</v>
      </c>
      <c r="K662" s="0" t="n">
        <v>7898055450283</v>
      </c>
      <c r="L662" s="0" t="s">
        <v>2539</v>
      </c>
      <c r="N662" s="0" t="n">
        <v>2</v>
      </c>
      <c r="O662" s="60" t="n">
        <v>39.86</v>
      </c>
    </row>
    <row r="663" customFormat="false" ht="15" hidden="false" customHeight="false" outlineLevel="0" collapsed="false">
      <c r="A663" s="0" t="n">
        <v>3</v>
      </c>
      <c r="B663" s="59" t="n">
        <v>46212</v>
      </c>
      <c r="C663" s="0" t="n">
        <v>11</v>
      </c>
      <c r="D663" s="0" t="s">
        <v>2126</v>
      </c>
      <c r="E663" s="0" t="n">
        <v>1734</v>
      </c>
      <c r="F663" s="0" t="s">
        <v>126</v>
      </c>
      <c r="I663" s="0" t="n">
        <v>255009</v>
      </c>
      <c r="J663" s="0" t="n">
        <v>56815</v>
      </c>
      <c r="K663" s="0" t="n">
        <v>7898055455165</v>
      </c>
      <c r="L663" s="0" t="s">
        <v>2155</v>
      </c>
      <c r="N663" s="0" t="n">
        <v>4</v>
      </c>
      <c r="O663" s="60" t="n">
        <v>79.72</v>
      </c>
    </row>
    <row r="664" customFormat="false" ht="15" hidden="false" customHeight="false" outlineLevel="0" collapsed="false">
      <c r="A664" s="0" t="n">
        <v>3</v>
      </c>
      <c r="B664" s="59" t="n">
        <v>46212</v>
      </c>
      <c r="C664" s="0" t="n">
        <v>11</v>
      </c>
      <c r="D664" s="0" t="s">
        <v>2126</v>
      </c>
      <c r="E664" s="0" t="n">
        <v>1734</v>
      </c>
      <c r="F664" s="0" t="s">
        <v>126</v>
      </c>
      <c r="I664" s="0" t="n">
        <v>255009</v>
      </c>
      <c r="J664" s="0" t="n">
        <v>57021</v>
      </c>
      <c r="K664" s="0" t="n">
        <v>7898055455189</v>
      </c>
      <c r="L664" s="0" t="s">
        <v>2156</v>
      </c>
      <c r="N664" s="0" t="n">
        <v>4</v>
      </c>
      <c r="O664" s="60" t="n">
        <v>79.72</v>
      </c>
    </row>
    <row r="665" customFormat="false" ht="15" hidden="false" customHeight="false" outlineLevel="0" collapsed="false">
      <c r="A665" s="0" t="n">
        <v>3</v>
      </c>
      <c r="B665" s="59" t="n">
        <v>46212</v>
      </c>
      <c r="C665" s="0" t="n">
        <v>11</v>
      </c>
      <c r="D665" s="0" t="s">
        <v>2126</v>
      </c>
      <c r="E665" s="0" t="n">
        <v>1107</v>
      </c>
      <c r="F665" s="0" t="s">
        <v>166</v>
      </c>
      <c r="I665" s="0" t="n">
        <v>426368</v>
      </c>
      <c r="J665" s="0" t="n">
        <v>40040</v>
      </c>
      <c r="K665" s="0" t="n">
        <v>7896029082362</v>
      </c>
      <c r="L665" s="0" t="s">
        <v>2540</v>
      </c>
      <c r="N665" s="0" t="n">
        <v>3</v>
      </c>
      <c r="O665" s="60" t="n">
        <v>24.07</v>
      </c>
    </row>
    <row r="666" customFormat="false" ht="15" hidden="false" customHeight="false" outlineLevel="0" collapsed="false">
      <c r="A666" s="0" t="n">
        <v>3</v>
      </c>
      <c r="B666" s="59" t="n">
        <v>46212</v>
      </c>
      <c r="C666" s="0" t="n">
        <v>11</v>
      </c>
      <c r="D666" s="0" t="s">
        <v>2126</v>
      </c>
      <c r="E666" s="0" t="n">
        <v>1107</v>
      </c>
      <c r="F666" s="0" t="s">
        <v>166</v>
      </c>
      <c r="I666" s="0" t="n">
        <v>426368</v>
      </c>
      <c r="J666" s="0" t="n">
        <v>50206</v>
      </c>
      <c r="K666" s="0" t="n">
        <v>7896029092439</v>
      </c>
      <c r="L666" s="0" t="s">
        <v>2541</v>
      </c>
      <c r="N666" s="0" t="n">
        <v>5</v>
      </c>
      <c r="O666" s="60" t="n">
        <v>72.89</v>
      </c>
    </row>
    <row r="667" customFormat="false" ht="15" hidden="false" customHeight="false" outlineLevel="0" collapsed="false">
      <c r="A667" s="0" t="n">
        <v>3</v>
      </c>
      <c r="B667" s="59" t="n">
        <v>46212</v>
      </c>
      <c r="C667" s="0" t="n">
        <v>11</v>
      </c>
      <c r="D667" s="0" t="s">
        <v>2126</v>
      </c>
      <c r="E667" s="0" t="n">
        <v>1107</v>
      </c>
      <c r="F667" s="0" t="s">
        <v>166</v>
      </c>
      <c r="I667" s="0" t="n">
        <v>426368</v>
      </c>
      <c r="J667" s="0" t="n">
        <v>50208</v>
      </c>
      <c r="K667" s="0" t="n">
        <v>7896029091906</v>
      </c>
      <c r="L667" s="0" t="s">
        <v>2542</v>
      </c>
      <c r="N667" s="0" t="n">
        <v>5</v>
      </c>
      <c r="O667" s="60" t="n">
        <v>72.89</v>
      </c>
    </row>
    <row r="668" customFormat="false" ht="15" hidden="false" customHeight="false" outlineLevel="0" collapsed="false">
      <c r="A668" s="0" t="n">
        <v>3</v>
      </c>
      <c r="B668" s="59" t="n">
        <v>46212</v>
      </c>
      <c r="C668" s="0" t="n">
        <v>11</v>
      </c>
      <c r="D668" s="0" t="s">
        <v>2126</v>
      </c>
      <c r="E668" s="0" t="n">
        <v>1107</v>
      </c>
      <c r="F668" s="0" t="s">
        <v>166</v>
      </c>
      <c r="I668" s="0" t="n">
        <v>426368</v>
      </c>
      <c r="J668" s="0" t="n">
        <v>108636</v>
      </c>
      <c r="K668" s="0" t="n">
        <v>7896029007303</v>
      </c>
      <c r="L668" s="0" t="s">
        <v>2543</v>
      </c>
      <c r="N668" s="0" t="n">
        <v>6</v>
      </c>
      <c r="O668" s="60" t="n">
        <v>63.49</v>
      </c>
    </row>
    <row r="669" customFormat="false" ht="15" hidden="false" customHeight="false" outlineLevel="0" collapsed="false">
      <c r="A669" s="0" t="n">
        <v>3</v>
      </c>
      <c r="B669" s="59" t="n">
        <v>46212</v>
      </c>
      <c r="C669" s="0" t="n">
        <v>11</v>
      </c>
      <c r="D669" s="0" t="s">
        <v>2126</v>
      </c>
      <c r="E669" s="0" t="n">
        <v>1107</v>
      </c>
      <c r="F669" s="0" t="s">
        <v>166</v>
      </c>
      <c r="I669" s="0" t="n">
        <v>426368</v>
      </c>
      <c r="J669" s="0" t="n">
        <v>10898</v>
      </c>
      <c r="K669" s="0" t="n">
        <v>7896029007020</v>
      </c>
      <c r="L669" s="0" t="s">
        <v>2544</v>
      </c>
      <c r="N669" s="0" t="n">
        <v>6</v>
      </c>
      <c r="O669" s="60" t="n">
        <v>63.49</v>
      </c>
    </row>
    <row r="670" customFormat="false" ht="15" hidden="false" customHeight="false" outlineLevel="0" collapsed="false">
      <c r="A670" s="0" t="n">
        <v>3</v>
      </c>
      <c r="B670" s="59" t="n">
        <v>46212</v>
      </c>
      <c r="C670" s="0" t="n">
        <v>11</v>
      </c>
      <c r="D670" s="0" t="s">
        <v>2126</v>
      </c>
      <c r="E670" s="0" t="n">
        <v>1107</v>
      </c>
      <c r="F670" s="0" t="s">
        <v>166</v>
      </c>
      <c r="I670" s="0" t="n">
        <v>426368</v>
      </c>
      <c r="J670" s="0" t="n">
        <v>14911</v>
      </c>
      <c r="K670" s="0" t="n">
        <v>7896029022252</v>
      </c>
      <c r="L670" s="0" t="s">
        <v>2545</v>
      </c>
      <c r="N670" s="0" t="n">
        <v>144</v>
      </c>
      <c r="O670" s="60" t="n">
        <v>281.16</v>
      </c>
    </row>
    <row r="671" customFormat="false" ht="15" hidden="false" customHeight="false" outlineLevel="0" collapsed="false">
      <c r="A671" s="0" t="n">
        <v>3</v>
      </c>
      <c r="B671" s="59" t="n">
        <v>46212</v>
      </c>
      <c r="C671" s="0" t="n">
        <v>11</v>
      </c>
      <c r="D671" s="0" t="s">
        <v>2126</v>
      </c>
      <c r="E671" s="0" t="n">
        <v>1107</v>
      </c>
      <c r="F671" s="0" t="s">
        <v>166</v>
      </c>
      <c r="I671" s="0" t="n">
        <v>426368</v>
      </c>
      <c r="J671" s="0" t="n">
        <v>15432</v>
      </c>
      <c r="K671" s="0" t="n">
        <v>7896029022276</v>
      </c>
      <c r="L671" s="0" t="s">
        <v>2546</v>
      </c>
      <c r="N671" s="0" t="n">
        <v>72</v>
      </c>
      <c r="O671" s="60" t="n">
        <v>140.58</v>
      </c>
    </row>
    <row r="672" customFormat="false" ht="15" hidden="false" customHeight="false" outlineLevel="0" collapsed="false">
      <c r="A672" s="0" t="n">
        <v>3</v>
      </c>
      <c r="B672" s="59" t="n">
        <v>46212</v>
      </c>
      <c r="C672" s="0" t="n">
        <v>11</v>
      </c>
      <c r="D672" s="0" t="s">
        <v>2126</v>
      </c>
      <c r="E672" s="0" t="n">
        <v>1107</v>
      </c>
      <c r="F672" s="0" t="s">
        <v>166</v>
      </c>
      <c r="I672" s="0" t="n">
        <v>426368</v>
      </c>
      <c r="J672" s="0" t="n">
        <v>19252</v>
      </c>
      <c r="K672" s="0" t="n">
        <v>7896029086995</v>
      </c>
      <c r="L672" s="0" t="s">
        <v>2547</v>
      </c>
      <c r="N672" s="0" t="n">
        <v>6</v>
      </c>
      <c r="O672" s="60" t="n">
        <v>63.49</v>
      </c>
    </row>
    <row r="673" customFormat="false" ht="15" hidden="false" customHeight="false" outlineLevel="0" collapsed="false">
      <c r="A673" s="0" t="n">
        <v>3</v>
      </c>
      <c r="B673" s="59" t="n">
        <v>46212</v>
      </c>
      <c r="C673" s="0" t="n">
        <v>11</v>
      </c>
      <c r="D673" s="0" t="s">
        <v>2126</v>
      </c>
      <c r="E673" s="0" t="n">
        <v>1107</v>
      </c>
      <c r="F673" s="0" t="s">
        <v>166</v>
      </c>
      <c r="I673" s="0" t="n">
        <v>426368</v>
      </c>
      <c r="J673" s="0" t="n">
        <v>22563</v>
      </c>
      <c r="K673" s="0" t="n">
        <v>7896029015001</v>
      </c>
      <c r="L673" s="0" t="s">
        <v>2548</v>
      </c>
      <c r="N673" s="0" t="n">
        <v>144</v>
      </c>
      <c r="O673" s="60" t="n">
        <v>281.16</v>
      </c>
    </row>
    <row r="674" customFormat="false" ht="15" hidden="false" customHeight="false" outlineLevel="0" collapsed="false">
      <c r="A674" s="0" t="n">
        <v>3</v>
      </c>
      <c r="B674" s="59" t="n">
        <v>46212</v>
      </c>
      <c r="C674" s="0" t="n">
        <v>11</v>
      </c>
      <c r="D674" s="0" t="s">
        <v>2126</v>
      </c>
      <c r="E674" s="0" t="n">
        <v>1107</v>
      </c>
      <c r="F674" s="0" t="s">
        <v>166</v>
      </c>
      <c r="I674" s="0" t="n">
        <v>426368</v>
      </c>
      <c r="J674" s="0" t="n">
        <v>23310</v>
      </c>
      <c r="K674" s="0" t="n">
        <v>7896029018958</v>
      </c>
      <c r="L674" s="0" t="s">
        <v>2549</v>
      </c>
      <c r="N674" s="0" t="n">
        <v>144</v>
      </c>
      <c r="O674" s="60" t="n">
        <v>281.2</v>
      </c>
    </row>
    <row r="675" customFormat="false" ht="15" hidden="false" customHeight="false" outlineLevel="0" collapsed="false">
      <c r="A675" s="0" t="n">
        <v>3</v>
      </c>
      <c r="B675" s="59" t="n">
        <v>46212</v>
      </c>
      <c r="C675" s="0" t="n">
        <v>11</v>
      </c>
      <c r="D675" s="0" t="s">
        <v>2126</v>
      </c>
      <c r="E675" s="0" t="n">
        <v>1107</v>
      </c>
      <c r="F675" s="0" t="s">
        <v>166</v>
      </c>
      <c r="I675" s="0" t="n">
        <v>426368</v>
      </c>
      <c r="J675" s="0" t="n">
        <v>38038</v>
      </c>
      <c r="K675" s="0" t="n">
        <v>7896029065075</v>
      </c>
      <c r="L675" s="0" t="s">
        <v>2550</v>
      </c>
      <c r="N675" s="0" t="n">
        <v>5</v>
      </c>
      <c r="O675" s="60" t="n">
        <v>40.11</v>
      </c>
    </row>
    <row r="676" customFormat="false" ht="15" hidden="false" customHeight="false" outlineLevel="0" collapsed="false">
      <c r="A676" s="0" t="n">
        <v>3</v>
      </c>
      <c r="B676" s="59" t="n">
        <v>46212</v>
      </c>
      <c r="C676" s="0" t="n">
        <v>11</v>
      </c>
      <c r="D676" s="0" t="s">
        <v>2126</v>
      </c>
      <c r="E676" s="0" t="n">
        <v>1107</v>
      </c>
      <c r="F676" s="0" t="s">
        <v>166</v>
      </c>
      <c r="I676" s="0" t="n">
        <v>426368</v>
      </c>
      <c r="J676" s="0" t="n">
        <v>51115</v>
      </c>
      <c r="K676" s="0" t="n">
        <v>7896029092415</v>
      </c>
      <c r="L676" s="0" t="s">
        <v>2551</v>
      </c>
      <c r="N676" s="0" t="n">
        <v>10</v>
      </c>
      <c r="O676" s="60" t="n">
        <v>145.77</v>
      </c>
    </row>
    <row r="677" customFormat="false" ht="15" hidden="false" customHeight="false" outlineLevel="0" collapsed="false">
      <c r="A677" s="0" t="n">
        <v>3</v>
      </c>
      <c r="B677" s="59" t="n">
        <v>46212</v>
      </c>
      <c r="C677" s="0" t="n">
        <v>11</v>
      </c>
      <c r="D677" s="0" t="s">
        <v>2126</v>
      </c>
      <c r="E677" s="0" t="n">
        <v>1107</v>
      </c>
      <c r="F677" s="0" t="s">
        <v>166</v>
      </c>
      <c r="I677" s="0" t="n">
        <v>426368</v>
      </c>
      <c r="J677" s="0" t="n">
        <v>51118</v>
      </c>
      <c r="K677" s="0" t="n">
        <v>7896029082416</v>
      </c>
      <c r="L677" s="0" t="s">
        <v>2552</v>
      </c>
      <c r="N677" s="0" t="n">
        <v>5</v>
      </c>
      <c r="O677" s="60" t="n">
        <v>69.85</v>
      </c>
    </row>
    <row r="678" customFormat="false" ht="15" hidden="false" customHeight="false" outlineLevel="0" collapsed="false">
      <c r="A678" s="0" t="n">
        <v>3</v>
      </c>
      <c r="B678" s="59" t="n">
        <v>46212</v>
      </c>
      <c r="C678" s="0" t="n">
        <v>11</v>
      </c>
      <c r="D678" s="0" t="s">
        <v>2126</v>
      </c>
      <c r="E678" s="0" t="n">
        <v>1107</v>
      </c>
      <c r="F678" s="0" t="s">
        <v>166</v>
      </c>
      <c r="I678" s="0" t="n">
        <v>426368</v>
      </c>
      <c r="J678" s="0" t="n">
        <v>51119</v>
      </c>
      <c r="K678" s="0" t="n">
        <v>7896029083505</v>
      </c>
      <c r="L678" s="0" t="s">
        <v>2553</v>
      </c>
      <c r="N678" s="0" t="n">
        <v>5</v>
      </c>
      <c r="O678" s="60" t="n">
        <v>69.85</v>
      </c>
    </row>
    <row r="679" customFormat="false" ht="15" hidden="false" customHeight="false" outlineLevel="0" collapsed="false">
      <c r="A679" s="0" t="n">
        <v>3</v>
      </c>
      <c r="B679" s="59" t="n">
        <v>46212</v>
      </c>
      <c r="C679" s="0" t="n">
        <v>11</v>
      </c>
      <c r="D679" s="0" t="s">
        <v>2126</v>
      </c>
      <c r="E679" s="0" t="n">
        <v>1107</v>
      </c>
      <c r="F679" s="0" t="s">
        <v>166</v>
      </c>
      <c r="I679" s="0" t="n">
        <v>426368</v>
      </c>
      <c r="J679" s="0" t="n">
        <v>51884</v>
      </c>
      <c r="K679" s="0" t="n">
        <v>7896029083482</v>
      </c>
      <c r="L679" s="0" t="s">
        <v>2554</v>
      </c>
      <c r="N679" s="0" t="n">
        <v>5</v>
      </c>
      <c r="O679" s="60" t="n">
        <v>69.85</v>
      </c>
    </row>
    <row r="680" customFormat="false" ht="15" hidden="false" customHeight="false" outlineLevel="0" collapsed="false">
      <c r="A680" s="0" t="n">
        <v>3</v>
      </c>
      <c r="B680" s="59" t="n">
        <v>46212</v>
      </c>
      <c r="C680" s="0" t="n">
        <v>11</v>
      </c>
      <c r="D680" s="0" t="s">
        <v>2126</v>
      </c>
      <c r="E680" s="0" t="n">
        <v>1107</v>
      </c>
      <c r="F680" s="0" t="s">
        <v>166</v>
      </c>
      <c r="I680" s="0" t="n">
        <v>426368</v>
      </c>
      <c r="J680" s="0" t="n">
        <v>53270</v>
      </c>
      <c r="K680" s="0" t="n">
        <v>7896029092460</v>
      </c>
      <c r="L680" s="0" t="s">
        <v>2555</v>
      </c>
      <c r="N680" s="0" t="n">
        <v>5</v>
      </c>
      <c r="O680" s="60" t="n">
        <v>72.89</v>
      </c>
    </row>
    <row r="681" customFormat="false" ht="15" hidden="false" customHeight="false" outlineLevel="0" collapsed="false">
      <c r="A681" s="0" t="n">
        <v>3</v>
      </c>
      <c r="B681" s="59" t="n">
        <v>46212</v>
      </c>
      <c r="C681" s="0" t="n">
        <v>11</v>
      </c>
      <c r="D681" s="0" t="s">
        <v>2126</v>
      </c>
      <c r="E681" s="0" t="n">
        <v>1107</v>
      </c>
      <c r="F681" s="0" t="s">
        <v>166</v>
      </c>
      <c r="I681" s="0" t="n">
        <v>426368</v>
      </c>
      <c r="J681" s="0" t="n">
        <v>70886</v>
      </c>
      <c r="K681" s="0" t="n">
        <v>7896029022269</v>
      </c>
      <c r="L681" s="0" t="s">
        <v>2556</v>
      </c>
      <c r="N681" s="0" t="n">
        <v>72</v>
      </c>
      <c r="O681" s="60" t="n">
        <v>140.58</v>
      </c>
    </row>
    <row r="682" customFormat="false" ht="15" hidden="false" customHeight="false" outlineLevel="0" collapsed="false">
      <c r="A682" s="0" t="n">
        <v>3</v>
      </c>
      <c r="B682" s="59" t="n">
        <v>46212</v>
      </c>
      <c r="C682" s="0" t="n">
        <v>11</v>
      </c>
      <c r="D682" s="0" t="s">
        <v>2126</v>
      </c>
      <c r="E682" s="0" t="n">
        <v>1718</v>
      </c>
      <c r="F682" s="0" t="s">
        <v>410</v>
      </c>
      <c r="I682" s="0" t="n">
        <v>680644</v>
      </c>
      <c r="J682" s="0" t="n">
        <v>104845</v>
      </c>
      <c r="K682" s="0" t="n">
        <v>70330909229</v>
      </c>
      <c r="L682" s="0" t="s">
        <v>2557</v>
      </c>
      <c r="N682" s="0" t="n">
        <v>50</v>
      </c>
      <c r="O682" s="60" t="n">
        <v>191.61</v>
      </c>
    </row>
    <row r="683" customFormat="false" ht="15" hidden="false" customHeight="false" outlineLevel="0" collapsed="false">
      <c r="A683" s="0" t="n">
        <v>3</v>
      </c>
      <c r="B683" s="59" t="n">
        <v>46212</v>
      </c>
      <c r="C683" s="0" t="n">
        <v>11</v>
      </c>
      <c r="D683" s="0" t="s">
        <v>2126</v>
      </c>
      <c r="E683" s="0" t="n">
        <v>1718</v>
      </c>
      <c r="F683" s="0" t="s">
        <v>410</v>
      </c>
      <c r="I683" s="0" t="n">
        <v>680644</v>
      </c>
      <c r="J683" s="0" t="n">
        <v>105791</v>
      </c>
      <c r="K683" s="0" t="n">
        <v>70330152168</v>
      </c>
      <c r="L683" s="0" t="s">
        <v>2558</v>
      </c>
      <c r="N683" s="0" t="n">
        <v>5</v>
      </c>
      <c r="O683" s="60" t="n">
        <v>34.55</v>
      </c>
    </row>
    <row r="684" customFormat="false" ht="15" hidden="false" customHeight="false" outlineLevel="0" collapsed="false">
      <c r="A684" s="0" t="n">
        <v>3</v>
      </c>
      <c r="B684" s="59" t="n">
        <v>46212</v>
      </c>
      <c r="C684" s="0" t="n">
        <v>11</v>
      </c>
      <c r="D684" s="0" t="s">
        <v>2126</v>
      </c>
      <c r="E684" s="0" t="n">
        <v>1718</v>
      </c>
      <c r="F684" s="0" t="s">
        <v>410</v>
      </c>
      <c r="I684" s="0" t="n">
        <v>680644</v>
      </c>
      <c r="J684" s="0" t="n">
        <v>12703</v>
      </c>
      <c r="K684" s="0" t="n">
        <v>70330710221</v>
      </c>
      <c r="L684" s="0" t="s">
        <v>2559</v>
      </c>
      <c r="N684" s="0" t="n">
        <v>50</v>
      </c>
      <c r="O684" s="60" t="n">
        <v>127</v>
      </c>
    </row>
    <row r="685" customFormat="false" ht="15" hidden="false" customHeight="false" outlineLevel="0" collapsed="false">
      <c r="A685" s="0" t="n">
        <v>3</v>
      </c>
      <c r="B685" s="59" t="n">
        <v>46212</v>
      </c>
      <c r="C685" s="0" t="n">
        <v>11</v>
      </c>
      <c r="D685" s="0" t="s">
        <v>2126</v>
      </c>
      <c r="E685" s="0" t="n">
        <v>1718</v>
      </c>
      <c r="F685" s="0" t="s">
        <v>410</v>
      </c>
      <c r="I685" s="0" t="n">
        <v>680644</v>
      </c>
      <c r="J685" s="0" t="n">
        <v>41880</v>
      </c>
      <c r="K685" s="0" t="n">
        <v>70330631328</v>
      </c>
      <c r="L685" s="0" t="s">
        <v>2560</v>
      </c>
      <c r="N685" s="0" t="n">
        <v>72</v>
      </c>
      <c r="O685" s="60" t="n">
        <v>218.52</v>
      </c>
    </row>
    <row r="686" customFormat="false" ht="15" hidden="false" customHeight="false" outlineLevel="0" collapsed="false">
      <c r="A686" s="0" t="n">
        <v>3</v>
      </c>
      <c r="B686" s="59" t="n">
        <v>46212</v>
      </c>
      <c r="C686" s="0" t="n">
        <v>11</v>
      </c>
      <c r="D686" s="0" t="s">
        <v>2126</v>
      </c>
      <c r="E686" s="0" t="n">
        <v>1718</v>
      </c>
      <c r="F686" s="0" t="s">
        <v>410</v>
      </c>
      <c r="I686" s="0" t="n">
        <v>680644</v>
      </c>
      <c r="J686" s="0" t="n">
        <v>57102</v>
      </c>
      <c r="K686" s="0" t="n">
        <v>7896089088649</v>
      </c>
      <c r="L686" s="0" t="s">
        <v>2561</v>
      </c>
      <c r="N686" s="0" t="n">
        <v>24</v>
      </c>
      <c r="O686" s="60" t="n">
        <v>119.76</v>
      </c>
    </row>
    <row r="687" customFormat="false" ht="15" hidden="false" customHeight="false" outlineLevel="0" collapsed="false">
      <c r="A687" s="0" t="n">
        <v>3</v>
      </c>
      <c r="B687" s="59" t="n">
        <v>46212</v>
      </c>
      <c r="C687" s="0" t="n">
        <v>11</v>
      </c>
      <c r="D687" s="0" t="s">
        <v>2126</v>
      </c>
      <c r="E687" s="0" t="n">
        <v>1718</v>
      </c>
      <c r="F687" s="0" t="s">
        <v>410</v>
      </c>
      <c r="I687" s="0" t="n">
        <v>680644</v>
      </c>
      <c r="J687" s="0" t="n">
        <v>81684</v>
      </c>
      <c r="K687" s="0" t="n">
        <v>70330353138</v>
      </c>
      <c r="L687" s="0" t="s">
        <v>2562</v>
      </c>
      <c r="N687" s="0" t="n">
        <v>5</v>
      </c>
      <c r="O687" s="60" t="n">
        <v>48.2</v>
      </c>
    </row>
    <row r="688" customFormat="false" ht="15" hidden="false" customHeight="false" outlineLevel="0" collapsed="false">
      <c r="A688" s="0" t="n">
        <v>3</v>
      </c>
      <c r="B688" s="59" t="n">
        <v>46212</v>
      </c>
      <c r="C688" s="0" t="n">
        <v>11</v>
      </c>
      <c r="D688" s="0" t="s">
        <v>2126</v>
      </c>
      <c r="E688" s="0" t="n">
        <v>1705</v>
      </c>
      <c r="F688" s="0" t="s">
        <v>123</v>
      </c>
      <c r="I688" s="0" t="n">
        <v>1193153</v>
      </c>
      <c r="J688" s="0" t="n">
        <v>103160</v>
      </c>
      <c r="K688" s="0" t="n">
        <v>7894900030013</v>
      </c>
      <c r="L688" s="0" t="s">
        <v>2563</v>
      </c>
      <c r="N688" s="0" t="n">
        <v>30</v>
      </c>
      <c r="O688" s="60" t="n">
        <v>82.27</v>
      </c>
    </row>
    <row r="689" customFormat="false" ht="15" hidden="false" customHeight="false" outlineLevel="0" collapsed="false">
      <c r="A689" s="0" t="n">
        <v>3</v>
      </c>
      <c r="B689" s="59" t="n">
        <v>46212</v>
      </c>
      <c r="C689" s="0" t="n">
        <v>11</v>
      </c>
      <c r="D689" s="0" t="s">
        <v>2126</v>
      </c>
      <c r="E689" s="0" t="n">
        <v>1705</v>
      </c>
      <c r="F689" s="0" t="s">
        <v>123</v>
      </c>
      <c r="I689" s="0" t="n">
        <v>1193175</v>
      </c>
      <c r="J689" s="0" t="n">
        <v>104029</v>
      </c>
      <c r="K689" s="0" t="n">
        <v>7896045512317</v>
      </c>
      <c r="L689" s="0" t="s">
        <v>2564</v>
      </c>
      <c r="N689" s="0" t="n">
        <v>240</v>
      </c>
      <c r="O689" s="60" t="n">
        <v>653.29</v>
      </c>
    </row>
    <row r="690" customFormat="false" ht="15" hidden="false" customHeight="false" outlineLevel="0" collapsed="false">
      <c r="A690" s="0" t="n">
        <v>3</v>
      </c>
      <c r="B690" s="59" t="n">
        <v>46212</v>
      </c>
      <c r="C690" s="0" t="n">
        <v>11</v>
      </c>
      <c r="D690" s="0" t="s">
        <v>2126</v>
      </c>
      <c r="E690" s="0" t="n">
        <v>1705</v>
      </c>
      <c r="F690" s="0" t="s">
        <v>123</v>
      </c>
      <c r="I690" s="0" t="n">
        <v>1193178</v>
      </c>
      <c r="J690" s="0" t="n">
        <v>24324</v>
      </c>
      <c r="K690" s="0" t="n">
        <v>70847022015</v>
      </c>
      <c r="L690" s="0" t="s">
        <v>2565</v>
      </c>
      <c r="N690" s="0" t="n">
        <v>72</v>
      </c>
      <c r="O690" s="60" t="n">
        <v>604.66</v>
      </c>
    </row>
    <row r="691" customFormat="false" ht="15" hidden="false" customHeight="false" outlineLevel="0" collapsed="false">
      <c r="A691" s="0" t="n">
        <v>3</v>
      </c>
      <c r="B691" s="59" t="n">
        <v>46212</v>
      </c>
      <c r="C691" s="0" t="n">
        <v>11</v>
      </c>
      <c r="D691" s="0" t="s">
        <v>2126</v>
      </c>
      <c r="E691" s="0" t="n">
        <v>1705</v>
      </c>
      <c r="F691" s="0" t="s">
        <v>123</v>
      </c>
      <c r="I691" s="0" t="n">
        <v>1193178</v>
      </c>
      <c r="J691" s="0" t="n">
        <v>66038</v>
      </c>
      <c r="K691" s="0" t="n">
        <v>7898938890076</v>
      </c>
      <c r="L691" s="0" t="s">
        <v>2566</v>
      </c>
      <c r="N691" s="0" t="n">
        <v>24</v>
      </c>
      <c r="O691" s="60" t="n">
        <v>201.55</v>
      </c>
    </row>
    <row r="692" customFormat="false" ht="15" hidden="false" customHeight="false" outlineLevel="0" collapsed="false">
      <c r="A692" s="0" t="n">
        <v>3</v>
      </c>
      <c r="B692" s="59" t="n">
        <v>46212</v>
      </c>
      <c r="C692" s="0" t="n">
        <v>11</v>
      </c>
      <c r="D692" s="0" t="s">
        <v>2126</v>
      </c>
      <c r="E692" s="0" t="n">
        <v>1705</v>
      </c>
      <c r="F692" s="0" t="s">
        <v>123</v>
      </c>
      <c r="I692" s="0" t="n">
        <v>1193179</v>
      </c>
      <c r="J692" s="0" t="n">
        <v>14312</v>
      </c>
      <c r="K692" s="0" t="n">
        <v>7894900504002</v>
      </c>
      <c r="L692" s="0" t="s">
        <v>2567</v>
      </c>
      <c r="N692" s="0" t="n">
        <v>6</v>
      </c>
      <c r="O692" s="60" t="n">
        <v>29.04</v>
      </c>
    </row>
    <row r="693" customFormat="false" ht="15" hidden="false" customHeight="false" outlineLevel="0" collapsed="false">
      <c r="A693" s="0" t="n">
        <v>3</v>
      </c>
      <c r="B693" s="59" t="n">
        <v>46212</v>
      </c>
      <c r="C693" s="0" t="n">
        <v>11</v>
      </c>
      <c r="D693" s="0" t="s">
        <v>2126</v>
      </c>
      <c r="E693" s="0" t="n">
        <v>1705</v>
      </c>
      <c r="F693" s="0" t="s">
        <v>123</v>
      </c>
      <c r="I693" s="0" t="n">
        <v>1193179</v>
      </c>
      <c r="J693" s="0" t="n">
        <v>77914</v>
      </c>
      <c r="K693" s="0" t="n">
        <v>7894900530001</v>
      </c>
      <c r="L693" s="0" t="s">
        <v>2568</v>
      </c>
      <c r="N693" s="0" t="n">
        <v>24</v>
      </c>
      <c r="O693" s="60" t="n">
        <v>26.45</v>
      </c>
    </row>
    <row r="694" customFormat="false" ht="15" hidden="false" customHeight="false" outlineLevel="0" collapsed="false">
      <c r="A694" s="0" t="n">
        <v>3</v>
      </c>
      <c r="B694" s="59" t="n">
        <v>46212</v>
      </c>
      <c r="C694" s="0" t="n">
        <v>11</v>
      </c>
      <c r="D694" s="0" t="s">
        <v>2126</v>
      </c>
      <c r="E694" s="0" t="n">
        <v>1705</v>
      </c>
      <c r="F694" s="0" t="s">
        <v>123</v>
      </c>
      <c r="I694" s="0" t="n">
        <v>1193179</v>
      </c>
      <c r="J694" s="0" t="n">
        <v>78351</v>
      </c>
      <c r="K694" s="0" t="n">
        <v>7894900530032</v>
      </c>
      <c r="L694" s="0" t="s">
        <v>2569</v>
      </c>
      <c r="N694" s="0" t="n">
        <v>120</v>
      </c>
      <c r="O694" s="60" t="n">
        <v>371.41</v>
      </c>
    </row>
    <row r="695" customFormat="false" ht="15" hidden="false" customHeight="false" outlineLevel="0" collapsed="false">
      <c r="A695" s="0" t="n">
        <v>3</v>
      </c>
      <c r="B695" s="59" t="n">
        <v>46212</v>
      </c>
      <c r="C695" s="0" t="n">
        <v>11</v>
      </c>
      <c r="D695" s="0" t="s">
        <v>2126</v>
      </c>
      <c r="E695" s="0" t="n">
        <v>1705</v>
      </c>
      <c r="F695" s="0" t="s">
        <v>123</v>
      </c>
      <c r="I695" s="0" t="n">
        <v>1193179</v>
      </c>
      <c r="J695" s="0" t="n">
        <v>79334</v>
      </c>
      <c r="K695" s="0" t="n">
        <v>7894900531305</v>
      </c>
      <c r="L695" s="0" t="s">
        <v>2570</v>
      </c>
      <c r="N695" s="0" t="n">
        <v>24</v>
      </c>
      <c r="O695" s="60" t="n">
        <v>30.25</v>
      </c>
    </row>
    <row r="696" customFormat="false" ht="15" hidden="false" customHeight="false" outlineLevel="0" collapsed="false">
      <c r="A696" s="0" t="n">
        <v>3</v>
      </c>
      <c r="B696" s="59" t="n">
        <v>46212</v>
      </c>
      <c r="C696" s="0" t="n">
        <v>11</v>
      </c>
      <c r="D696" s="0" t="s">
        <v>2126</v>
      </c>
      <c r="E696" s="0" t="n">
        <v>1705</v>
      </c>
      <c r="F696" s="0" t="s">
        <v>123</v>
      </c>
      <c r="I696" s="0" t="n">
        <v>1193179</v>
      </c>
      <c r="J696" s="0" t="n">
        <v>79795</v>
      </c>
      <c r="K696" s="0" t="n">
        <v>7894900530308</v>
      </c>
      <c r="L696" s="0" t="s">
        <v>2571</v>
      </c>
      <c r="N696" s="0" t="n">
        <v>24</v>
      </c>
      <c r="O696" s="60" t="n">
        <v>24.68</v>
      </c>
    </row>
    <row r="697" customFormat="false" ht="15" hidden="false" customHeight="false" outlineLevel="0" collapsed="false">
      <c r="A697" s="0" t="n">
        <v>3</v>
      </c>
      <c r="B697" s="59" t="n">
        <v>46212</v>
      </c>
      <c r="C697" s="0" t="n">
        <v>11</v>
      </c>
      <c r="D697" s="0" t="s">
        <v>2126</v>
      </c>
      <c r="E697" s="0" t="n">
        <v>1705</v>
      </c>
      <c r="F697" s="0" t="s">
        <v>123</v>
      </c>
      <c r="I697" s="0" t="n">
        <v>1193179</v>
      </c>
      <c r="J697" s="0" t="n">
        <v>80206</v>
      </c>
      <c r="K697" s="0" t="n">
        <v>7894900506006</v>
      </c>
      <c r="L697" s="0" t="s">
        <v>2572</v>
      </c>
      <c r="N697" s="0" t="n">
        <v>6</v>
      </c>
      <c r="O697" s="60" t="n">
        <v>29.04</v>
      </c>
    </row>
    <row r="698" customFormat="false" ht="15" hidden="false" customHeight="false" outlineLevel="0" collapsed="false">
      <c r="A698" s="0" t="n">
        <v>3</v>
      </c>
      <c r="B698" s="59" t="n">
        <v>46212</v>
      </c>
      <c r="C698" s="0" t="n">
        <v>11</v>
      </c>
      <c r="D698" s="0" t="s">
        <v>2126</v>
      </c>
      <c r="E698" s="0" t="n">
        <v>1740</v>
      </c>
      <c r="F698" s="0" t="s">
        <v>171</v>
      </c>
      <c r="I698" s="0" t="n">
        <v>1245355</v>
      </c>
      <c r="J698" s="0" t="n">
        <v>100036</v>
      </c>
      <c r="K698" s="0" t="n">
        <v>37</v>
      </c>
      <c r="L698" s="0" t="s">
        <v>2170</v>
      </c>
      <c r="N698" s="0" t="n">
        <v>75</v>
      </c>
      <c r="O698" s="60" t="n">
        <v>1536.75</v>
      </c>
    </row>
    <row r="699" customFormat="false" ht="15" hidden="false" customHeight="false" outlineLevel="0" collapsed="false">
      <c r="A699" s="0" t="n">
        <v>3</v>
      </c>
      <c r="B699" s="59" t="n">
        <v>46212</v>
      </c>
      <c r="C699" s="0" t="n">
        <v>11</v>
      </c>
      <c r="D699" s="0" t="s">
        <v>2126</v>
      </c>
      <c r="E699" s="0" t="n">
        <v>1740</v>
      </c>
      <c r="F699" s="0" t="s">
        <v>171</v>
      </c>
      <c r="I699" s="0" t="n">
        <v>1245355</v>
      </c>
      <c r="J699" s="0" t="n">
        <v>110201</v>
      </c>
      <c r="K699" s="0" t="n">
        <v>37424</v>
      </c>
      <c r="L699" s="0" t="s">
        <v>2573</v>
      </c>
      <c r="N699" s="0" t="n">
        <v>20</v>
      </c>
      <c r="O699" s="60" t="n">
        <v>439.6</v>
      </c>
    </row>
    <row r="700" customFormat="false" ht="15" hidden="false" customHeight="false" outlineLevel="0" collapsed="false">
      <c r="A700" s="0" t="n">
        <v>3</v>
      </c>
      <c r="B700" s="59" t="n">
        <v>46212</v>
      </c>
      <c r="C700" s="0" t="n">
        <v>11</v>
      </c>
      <c r="D700" s="0" t="s">
        <v>2126</v>
      </c>
      <c r="E700" s="0" t="n">
        <v>1740</v>
      </c>
      <c r="F700" s="0" t="s">
        <v>171</v>
      </c>
      <c r="I700" s="0" t="n">
        <v>1245355</v>
      </c>
      <c r="J700" s="0" t="n">
        <v>41242</v>
      </c>
      <c r="K700" s="0" t="n">
        <v>7891164138370</v>
      </c>
      <c r="L700" s="0" t="s">
        <v>2574</v>
      </c>
      <c r="N700" s="0" t="n">
        <v>30</v>
      </c>
      <c r="O700" s="60" t="n">
        <v>46.79</v>
      </c>
    </row>
    <row r="701" customFormat="false" ht="15" hidden="false" customHeight="false" outlineLevel="0" collapsed="false">
      <c r="A701" s="0" t="n">
        <v>3</v>
      </c>
      <c r="B701" s="59" t="n">
        <v>46212</v>
      </c>
      <c r="C701" s="0" t="n">
        <v>11</v>
      </c>
      <c r="D701" s="0" t="s">
        <v>2126</v>
      </c>
      <c r="E701" s="0" t="n">
        <v>1740</v>
      </c>
      <c r="F701" s="0" t="s">
        <v>171</v>
      </c>
      <c r="I701" s="0" t="n">
        <v>1245355</v>
      </c>
      <c r="J701" s="0" t="n">
        <v>48504</v>
      </c>
      <c r="K701" s="0" t="n">
        <v>7891164027377</v>
      </c>
      <c r="L701" s="0" t="s">
        <v>2575</v>
      </c>
      <c r="N701" s="0" t="n">
        <v>12</v>
      </c>
      <c r="O701" s="60" t="n">
        <v>97.92</v>
      </c>
    </row>
    <row r="702" customFormat="false" ht="15" hidden="false" customHeight="false" outlineLevel="0" collapsed="false">
      <c r="A702" s="0" t="n">
        <v>3</v>
      </c>
      <c r="B702" s="59" t="n">
        <v>46212</v>
      </c>
      <c r="C702" s="0" t="n">
        <v>11</v>
      </c>
      <c r="D702" s="0" t="s">
        <v>2126</v>
      </c>
      <c r="E702" s="0" t="n">
        <v>1740</v>
      </c>
      <c r="F702" s="0" t="s">
        <v>171</v>
      </c>
      <c r="I702" s="0" t="n">
        <v>1245355</v>
      </c>
      <c r="J702" s="0" t="n">
        <v>110530</v>
      </c>
      <c r="K702" s="0" t="n">
        <v>57638</v>
      </c>
      <c r="L702" s="0" t="s">
        <v>2576</v>
      </c>
      <c r="N702" s="0" t="n">
        <v>15</v>
      </c>
      <c r="O702" s="60" t="n">
        <v>344.7</v>
      </c>
    </row>
    <row r="703" customFormat="false" ht="15" hidden="false" customHeight="false" outlineLevel="0" collapsed="false">
      <c r="A703" s="0" t="n">
        <v>3</v>
      </c>
      <c r="B703" s="59" t="n">
        <v>46212</v>
      </c>
      <c r="C703" s="0" t="n">
        <v>11</v>
      </c>
      <c r="D703" s="0" t="s">
        <v>2126</v>
      </c>
      <c r="E703" s="0" t="n">
        <v>1740</v>
      </c>
      <c r="F703" s="0" t="s">
        <v>171</v>
      </c>
      <c r="I703" s="0" t="n">
        <v>1245355</v>
      </c>
      <c r="J703" s="0" t="n">
        <v>61465</v>
      </c>
      <c r="K703" s="0" t="n">
        <v>7891164018535</v>
      </c>
      <c r="L703" s="0" t="s">
        <v>2577</v>
      </c>
      <c r="N703" s="0" t="n">
        <v>14</v>
      </c>
      <c r="O703" s="60" t="n">
        <v>73.49</v>
      </c>
    </row>
    <row r="704" customFormat="false" ht="15" hidden="false" customHeight="false" outlineLevel="0" collapsed="false">
      <c r="A704" s="0" t="n">
        <v>3</v>
      </c>
      <c r="B704" s="59" t="n">
        <v>46212</v>
      </c>
      <c r="C704" s="0" t="n">
        <v>11</v>
      </c>
      <c r="D704" s="0" t="s">
        <v>2126</v>
      </c>
      <c r="E704" s="0" t="n">
        <v>1740</v>
      </c>
      <c r="F704" s="0" t="s">
        <v>171</v>
      </c>
      <c r="I704" s="0" t="n">
        <v>1245355</v>
      </c>
      <c r="J704" s="0" t="n">
        <v>65686</v>
      </c>
      <c r="K704" s="0" t="n">
        <v>7891164110727</v>
      </c>
      <c r="L704" s="0" t="s">
        <v>2578</v>
      </c>
      <c r="N704" s="0" t="n">
        <v>16</v>
      </c>
      <c r="O704" s="60" t="n">
        <v>113.25</v>
      </c>
    </row>
    <row r="705" customFormat="false" ht="15" hidden="false" customHeight="false" outlineLevel="0" collapsed="false">
      <c r="A705" s="0" t="n">
        <v>3</v>
      </c>
      <c r="B705" s="59" t="n">
        <v>46212</v>
      </c>
      <c r="C705" s="0" t="n">
        <v>11</v>
      </c>
      <c r="D705" s="0" t="s">
        <v>2126</v>
      </c>
      <c r="E705" s="0" t="n">
        <v>1740</v>
      </c>
      <c r="F705" s="0" t="s">
        <v>171</v>
      </c>
      <c r="I705" s="0" t="n">
        <v>1245355</v>
      </c>
      <c r="J705" s="0" t="n">
        <v>81469</v>
      </c>
      <c r="K705" s="0" t="n">
        <v>7898681940042</v>
      </c>
      <c r="L705" s="0" t="s">
        <v>2579</v>
      </c>
      <c r="N705" s="0" t="n">
        <v>12</v>
      </c>
      <c r="O705" s="60" t="n">
        <v>55.2</v>
      </c>
    </row>
    <row r="706" customFormat="false" ht="15" hidden="false" customHeight="false" outlineLevel="0" collapsed="false">
      <c r="A706" s="0" t="n">
        <v>3</v>
      </c>
      <c r="B706" s="59" t="n">
        <v>46212</v>
      </c>
      <c r="C706" s="0" t="n">
        <v>11</v>
      </c>
      <c r="D706" s="0" t="s">
        <v>2126</v>
      </c>
      <c r="E706" s="0" t="n">
        <v>1705</v>
      </c>
      <c r="F706" s="0" t="s">
        <v>123</v>
      </c>
      <c r="I706" s="0" t="n">
        <v>1924041</v>
      </c>
      <c r="J706" s="0" t="n">
        <v>30322</v>
      </c>
      <c r="K706" s="0" t="n">
        <v>7894900681109</v>
      </c>
      <c r="L706" s="0" t="s">
        <v>2580</v>
      </c>
      <c r="N706" s="0" t="n">
        <v>18</v>
      </c>
      <c r="O706" s="60" t="n">
        <v>103.26</v>
      </c>
    </row>
    <row r="707" customFormat="false" ht="15" hidden="false" customHeight="false" outlineLevel="0" collapsed="false">
      <c r="A707" s="0" t="n">
        <v>3</v>
      </c>
      <c r="B707" s="59" t="n">
        <v>46212</v>
      </c>
      <c r="C707" s="0" t="n">
        <v>11</v>
      </c>
      <c r="D707" s="0" t="s">
        <v>2126</v>
      </c>
      <c r="E707" s="0" t="n">
        <v>1705</v>
      </c>
      <c r="F707" s="0" t="s">
        <v>123</v>
      </c>
      <c r="I707" s="0" t="n">
        <v>1924041</v>
      </c>
      <c r="J707" s="0" t="n">
        <v>103142</v>
      </c>
      <c r="K707" s="0" t="n">
        <v>7894900011753</v>
      </c>
      <c r="L707" s="0" t="s">
        <v>2581</v>
      </c>
      <c r="N707" s="0" t="n">
        <v>90</v>
      </c>
      <c r="O707" s="60" t="n">
        <v>542.6</v>
      </c>
    </row>
    <row r="708" customFormat="false" ht="15" hidden="false" customHeight="false" outlineLevel="0" collapsed="false">
      <c r="A708" s="0" t="n">
        <v>3</v>
      </c>
      <c r="B708" s="59" t="n">
        <v>46212</v>
      </c>
      <c r="C708" s="0" t="n">
        <v>11</v>
      </c>
      <c r="D708" s="0" t="s">
        <v>2126</v>
      </c>
      <c r="E708" s="0" t="n">
        <v>1705</v>
      </c>
      <c r="F708" s="0" t="s">
        <v>123</v>
      </c>
      <c r="I708" s="0" t="n">
        <v>1924041</v>
      </c>
      <c r="J708" s="0" t="n">
        <v>103145</v>
      </c>
      <c r="K708" s="0" t="n">
        <v>7894900051513</v>
      </c>
      <c r="L708" s="0" t="s">
        <v>2582</v>
      </c>
      <c r="N708" s="0" t="n">
        <v>12</v>
      </c>
      <c r="O708" s="60" t="n">
        <v>89.16</v>
      </c>
    </row>
    <row r="709" customFormat="false" ht="15" hidden="false" customHeight="false" outlineLevel="0" collapsed="false">
      <c r="A709" s="0" t="n">
        <v>3</v>
      </c>
      <c r="B709" s="59" t="n">
        <v>46212</v>
      </c>
      <c r="C709" s="0" t="n">
        <v>11</v>
      </c>
      <c r="D709" s="0" t="s">
        <v>2126</v>
      </c>
      <c r="E709" s="0" t="n">
        <v>1705</v>
      </c>
      <c r="F709" s="0" t="s">
        <v>123</v>
      </c>
      <c r="I709" s="0" t="n">
        <v>1924041</v>
      </c>
      <c r="J709" s="0" t="n">
        <v>103146</v>
      </c>
      <c r="K709" s="0" t="n">
        <v>7894900031515</v>
      </c>
      <c r="L709" s="0" t="s">
        <v>2583</v>
      </c>
      <c r="N709" s="0" t="n">
        <v>18</v>
      </c>
      <c r="O709" s="60" t="n">
        <v>133.74</v>
      </c>
    </row>
    <row r="710" customFormat="false" ht="15" hidden="false" customHeight="false" outlineLevel="0" collapsed="false">
      <c r="A710" s="0" t="n">
        <v>3</v>
      </c>
      <c r="B710" s="59" t="n">
        <v>46212</v>
      </c>
      <c r="C710" s="0" t="n">
        <v>11</v>
      </c>
      <c r="D710" s="0" t="s">
        <v>2126</v>
      </c>
      <c r="E710" s="0" t="n">
        <v>1705</v>
      </c>
      <c r="F710" s="0" t="s">
        <v>123</v>
      </c>
      <c r="I710" s="0" t="n">
        <v>1924041</v>
      </c>
      <c r="J710" s="0" t="n">
        <v>103155</v>
      </c>
      <c r="K710" s="0" t="n">
        <v>7894900033564</v>
      </c>
      <c r="L710" s="0" t="s">
        <v>2583</v>
      </c>
      <c r="N710" s="0" t="n">
        <v>12</v>
      </c>
      <c r="O710" s="60" t="n">
        <v>38.71</v>
      </c>
    </row>
    <row r="711" customFormat="false" ht="15" hidden="false" customHeight="false" outlineLevel="0" collapsed="false">
      <c r="A711" s="0" t="n">
        <v>3</v>
      </c>
      <c r="B711" s="59" t="n">
        <v>46212</v>
      </c>
      <c r="C711" s="0" t="n">
        <v>11</v>
      </c>
      <c r="D711" s="0" t="s">
        <v>2126</v>
      </c>
      <c r="E711" s="0" t="n">
        <v>1705</v>
      </c>
      <c r="F711" s="0" t="s">
        <v>123</v>
      </c>
      <c r="I711" s="0" t="n">
        <v>1924041</v>
      </c>
      <c r="J711" s="0" t="n">
        <v>103161</v>
      </c>
      <c r="K711" s="0" t="n">
        <v>7894900010015</v>
      </c>
      <c r="L711" s="0" t="s">
        <v>2584</v>
      </c>
      <c r="N711" s="0" t="n">
        <v>72</v>
      </c>
      <c r="O711" s="60" t="n">
        <v>226.48</v>
      </c>
    </row>
    <row r="712" customFormat="false" ht="15" hidden="false" customHeight="false" outlineLevel="0" collapsed="false">
      <c r="A712" s="0" t="n">
        <v>3</v>
      </c>
      <c r="B712" s="59" t="n">
        <v>46212</v>
      </c>
      <c r="C712" s="0" t="n">
        <v>11</v>
      </c>
      <c r="D712" s="0" t="s">
        <v>2126</v>
      </c>
      <c r="E712" s="0" t="n">
        <v>1705</v>
      </c>
      <c r="F712" s="0" t="s">
        <v>123</v>
      </c>
      <c r="I712" s="0" t="n">
        <v>1924041</v>
      </c>
      <c r="J712" s="0" t="n">
        <v>104472</v>
      </c>
      <c r="K712" s="0" t="n">
        <v>7897105200038</v>
      </c>
      <c r="L712" s="0" t="s">
        <v>2585</v>
      </c>
      <c r="N712" s="0" t="n">
        <v>36</v>
      </c>
      <c r="O712" s="60" t="n">
        <v>161.87</v>
      </c>
    </row>
    <row r="713" customFormat="false" ht="15" hidden="false" customHeight="false" outlineLevel="0" collapsed="false">
      <c r="A713" s="0" t="n">
        <v>3</v>
      </c>
      <c r="B713" s="59" t="n">
        <v>46212</v>
      </c>
      <c r="C713" s="0" t="n">
        <v>11</v>
      </c>
      <c r="D713" s="0" t="s">
        <v>2126</v>
      </c>
      <c r="E713" s="0" t="n">
        <v>1705</v>
      </c>
      <c r="F713" s="0" t="s">
        <v>123</v>
      </c>
      <c r="I713" s="0" t="n">
        <v>1924041</v>
      </c>
      <c r="J713" s="0" t="n">
        <v>105323</v>
      </c>
      <c r="K713" s="0" t="n">
        <v>7894900701753</v>
      </c>
      <c r="L713" s="0" t="s">
        <v>2586</v>
      </c>
      <c r="N713" s="0" t="n">
        <v>60</v>
      </c>
      <c r="O713" s="60" t="n">
        <v>351.45</v>
      </c>
    </row>
    <row r="714" customFormat="false" ht="15" hidden="false" customHeight="false" outlineLevel="0" collapsed="false">
      <c r="A714" s="0" t="n">
        <v>3</v>
      </c>
      <c r="B714" s="59" t="n">
        <v>46212</v>
      </c>
      <c r="C714" s="0" t="n">
        <v>11</v>
      </c>
      <c r="D714" s="0" t="s">
        <v>2126</v>
      </c>
      <c r="E714" s="0" t="n">
        <v>1705</v>
      </c>
      <c r="F714" s="0" t="s">
        <v>123</v>
      </c>
      <c r="I714" s="0" t="n">
        <v>1924041</v>
      </c>
      <c r="J714" s="0" t="n">
        <v>105631</v>
      </c>
      <c r="K714" s="0" t="n">
        <v>7894900011609</v>
      </c>
      <c r="L714" s="0" t="s">
        <v>2587</v>
      </c>
      <c r="N714" s="0" t="n">
        <v>72</v>
      </c>
      <c r="O714" s="60" t="n">
        <v>262.77</v>
      </c>
    </row>
    <row r="715" customFormat="false" ht="15" hidden="false" customHeight="false" outlineLevel="0" collapsed="false">
      <c r="A715" s="0" t="n">
        <v>3</v>
      </c>
      <c r="B715" s="59" t="n">
        <v>46212</v>
      </c>
      <c r="C715" s="0" t="n">
        <v>11</v>
      </c>
      <c r="D715" s="0" t="s">
        <v>2126</v>
      </c>
      <c r="E715" s="0" t="n">
        <v>1705</v>
      </c>
      <c r="F715" s="0" t="s">
        <v>123</v>
      </c>
      <c r="I715" s="0" t="n">
        <v>1924041</v>
      </c>
      <c r="J715" s="0" t="n">
        <v>107100</v>
      </c>
      <c r="K715" s="0" t="n">
        <v>7894900700015</v>
      </c>
      <c r="L715" s="0" t="s">
        <v>2588</v>
      </c>
      <c r="N715" s="0" t="n">
        <v>48</v>
      </c>
      <c r="O715" s="60" t="n">
        <v>147.11</v>
      </c>
    </row>
    <row r="716" customFormat="false" ht="15" hidden="false" customHeight="false" outlineLevel="0" collapsed="false">
      <c r="A716" s="0" t="n">
        <v>3</v>
      </c>
      <c r="B716" s="59" t="n">
        <v>46212</v>
      </c>
      <c r="C716" s="0" t="n">
        <v>11</v>
      </c>
      <c r="D716" s="0" t="s">
        <v>2126</v>
      </c>
      <c r="E716" s="0" t="n">
        <v>1705</v>
      </c>
      <c r="F716" s="0" t="s">
        <v>123</v>
      </c>
      <c r="I716" s="0" t="n">
        <v>1924041</v>
      </c>
      <c r="J716" s="0" t="n">
        <v>10830</v>
      </c>
      <c r="K716" s="0" t="n">
        <v>7894900701517</v>
      </c>
      <c r="L716" s="0" t="s">
        <v>2589</v>
      </c>
      <c r="N716" s="0" t="n">
        <v>60</v>
      </c>
      <c r="O716" s="60" t="n">
        <v>508.12</v>
      </c>
    </row>
    <row r="717" customFormat="false" ht="15" hidden="false" customHeight="false" outlineLevel="0" collapsed="false">
      <c r="A717" s="0" t="n">
        <v>3</v>
      </c>
      <c r="B717" s="59" t="n">
        <v>46212</v>
      </c>
      <c r="C717" s="0" t="n">
        <v>11</v>
      </c>
      <c r="D717" s="0" t="s">
        <v>2126</v>
      </c>
      <c r="E717" s="0" t="n">
        <v>1705</v>
      </c>
      <c r="F717" s="0" t="s">
        <v>123</v>
      </c>
      <c r="I717" s="0" t="n">
        <v>1924041</v>
      </c>
      <c r="J717" s="0" t="n">
        <v>21183</v>
      </c>
      <c r="K717" s="0" t="n">
        <v>7894900556063</v>
      </c>
      <c r="L717" s="0" t="s">
        <v>2590</v>
      </c>
      <c r="N717" s="0" t="n">
        <v>18</v>
      </c>
      <c r="O717" s="60" t="n">
        <v>102.89</v>
      </c>
    </row>
    <row r="718" customFormat="false" ht="15" hidden="false" customHeight="false" outlineLevel="0" collapsed="false">
      <c r="A718" s="0" t="n">
        <v>3</v>
      </c>
      <c r="B718" s="59" t="n">
        <v>46212</v>
      </c>
      <c r="C718" s="0" t="n">
        <v>11</v>
      </c>
      <c r="D718" s="0" t="s">
        <v>2126</v>
      </c>
      <c r="E718" s="0" t="n">
        <v>1705</v>
      </c>
      <c r="F718" s="0" t="s">
        <v>123</v>
      </c>
      <c r="I718" s="0" t="n">
        <v>1924041</v>
      </c>
      <c r="J718" s="0" t="n">
        <v>21426</v>
      </c>
      <c r="K718" s="0" t="n">
        <v>7894900014211</v>
      </c>
      <c r="L718" s="0" t="s">
        <v>2591</v>
      </c>
      <c r="N718" s="0" t="n">
        <v>90</v>
      </c>
      <c r="O718" s="60" t="n">
        <v>593.41</v>
      </c>
    </row>
    <row r="719" customFormat="false" ht="15" hidden="false" customHeight="false" outlineLevel="0" collapsed="false">
      <c r="A719" s="0" t="n">
        <v>3</v>
      </c>
      <c r="B719" s="59" t="n">
        <v>46212</v>
      </c>
      <c r="C719" s="0" t="n">
        <v>11</v>
      </c>
      <c r="D719" s="0" t="s">
        <v>2126</v>
      </c>
      <c r="E719" s="0" t="n">
        <v>1705</v>
      </c>
      <c r="F719" s="0" t="s">
        <v>123</v>
      </c>
      <c r="I719" s="0" t="n">
        <v>1924041</v>
      </c>
      <c r="J719" s="0" t="n">
        <v>22893</v>
      </c>
      <c r="K719" s="0" t="n">
        <v>7894900550061</v>
      </c>
      <c r="L719" s="0" t="s">
        <v>2592</v>
      </c>
      <c r="N719" s="0" t="n">
        <v>12</v>
      </c>
      <c r="O719" s="60" t="n">
        <v>63.9</v>
      </c>
    </row>
    <row r="720" customFormat="false" ht="15" hidden="false" customHeight="false" outlineLevel="0" collapsed="false">
      <c r="A720" s="0" t="n">
        <v>3</v>
      </c>
      <c r="B720" s="59" t="n">
        <v>46212</v>
      </c>
      <c r="C720" s="0" t="n">
        <v>11</v>
      </c>
      <c r="D720" s="0" t="s">
        <v>2126</v>
      </c>
      <c r="E720" s="0" t="n">
        <v>1705</v>
      </c>
      <c r="F720" s="0" t="s">
        <v>123</v>
      </c>
      <c r="I720" s="0" t="n">
        <v>1924041</v>
      </c>
      <c r="J720" s="0" t="n">
        <v>28739</v>
      </c>
      <c r="K720" s="0" t="n">
        <v>7894900027044</v>
      </c>
      <c r="L720" s="0" t="s">
        <v>2593</v>
      </c>
      <c r="N720" s="0" t="n">
        <v>60</v>
      </c>
      <c r="O720" s="60" t="n">
        <v>336.33</v>
      </c>
    </row>
    <row r="721" customFormat="false" ht="15" hidden="false" customHeight="false" outlineLevel="0" collapsed="false">
      <c r="A721" s="0" t="n">
        <v>3</v>
      </c>
      <c r="B721" s="59" t="n">
        <v>46212</v>
      </c>
      <c r="C721" s="0" t="n">
        <v>11</v>
      </c>
      <c r="D721" s="0" t="s">
        <v>2126</v>
      </c>
      <c r="E721" s="0" t="n">
        <v>1705</v>
      </c>
      <c r="F721" s="0" t="s">
        <v>123</v>
      </c>
      <c r="I721" s="0" t="n">
        <v>1924041</v>
      </c>
      <c r="J721" s="0" t="n">
        <v>30017</v>
      </c>
      <c r="K721" s="0" t="n">
        <v>7894900680508</v>
      </c>
      <c r="L721" s="0" t="s">
        <v>2594</v>
      </c>
      <c r="N721" s="0" t="n">
        <v>36</v>
      </c>
      <c r="O721" s="60" t="n">
        <v>116.14</v>
      </c>
    </row>
    <row r="722" customFormat="false" ht="15" hidden="false" customHeight="false" outlineLevel="0" collapsed="false">
      <c r="A722" s="0" t="n">
        <v>3</v>
      </c>
      <c r="B722" s="59" t="n">
        <v>46212</v>
      </c>
      <c r="C722" s="0" t="n">
        <v>11</v>
      </c>
      <c r="D722" s="0" t="s">
        <v>2126</v>
      </c>
      <c r="E722" s="0" t="n">
        <v>1705</v>
      </c>
      <c r="F722" s="0" t="s">
        <v>123</v>
      </c>
      <c r="I722" s="0" t="n">
        <v>1924041</v>
      </c>
      <c r="J722" s="0" t="n">
        <v>30085</v>
      </c>
      <c r="K722" s="0" t="n">
        <v>7894900054217</v>
      </c>
      <c r="L722" s="0" t="s">
        <v>2595</v>
      </c>
      <c r="N722" s="0" t="n">
        <v>18</v>
      </c>
      <c r="O722" s="60" t="n">
        <v>103.26</v>
      </c>
    </row>
    <row r="723" customFormat="false" ht="15" hidden="false" customHeight="false" outlineLevel="0" collapsed="false">
      <c r="A723" s="0" t="n">
        <v>3</v>
      </c>
      <c r="B723" s="59" t="n">
        <v>46212</v>
      </c>
      <c r="C723" s="0" t="n">
        <v>11</v>
      </c>
      <c r="D723" s="0" t="s">
        <v>2126</v>
      </c>
      <c r="E723" s="0" t="n">
        <v>1705</v>
      </c>
      <c r="F723" s="0" t="s">
        <v>123</v>
      </c>
      <c r="I723" s="0" t="n">
        <v>1924041</v>
      </c>
      <c r="J723" s="0" t="n">
        <v>31367</v>
      </c>
      <c r="K723" s="0" t="n">
        <v>7894900704211</v>
      </c>
      <c r="L723" s="0" t="s">
        <v>2596</v>
      </c>
      <c r="N723" s="0" t="n">
        <v>45</v>
      </c>
      <c r="O723" s="60" t="n">
        <v>258.14</v>
      </c>
    </row>
    <row r="724" customFormat="false" ht="15" hidden="false" customHeight="false" outlineLevel="0" collapsed="false">
      <c r="A724" s="0" t="n">
        <v>3</v>
      </c>
      <c r="B724" s="59" t="n">
        <v>46212</v>
      </c>
      <c r="C724" s="0" t="n">
        <v>11</v>
      </c>
      <c r="D724" s="0" t="s">
        <v>2126</v>
      </c>
      <c r="E724" s="0" t="n">
        <v>1705</v>
      </c>
      <c r="F724" s="0" t="s">
        <v>123</v>
      </c>
      <c r="I724" s="0" t="n">
        <v>1924041</v>
      </c>
      <c r="J724" s="0" t="n">
        <v>31767</v>
      </c>
      <c r="K724" s="0" t="n">
        <v>7897105250095</v>
      </c>
      <c r="L724" s="0" t="s">
        <v>2597</v>
      </c>
      <c r="N724" s="0" t="n">
        <v>18</v>
      </c>
      <c r="O724" s="60" t="n">
        <v>65.51</v>
      </c>
    </row>
    <row r="725" customFormat="false" ht="15" hidden="false" customHeight="false" outlineLevel="0" collapsed="false">
      <c r="A725" s="0" t="n">
        <v>3</v>
      </c>
      <c r="B725" s="59" t="n">
        <v>46212</v>
      </c>
      <c r="C725" s="0" t="n">
        <v>11</v>
      </c>
      <c r="D725" s="0" t="s">
        <v>2126</v>
      </c>
      <c r="E725" s="0" t="n">
        <v>1705</v>
      </c>
      <c r="F725" s="0" t="s">
        <v>123</v>
      </c>
      <c r="I725" s="0" t="n">
        <v>1924041</v>
      </c>
      <c r="J725" s="0" t="n">
        <v>32339</v>
      </c>
      <c r="K725" s="0" t="n">
        <v>7894900681000</v>
      </c>
      <c r="L725" s="0" t="s">
        <v>2598</v>
      </c>
      <c r="N725" s="0" t="n">
        <v>18</v>
      </c>
      <c r="O725" s="60" t="n">
        <v>133.74</v>
      </c>
    </row>
    <row r="726" customFormat="false" ht="15" hidden="false" customHeight="false" outlineLevel="0" collapsed="false">
      <c r="A726" s="0" t="n">
        <v>3</v>
      </c>
      <c r="B726" s="59" t="n">
        <v>46212</v>
      </c>
      <c r="C726" s="0" t="n">
        <v>11</v>
      </c>
      <c r="D726" s="0" t="s">
        <v>2126</v>
      </c>
      <c r="E726" s="0" t="n">
        <v>1705</v>
      </c>
      <c r="F726" s="0" t="s">
        <v>123</v>
      </c>
      <c r="I726" s="0" t="n">
        <v>1924041</v>
      </c>
      <c r="J726" s="0" t="n">
        <v>38060</v>
      </c>
      <c r="K726" s="0" t="n">
        <v>7894900701609</v>
      </c>
      <c r="L726" s="0" t="s">
        <v>2599</v>
      </c>
      <c r="N726" s="0" t="n">
        <v>48</v>
      </c>
      <c r="O726" s="60" t="n">
        <v>162.6</v>
      </c>
    </row>
    <row r="727" customFormat="false" ht="15" hidden="false" customHeight="false" outlineLevel="0" collapsed="false">
      <c r="A727" s="0" t="n">
        <v>3</v>
      </c>
      <c r="B727" s="59" t="n">
        <v>46212</v>
      </c>
      <c r="C727" s="0" t="n">
        <v>22</v>
      </c>
      <c r="D727" s="0" t="s">
        <v>2172</v>
      </c>
      <c r="E727" s="0" t="n">
        <v>42</v>
      </c>
      <c r="F727" s="0" t="s">
        <v>81</v>
      </c>
      <c r="I727" s="0" t="n">
        <v>4366</v>
      </c>
      <c r="J727" s="0" t="n">
        <v>100006</v>
      </c>
      <c r="K727" s="0" t="n">
        <v>7</v>
      </c>
      <c r="L727" s="0" t="s">
        <v>2228</v>
      </c>
      <c r="N727" s="0" t="n">
        <v>18.086</v>
      </c>
      <c r="O727" s="60" t="n">
        <v>596.51</v>
      </c>
    </row>
    <row r="728" customFormat="false" ht="15" hidden="false" customHeight="false" outlineLevel="0" collapsed="false">
      <c r="A728" s="0" t="n">
        <v>3</v>
      </c>
      <c r="B728" s="59" t="n">
        <v>46212</v>
      </c>
      <c r="C728" s="0" t="n">
        <v>22</v>
      </c>
      <c r="D728" s="0" t="s">
        <v>2172</v>
      </c>
      <c r="E728" s="0" t="n">
        <v>42</v>
      </c>
      <c r="F728" s="0" t="s">
        <v>81</v>
      </c>
      <c r="I728" s="0" t="n">
        <v>4366</v>
      </c>
      <c r="J728" s="0" t="n">
        <v>100008</v>
      </c>
      <c r="K728" s="0" t="n">
        <v>9</v>
      </c>
      <c r="L728" s="0" t="s">
        <v>2229</v>
      </c>
      <c r="N728" s="0" t="n">
        <v>32.645</v>
      </c>
      <c r="O728" s="60" t="n">
        <v>1103.62</v>
      </c>
    </row>
    <row r="729" customFormat="false" ht="15" hidden="false" customHeight="false" outlineLevel="0" collapsed="false">
      <c r="A729" s="0" t="n">
        <v>3</v>
      </c>
      <c r="B729" s="59" t="n">
        <v>46212</v>
      </c>
      <c r="C729" s="0" t="n">
        <v>22</v>
      </c>
      <c r="D729" s="0" t="s">
        <v>2172</v>
      </c>
      <c r="E729" s="0" t="n">
        <v>42</v>
      </c>
      <c r="F729" s="0" t="s">
        <v>81</v>
      </c>
      <c r="I729" s="0" t="n">
        <v>4366</v>
      </c>
      <c r="J729" s="0" t="n">
        <v>100010</v>
      </c>
      <c r="K729" s="0" t="n">
        <v>11</v>
      </c>
      <c r="L729" s="0" t="s">
        <v>2230</v>
      </c>
      <c r="N729" s="0" t="n">
        <v>6.903</v>
      </c>
      <c r="O729" s="60" t="n">
        <v>267.53</v>
      </c>
    </row>
    <row r="730" customFormat="false" ht="15" hidden="false" customHeight="false" outlineLevel="0" collapsed="false">
      <c r="A730" s="0" t="n">
        <v>3</v>
      </c>
      <c r="B730" s="59" t="n">
        <v>46212</v>
      </c>
      <c r="C730" s="0" t="n">
        <v>22</v>
      </c>
      <c r="D730" s="0" t="s">
        <v>2172</v>
      </c>
      <c r="E730" s="0" t="n">
        <v>42</v>
      </c>
      <c r="F730" s="0" t="s">
        <v>81</v>
      </c>
      <c r="I730" s="0" t="n">
        <v>4366</v>
      </c>
      <c r="J730" s="0" t="n">
        <v>100011</v>
      </c>
      <c r="K730" s="0" t="n">
        <v>12</v>
      </c>
      <c r="L730" s="0" t="s">
        <v>2231</v>
      </c>
      <c r="N730" s="0" t="n">
        <v>13.685</v>
      </c>
      <c r="O730" s="60" t="n">
        <v>530.36</v>
      </c>
    </row>
    <row r="731" customFormat="false" ht="15" hidden="false" customHeight="false" outlineLevel="0" collapsed="false">
      <c r="A731" s="0" t="n">
        <v>3</v>
      </c>
      <c r="B731" s="59" t="n">
        <v>46212</v>
      </c>
      <c r="C731" s="0" t="n">
        <v>22</v>
      </c>
      <c r="D731" s="0" t="s">
        <v>2172</v>
      </c>
      <c r="E731" s="0" t="n">
        <v>42</v>
      </c>
      <c r="F731" s="0" t="s">
        <v>81</v>
      </c>
      <c r="I731" s="0" t="n">
        <v>4366</v>
      </c>
      <c r="J731" s="0" t="n">
        <v>100012</v>
      </c>
      <c r="K731" s="0" t="n">
        <v>13</v>
      </c>
      <c r="L731" s="0" t="s">
        <v>2232</v>
      </c>
      <c r="N731" s="0" t="n">
        <v>11.203</v>
      </c>
      <c r="O731" s="60" t="n">
        <v>471.13</v>
      </c>
    </row>
    <row r="732" customFormat="false" ht="15" hidden="false" customHeight="false" outlineLevel="0" collapsed="false">
      <c r="A732" s="0" t="n">
        <v>3</v>
      </c>
      <c r="B732" s="59" t="n">
        <v>46212</v>
      </c>
      <c r="C732" s="0" t="n">
        <v>22</v>
      </c>
      <c r="D732" s="0" t="s">
        <v>2172</v>
      </c>
      <c r="E732" s="0" t="n">
        <v>42</v>
      </c>
      <c r="F732" s="0" t="s">
        <v>81</v>
      </c>
      <c r="I732" s="0" t="n">
        <v>4366</v>
      </c>
      <c r="J732" s="0" t="n">
        <v>100013</v>
      </c>
      <c r="K732" s="0" t="n">
        <v>14</v>
      </c>
      <c r="L732" s="0" t="s">
        <v>2233</v>
      </c>
      <c r="N732" s="0" t="n">
        <v>22.68</v>
      </c>
      <c r="O732" s="60" t="n">
        <v>1028.61</v>
      </c>
    </row>
    <row r="733" customFormat="false" ht="15" hidden="false" customHeight="false" outlineLevel="0" collapsed="false">
      <c r="A733" s="0" t="n">
        <v>3</v>
      </c>
      <c r="B733" s="59" t="n">
        <v>46212</v>
      </c>
      <c r="C733" s="0" t="n">
        <v>22</v>
      </c>
      <c r="D733" s="0" t="s">
        <v>2172</v>
      </c>
      <c r="E733" s="0" t="n">
        <v>42</v>
      </c>
      <c r="F733" s="0" t="s">
        <v>81</v>
      </c>
      <c r="I733" s="0" t="n">
        <v>4366</v>
      </c>
      <c r="J733" s="0" t="n">
        <v>100014</v>
      </c>
      <c r="K733" s="0" t="n">
        <v>15</v>
      </c>
      <c r="L733" s="0" t="s">
        <v>2234</v>
      </c>
      <c r="N733" s="0" t="n">
        <v>9.705</v>
      </c>
      <c r="O733" s="60" t="n">
        <v>448.16</v>
      </c>
    </row>
    <row r="734" customFormat="false" ht="15" hidden="false" customHeight="false" outlineLevel="0" collapsed="false">
      <c r="A734" s="0" t="n">
        <v>3</v>
      </c>
      <c r="B734" s="59" t="n">
        <v>46212</v>
      </c>
      <c r="C734" s="0" t="n">
        <v>22</v>
      </c>
      <c r="D734" s="0" t="s">
        <v>2172</v>
      </c>
      <c r="E734" s="0" t="n">
        <v>42</v>
      </c>
      <c r="F734" s="0" t="s">
        <v>81</v>
      </c>
      <c r="I734" s="0" t="n">
        <v>4366</v>
      </c>
      <c r="J734" s="0" t="n">
        <v>100015</v>
      </c>
      <c r="K734" s="0" t="n">
        <v>16</v>
      </c>
      <c r="L734" s="0" t="s">
        <v>2235</v>
      </c>
      <c r="N734" s="0" t="n">
        <v>3.16</v>
      </c>
      <c r="O734" s="60" t="n">
        <v>132.89</v>
      </c>
    </row>
    <row r="735" customFormat="false" ht="15" hidden="false" customHeight="false" outlineLevel="0" collapsed="false">
      <c r="A735" s="0" t="n">
        <v>3</v>
      </c>
      <c r="B735" s="59" t="n">
        <v>46212</v>
      </c>
      <c r="C735" s="0" t="n">
        <v>22</v>
      </c>
      <c r="D735" s="0" t="s">
        <v>2172</v>
      </c>
      <c r="E735" s="0" t="n">
        <v>42</v>
      </c>
      <c r="F735" s="0" t="s">
        <v>81</v>
      </c>
      <c r="I735" s="0" t="n">
        <v>4366</v>
      </c>
      <c r="J735" s="0" t="n">
        <v>100016</v>
      </c>
      <c r="K735" s="0" t="n">
        <v>17</v>
      </c>
      <c r="L735" s="0" t="s">
        <v>2236</v>
      </c>
      <c r="N735" s="0" t="n">
        <v>4.234</v>
      </c>
      <c r="O735" s="60" t="n">
        <v>192.03</v>
      </c>
    </row>
    <row r="736" customFormat="false" ht="15" hidden="false" customHeight="false" outlineLevel="0" collapsed="false">
      <c r="A736" s="0" t="n">
        <v>3</v>
      </c>
      <c r="B736" s="59" t="n">
        <v>46212</v>
      </c>
      <c r="C736" s="0" t="n">
        <v>22</v>
      </c>
      <c r="D736" s="0" t="s">
        <v>2172</v>
      </c>
      <c r="E736" s="0" t="n">
        <v>42</v>
      </c>
      <c r="F736" s="0" t="s">
        <v>81</v>
      </c>
      <c r="I736" s="0" t="n">
        <v>4366</v>
      </c>
      <c r="J736" s="0" t="n">
        <v>100017</v>
      </c>
      <c r="K736" s="0" t="n">
        <v>18</v>
      </c>
      <c r="L736" s="0" t="s">
        <v>2237</v>
      </c>
      <c r="N736" s="0" t="n">
        <v>3.723</v>
      </c>
      <c r="O736" s="60" t="n">
        <v>199.56</v>
      </c>
    </row>
    <row r="737" customFormat="false" ht="15" hidden="false" customHeight="false" outlineLevel="0" collapsed="false">
      <c r="A737" s="0" t="n">
        <v>3</v>
      </c>
      <c r="B737" s="59" t="n">
        <v>46212</v>
      </c>
      <c r="C737" s="0" t="n">
        <v>22</v>
      </c>
      <c r="D737" s="0" t="s">
        <v>2172</v>
      </c>
      <c r="E737" s="0" t="n">
        <v>42</v>
      </c>
      <c r="F737" s="0" t="s">
        <v>81</v>
      </c>
      <c r="I737" s="0" t="n">
        <v>4366</v>
      </c>
      <c r="J737" s="0" t="n">
        <v>100020</v>
      </c>
      <c r="K737" s="0" t="n">
        <v>21</v>
      </c>
      <c r="L737" s="0" t="s">
        <v>2337</v>
      </c>
      <c r="N737" s="0" t="n">
        <v>1.658</v>
      </c>
      <c r="O737" s="60" t="n">
        <v>56.05</v>
      </c>
    </row>
    <row r="738" customFormat="false" ht="15" hidden="false" customHeight="false" outlineLevel="0" collapsed="false">
      <c r="A738" s="0" t="n">
        <v>3</v>
      </c>
      <c r="B738" s="59" t="n">
        <v>46212</v>
      </c>
      <c r="C738" s="0" t="n">
        <v>22</v>
      </c>
      <c r="D738" s="0" t="s">
        <v>2172</v>
      </c>
      <c r="E738" s="0" t="n">
        <v>42</v>
      </c>
      <c r="F738" s="0" t="s">
        <v>81</v>
      </c>
      <c r="I738" s="0" t="n">
        <v>4366</v>
      </c>
      <c r="J738" s="0" t="n">
        <v>100053</v>
      </c>
      <c r="K738" s="0" t="n">
        <v>54</v>
      </c>
      <c r="L738" s="0" t="s">
        <v>2238</v>
      </c>
      <c r="N738" s="0" t="n">
        <v>4.49</v>
      </c>
      <c r="O738" s="60" t="n">
        <v>166.6</v>
      </c>
    </row>
    <row r="739" customFormat="false" ht="15" hidden="false" customHeight="false" outlineLevel="0" collapsed="false">
      <c r="A739" s="0" t="n">
        <v>3</v>
      </c>
      <c r="B739" s="59" t="n">
        <v>46212</v>
      </c>
      <c r="C739" s="0" t="n">
        <v>22</v>
      </c>
      <c r="D739" s="0" t="s">
        <v>2172</v>
      </c>
      <c r="E739" s="0" t="n">
        <v>42</v>
      </c>
      <c r="F739" s="0" t="s">
        <v>81</v>
      </c>
      <c r="I739" s="0" t="n">
        <v>4366</v>
      </c>
      <c r="J739" s="0" t="n">
        <v>100638</v>
      </c>
      <c r="K739" s="0" t="n">
        <v>508</v>
      </c>
      <c r="L739" s="0" t="s">
        <v>2178</v>
      </c>
      <c r="N739" s="0" t="n">
        <v>5.098</v>
      </c>
      <c r="O739" s="60" t="n">
        <v>8.37</v>
      </c>
    </row>
    <row r="740" customFormat="false" ht="15" hidden="false" customHeight="false" outlineLevel="0" collapsed="false">
      <c r="A740" s="0" t="n">
        <v>3</v>
      </c>
      <c r="B740" s="59" t="n">
        <v>46212</v>
      </c>
      <c r="C740" s="0" t="n">
        <v>22</v>
      </c>
      <c r="D740" s="0" t="s">
        <v>2172</v>
      </c>
      <c r="E740" s="0" t="n">
        <v>42</v>
      </c>
      <c r="F740" s="0" t="s">
        <v>81</v>
      </c>
      <c r="I740" s="0" t="n">
        <v>4366</v>
      </c>
      <c r="J740" s="0" t="n">
        <v>100520</v>
      </c>
      <c r="K740" s="0" t="n">
        <v>507</v>
      </c>
      <c r="L740" s="0" t="s">
        <v>2179</v>
      </c>
      <c r="N740" s="0" t="n">
        <v>26.678</v>
      </c>
      <c r="O740" s="60" t="n">
        <v>65.79</v>
      </c>
    </row>
    <row r="741" customFormat="false" ht="15" hidden="false" customHeight="false" outlineLevel="0" collapsed="false">
      <c r="A741" s="0" t="n">
        <v>3</v>
      </c>
      <c r="B741" s="59" t="n">
        <v>46212</v>
      </c>
      <c r="C741" s="0" t="n">
        <v>22</v>
      </c>
      <c r="D741" s="0" t="s">
        <v>2172</v>
      </c>
      <c r="E741" s="0" t="n">
        <v>42</v>
      </c>
      <c r="F741" s="0" t="s">
        <v>81</v>
      </c>
      <c r="I741" s="0" t="n">
        <v>4366</v>
      </c>
      <c r="J741" s="0" t="n">
        <v>110455</v>
      </c>
      <c r="K741" s="0" t="n">
        <v>53212</v>
      </c>
      <c r="L741" s="0" t="s">
        <v>2180</v>
      </c>
      <c r="N741" s="0" t="n">
        <v>0.652</v>
      </c>
      <c r="O741" s="60" t="n">
        <v>0</v>
      </c>
    </row>
    <row r="742" customFormat="false" ht="15" hidden="false" customHeight="false" outlineLevel="0" collapsed="false">
      <c r="A742" s="0" t="n">
        <v>3</v>
      </c>
      <c r="B742" s="59" t="n">
        <v>46212</v>
      </c>
      <c r="C742" s="0" t="n">
        <v>22</v>
      </c>
      <c r="D742" s="0" t="s">
        <v>2172</v>
      </c>
      <c r="E742" s="0" t="n">
        <v>42</v>
      </c>
      <c r="F742" s="0" t="s">
        <v>81</v>
      </c>
      <c r="I742" s="0" t="n">
        <v>4368</v>
      </c>
      <c r="J742" s="0" t="n">
        <v>100000</v>
      </c>
      <c r="K742" s="0" t="n">
        <v>1</v>
      </c>
      <c r="L742" s="0" t="s">
        <v>2173</v>
      </c>
      <c r="N742" s="0" t="n">
        <v>6.862</v>
      </c>
      <c r="O742" s="60" t="n">
        <v>147.67</v>
      </c>
    </row>
    <row r="743" customFormat="false" ht="15" hidden="false" customHeight="false" outlineLevel="0" collapsed="false">
      <c r="A743" s="0" t="n">
        <v>3</v>
      </c>
      <c r="B743" s="59" t="n">
        <v>46212</v>
      </c>
      <c r="C743" s="0" t="n">
        <v>22</v>
      </c>
      <c r="D743" s="0" t="s">
        <v>2172</v>
      </c>
      <c r="E743" s="0" t="n">
        <v>42</v>
      </c>
      <c r="F743" s="0" t="s">
        <v>81</v>
      </c>
      <c r="I743" s="0" t="n">
        <v>4368</v>
      </c>
      <c r="J743" s="0" t="n">
        <v>100001</v>
      </c>
      <c r="K743" s="0" t="n">
        <v>2</v>
      </c>
      <c r="L743" s="0" t="s">
        <v>2174</v>
      </c>
      <c r="N743" s="0" t="n">
        <v>22.126</v>
      </c>
      <c r="O743" s="60" t="n">
        <v>509.01</v>
      </c>
    </row>
    <row r="744" customFormat="false" ht="15" hidden="false" customHeight="false" outlineLevel="0" collapsed="false">
      <c r="A744" s="0" t="n">
        <v>3</v>
      </c>
      <c r="B744" s="59" t="n">
        <v>46212</v>
      </c>
      <c r="C744" s="0" t="n">
        <v>22</v>
      </c>
      <c r="D744" s="0" t="s">
        <v>2172</v>
      </c>
      <c r="E744" s="0" t="n">
        <v>42</v>
      </c>
      <c r="F744" s="0" t="s">
        <v>81</v>
      </c>
      <c r="I744" s="0" t="n">
        <v>4368</v>
      </c>
      <c r="J744" s="0" t="n">
        <v>100002</v>
      </c>
      <c r="K744" s="0" t="n">
        <v>3</v>
      </c>
      <c r="L744" s="0" t="s">
        <v>2175</v>
      </c>
      <c r="N744" s="0" t="n">
        <v>31.375</v>
      </c>
      <c r="O744" s="60" t="n">
        <v>745.07</v>
      </c>
    </row>
    <row r="745" customFormat="false" ht="15" hidden="false" customHeight="false" outlineLevel="0" collapsed="false">
      <c r="A745" s="0" t="n">
        <v>3</v>
      </c>
      <c r="B745" s="59" t="n">
        <v>46212</v>
      </c>
      <c r="C745" s="0" t="n">
        <v>22</v>
      </c>
      <c r="D745" s="0" t="s">
        <v>2172</v>
      </c>
      <c r="E745" s="0" t="n">
        <v>42</v>
      </c>
      <c r="F745" s="0" t="s">
        <v>81</v>
      </c>
      <c r="I745" s="0" t="n">
        <v>4368</v>
      </c>
      <c r="J745" s="0" t="n">
        <v>100003</v>
      </c>
      <c r="K745" s="0" t="n">
        <v>4</v>
      </c>
      <c r="L745" s="0" t="s">
        <v>2176</v>
      </c>
      <c r="N745" s="0" t="n">
        <v>39.939</v>
      </c>
      <c r="O745" s="60" t="n">
        <v>1037.39</v>
      </c>
    </row>
    <row r="746" customFormat="false" ht="15" hidden="false" customHeight="false" outlineLevel="0" collapsed="false">
      <c r="A746" s="0" t="n">
        <v>3</v>
      </c>
      <c r="B746" s="59" t="n">
        <v>46212</v>
      </c>
      <c r="C746" s="0" t="n">
        <v>22</v>
      </c>
      <c r="D746" s="0" t="s">
        <v>2172</v>
      </c>
      <c r="E746" s="0" t="n">
        <v>42</v>
      </c>
      <c r="F746" s="0" t="s">
        <v>81</v>
      </c>
      <c r="I746" s="0" t="n">
        <v>4368</v>
      </c>
      <c r="J746" s="0" t="n">
        <v>100007</v>
      </c>
      <c r="K746" s="0" t="n">
        <v>8</v>
      </c>
      <c r="L746" s="0" t="s">
        <v>2177</v>
      </c>
      <c r="N746" s="0" t="n">
        <v>12.219</v>
      </c>
      <c r="O746" s="60" t="n">
        <v>308.31</v>
      </c>
    </row>
    <row r="747" customFormat="false" ht="15" hidden="false" customHeight="false" outlineLevel="0" collapsed="false">
      <c r="A747" s="0" t="n">
        <v>3</v>
      </c>
      <c r="B747" s="59" t="n">
        <v>46212</v>
      </c>
      <c r="C747" s="0" t="n">
        <v>22</v>
      </c>
      <c r="D747" s="0" t="s">
        <v>2172</v>
      </c>
      <c r="E747" s="0" t="n">
        <v>42</v>
      </c>
      <c r="F747" s="0" t="s">
        <v>81</v>
      </c>
      <c r="I747" s="0" t="n">
        <v>4368</v>
      </c>
      <c r="J747" s="0" t="n">
        <v>100638</v>
      </c>
      <c r="K747" s="0" t="n">
        <v>508</v>
      </c>
      <c r="L747" s="0" t="s">
        <v>2178</v>
      </c>
      <c r="N747" s="0" t="n">
        <v>5.36</v>
      </c>
      <c r="O747" s="60" t="n">
        <v>7.92</v>
      </c>
    </row>
    <row r="748" customFormat="false" ht="15" hidden="false" customHeight="false" outlineLevel="0" collapsed="false">
      <c r="A748" s="0" t="n">
        <v>3</v>
      </c>
      <c r="B748" s="59" t="n">
        <v>46212</v>
      </c>
      <c r="C748" s="0" t="n">
        <v>22</v>
      </c>
      <c r="D748" s="0" t="s">
        <v>2172</v>
      </c>
      <c r="E748" s="0" t="n">
        <v>42</v>
      </c>
      <c r="F748" s="0" t="s">
        <v>81</v>
      </c>
      <c r="I748" s="0" t="n">
        <v>4368</v>
      </c>
      <c r="J748" s="0" t="n">
        <v>100520</v>
      </c>
      <c r="K748" s="0" t="n">
        <v>507</v>
      </c>
      <c r="L748" s="0" t="s">
        <v>2179</v>
      </c>
      <c r="N748" s="0" t="n">
        <v>7.488</v>
      </c>
      <c r="O748" s="60" t="n">
        <v>16.62</v>
      </c>
    </row>
    <row r="749" customFormat="false" ht="15" hidden="false" customHeight="false" outlineLevel="0" collapsed="false">
      <c r="A749" s="0" t="n">
        <v>3</v>
      </c>
      <c r="B749" s="59" t="n">
        <v>46212</v>
      </c>
      <c r="C749" s="0" t="n">
        <v>22</v>
      </c>
      <c r="D749" s="0" t="s">
        <v>2172</v>
      </c>
      <c r="E749" s="0" t="n">
        <v>42</v>
      </c>
      <c r="F749" s="0" t="s">
        <v>81</v>
      </c>
      <c r="I749" s="0" t="n">
        <v>4368</v>
      </c>
      <c r="J749" s="0" t="n">
        <v>110455</v>
      </c>
      <c r="K749" s="0" t="n">
        <v>53212</v>
      </c>
      <c r="L749" s="0" t="s">
        <v>2180</v>
      </c>
      <c r="N749" s="0" t="n">
        <v>0.631</v>
      </c>
      <c r="O749" s="60" t="n">
        <v>0.01</v>
      </c>
    </row>
    <row r="750" customFormat="false" ht="15" hidden="false" customHeight="false" outlineLevel="0" collapsed="false">
      <c r="A750" s="0" t="n">
        <v>3</v>
      </c>
      <c r="B750" s="59" t="n">
        <v>46212</v>
      </c>
      <c r="C750" s="0" t="n">
        <v>100</v>
      </c>
      <c r="D750" s="0" t="s">
        <v>2181</v>
      </c>
      <c r="E750" s="0" t="n">
        <v>42</v>
      </c>
      <c r="F750" s="0" t="s">
        <v>81</v>
      </c>
      <c r="I750" s="0" t="n">
        <v>1374669</v>
      </c>
      <c r="J750" s="0" t="n">
        <v>100006</v>
      </c>
      <c r="K750" s="0" t="n">
        <v>7</v>
      </c>
      <c r="L750" s="0" t="s">
        <v>2228</v>
      </c>
      <c r="N750" s="0" t="n">
        <v>18.086</v>
      </c>
      <c r="O750" s="60" t="n">
        <v>596.51</v>
      </c>
    </row>
    <row r="751" customFormat="false" ht="15" hidden="false" customHeight="false" outlineLevel="0" collapsed="false">
      <c r="A751" s="0" t="n">
        <v>3</v>
      </c>
      <c r="B751" s="59" t="n">
        <v>46212</v>
      </c>
      <c r="C751" s="0" t="n">
        <v>100</v>
      </c>
      <c r="D751" s="0" t="s">
        <v>2181</v>
      </c>
      <c r="E751" s="0" t="n">
        <v>42</v>
      </c>
      <c r="F751" s="0" t="s">
        <v>81</v>
      </c>
      <c r="I751" s="0" t="n">
        <v>1374669</v>
      </c>
      <c r="J751" s="0" t="n">
        <v>100008</v>
      </c>
      <c r="K751" s="0" t="n">
        <v>9</v>
      </c>
      <c r="L751" s="0" t="s">
        <v>2229</v>
      </c>
      <c r="N751" s="0" t="n">
        <v>32.645</v>
      </c>
      <c r="O751" s="60" t="n">
        <v>1103.62</v>
      </c>
    </row>
    <row r="752" customFormat="false" ht="15" hidden="false" customHeight="false" outlineLevel="0" collapsed="false">
      <c r="A752" s="0" t="n">
        <v>3</v>
      </c>
      <c r="B752" s="59" t="n">
        <v>46212</v>
      </c>
      <c r="C752" s="0" t="n">
        <v>100</v>
      </c>
      <c r="D752" s="0" t="s">
        <v>2181</v>
      </c>
      <c r="E752" s="0" t="n">
        <v>42</v>
      </c>
      <c r="F752" s="0" t="s">
        <v>81</v>
      </c>
      <c r="I752" s="0" t="n">
        <v>1374669</v>
      </c>
      <c r="J752" s="0" t="n">
        <v>100010</v>
      </c>
      <c r="K752" s="0" t="n">
        <v>11</v>
      </c>
      <c r="L752" s="0" t="s">
        <v>2230</v>
      </c>
      <c r="N752" s="0" t="n">
        <v>6.903</v>
      </c>
      <c r="O752" s="60" t="n">
        <v>267.53</v>
      </c>
    </row>
    <row r="753" customFormat="false" ht="15" hidden="false" customHeight="false" outlineLevel="0" collapsed="false">
      <c r="A753" s="0" t="n">
        <v>3</v>
      </c>
      <c r="B753" s="59" t="n">
        <v>46212</v>
      </c>
      <c r="C753" s="0" t="n">
        <v>100</v>
      </c>
      <c r="D753" s="0" t="s">
        <v>2181</v>
      </c>
      <c r="E753" s="0" t="n">
        <v>42</v>
      </c>
      <c r="F753" s="0" t="s">
        <v>81</v>
      </c>
      <c r="I753" s="0" t="n">
        <v>1374669</v>
      </c>
      <c r="J753" s="0" t="n">
        <v>100011</v>
      </c>
      <c r="K753" s="0" t="n">
        <v>12</v>
      </c>
      <c r="L753" s="0" t="s">
        <v>2231</v>
      </c>
      <c r="N753" s="0" t="n">
        <v>13.685</v>
      </c>
      <c r="O753" s="60" t="n">
        <v>530.36</v>
      </c>
    </row>
    <row r="754" customFormat="false" ht="15" hidden="false" customHeight="false" outlineLevel="0" collapsed="false">
      <c r="A754" s="0" t="n">
        <v>3</v>
      </c>
      <c r="B754" s="59" t="n">
        <v>46212</v>
      </c>
      <c r="C754" s="0" t="n">
        <v>100</v>
      </c>
      <c r="D754" s="0" t="s">
        <v>2181</v>
      </c>
      <c r="E754" s="0" t="n">
        <v>42</v>
      </c>
      <c r="F754" s="0" t="s">
        <v>81</v>
      </c>
      <c r="I754" s="0" t="n">
        <v>1374669</v>
      </c>
      <c r="J754" s="0" t="n">
        <v>100012</v>
      </c>
      <c r="K754" s="0" t="n">
        <v>13</v>
      </c>
      <c r="L754" s="0" t="s">
        <v>2232</v>
      </c>
      <c r="N754" s="0" t="n">
        <v>11.203</v>
      </c>
      <c r="O754" s="60" t="n">
        <v>471.13</v>
      </c>
    </row>
    <row r="755" customFormat="false" ht="15" hidden="false" customHeight="false" outlineLevel="0" collapsed="false">
      <c r="A755" s="0" t="n">
        <v>3</v>
      </c>
      <c r="B755" s="59" t="n">
        <v>46212</v>
      </c>
      <c r="C755" s="0" t="n">
        <v>100</v>
      </c>
      <c r="D755" s="0" t="s">
        <v>2181</v>
      </c>
      <c r="E755" s="0" t="n">
        <v>42</v>
      </c>
      <c r="F755" s="0" t="s">
        <v>81</v>
      </c>
      <c r="I755" s="0" t="n">
        <v>1374669</v>
      </c>
      <c r="J755" s="0" t="n">
        <v>100013</v>
      </c>
      <c r="K755" s="0" t="n">
        <v>14</v>
      </c>
      <c r="L755" s="0" t="s">
        <v>2233</v>
      </c>
      <c r="N755" s="0" t="n">
        <v>22.68</v>
      </c>
      <c r="O755" s="60" t="n">
        <v>1028.61</v>
      </c>
    </row>
    <row r="756" customFormat="false" ht="15" hidden="false" customHeight="false" outlineLevel="0" collapsed="false">
      <c r="A756" s="0" t="n">
        <v>3</v>
      </c>
      <c r="B756" s="59" t="n">
        <v>46212</v>
      </c>
      <c r="C756" s="0" t="n">
        <v>100</v>
      </c>
      <c r="D756" s="0" t="s">
        <v>2181</v>
      </c>
      <c r="E756" s="0" t="n">
        <v>42</v>
      </c>
      <c r="F756" s="0" t="s">
        <v>81</v>
      </c>
      <c r="I756" s="0" t="n">
        <v>1374669</v>
      </c>
      <c r="J756" s="0" t="n">
        <v>100014</v>
      </c>
      <c r="K756" s="0" t="n">
        <v>15</v>
      </c>
      <c r="L756" s="0" t="s">
        <v>2234</v>
      </c>
      <c r="N756" s="0" t="n">
        <v>9.705</v>
      </c>
      <c r="O756" s="60" t="n">
        <v>448.16</v>
      </c>
    </row>
    <row r="757" customFormat="false" ht="15" hidden="false" customHeight="false" outlineLevel="0" collapsed="false">
      <c r="A757" s="0" t="n">
        <v>3</v>
      </c>
      <c r="B757" s="59" t="n">
        <v>46212</v>
      </c>
      <c r="C757" s="0" t="n">
        <v>100</v>
      </c>
      <c r="D757" s="0" t="s">
        <v>2181</v>
      </c>
      <c r="E757" s="0" t="n">
        <v>42</v>
      </c>
      <c r="F757" s="0" t="s">
        <v>81</v>
      </c>
      <c r="I757" s="0" t="n">
        <v>1374669</v>
      </c>
      <c r="J757" s="0" t="n">
        <v>100015</v>
      </c>
      <c r="K757" s="0" t="n">
        <v>16</v>
      </c>
      <c r="L757" s="0" t="s">
        <v>2235</v>
      </c>
      <c r="N757" s="0" t="n">
        <v>3.16</v>
      </c>
      <c r="O757" s="60" t="n">
        <v>132.89</v>
      </c>
    </row>
    <row r="758" customFormat="false" ht="15" hidden="false" customHeight="false" outlineLevel="0" collapsed="false">
      <c r="A758" s="0" t="n">
        <v>3</v>
      </c>
      <c r="B758" s="59" t="n">
        <v>46212</v>
      </c>
      <c r="C758" s="0" t="n">
        <v>100</v>
      </c>
      <c r="D758" s="0" t="s">
        <v>2181</v>
      </c>
      <c r="E758" s="0" t="n">
        <v>42</v>
      </c>
      <c r="F758" s="0" t="s">
        <v>81</v>
      </c>
      <c r="I758" s="0" t="n">
        <v>1374669</v>
      </c>
      <c r="J758" s="0" t="n">
        <v>100016</v>
      </c>
      <c r="K758" s="0" t="n">
        <v>17</v>
      </c>
      <c r="L758" s="0" t="s">
        <v>2236</v>
      </c>
      <c r="N758" s="0" t="n">
        <v>4.234</v>
      </c>
      <c r="O758" s="60" t="n">
        <v>192.03</v>
      </c>
    </row>
    <row r="759" customFormat="false" ht="15" hidden="false" customHeight="false" outlineLevel="0" collapsed="false">
      <c r="A759" s="0" t="n">
        <v>3</v>
      </c>
      <c r="B759" s="59" t="n">
        <v>46212</v>
      </c>
      <c r="C759" s="0" t="n">
        <v>100</v>
      </c>
      <c r="D759" s="0" t="s">
        <v>2181</v>
      </c>
      <c r="E759" s="0" t="n">
        <v>42</v>
      </c>
      <c r="F759" s="0" t="s">
        <v>81</v>
      </c>
      <c r="I759" s="0" t="n">
        <v>1374669</v>
      </c>
      <c r="J759" s="0" t="n">
        <v>100017</v>
      </c>
      <c r="K759" s="0" t="n">
        <v>18</v>
      </c>
      <c r="L759" s="0" t="s">
        <v>2237</v>
      </c>
      <c r="N759" s="0" t="n">
        <v>3.723</v>
      </c>
      <c r="O759" s="60" t="n">
        <v>199.56</v>
      </c>
    </row>
    <row r="760" customFormat="false" ht="15" hidden="false" customHeight="false" outlineLevel="0" collapsed="false">
      <c r="A760" s="0" t="n">
        <v>3</v>
      </c>
      <c r="B760" s="59" t="n">
        <v>46212</v>
      </c>
      <c r="C760" s="0" t="n">
        <v>100</v>
      </c>
      <c r="D760" s="0" t="s">
        <v>2181</v>
      </c>
      <c r="E760" s="0" t="n">
        <v>42</v>
      </c>
      <c r="F760" s="0" t="s">
        <v>81</v>
      </c>
      <c r="I760" s="0" t="n">
        <v>1374669</v>
      </c>
      <c r="J760" s="0" t="n">
        <v>100020</v>
      </c>
      <c r="K760" s="0" t="n">
        <v>21</v>
      </c>
      <c r="L760" s="0" t="s">
        <v>2337</v>
      </c>
      <c r="N760" s="0" t="n">
        <v>1.658</v>
      </c>
      <c r="O760" s="60" t="n">
        <v>56.05</v>
      </c>
    </row>
    <row r="761" customFormat="false" ht="15" hidden="false" customHeight="false" outlineLevel="0" collapsed="false">
      <c r="A761" s="0" t="n">
        <v>3</v>
      </c>
      <c r="B761" s="59" t="n">
        <v>46212</v>
      </c>
      <c r="C761" s="0" t="n">
        <v>100</v>
      </c>
      <c r="D761" s="0" t="s">
        <v>2181</v>
      </c>
      <c r="E761" s="0" t="n">
        <v>42</v>
      </c>
      <c r="F761" s="0" t="s">
        <v>81</v>
      </c>
      <c r="I761" s="0" t="n">
        <v>1374669</v>
      </c>
      <c r="J761" s="0" t="n">
        <v>100053</v>
      </c>
      <c r="K761" s="0" t="n">
        <v>54</v>
      </c>
      <c r="L761" s="0" t="s">
        <v>2238</v>
      </c>
      <c r="N761" s="0" t="n">
        <v>4.49</v>
      </c>
      <c r="O761" s="60" t="n">
        <v>166.6</v>
      </c>
    </row>
    <row r="762" customFormat="false" ht="15" hidden="false" customHeight="false" outlineLevel="0" collapsed="false">
      <c r="A762" s="0" t="n">
        <v>3</v>
      </c>
      <c r="B762" s="59" t="n">
        <v>46212</v>
      </c>
      <c r="C762" s="0" t="n">
        <v>100</v>
      </c>
      <c r="D762" s="0" t="s">
        <v>2181</v>
      </c>
      <c r="E762" s="0" t="n">
        <v>42</v>
      </c>
      <c r="F762" s="0" t="s">
        <v>81</v>
      </c>
      <c r="I762" s="0" t="n">
        <v>1374669</v>
      </c>
      <c r="J762" s="0" t="n">
        <v>100638</v>
      </c>
      <c r="K762" s="0" t="n">
        <v>508</v>
      </c>
      <c r="L762" s="0" t="s">
        <v>2178</v>
      </c>
      <c r="N762" s="0" t="n">
        <v>5.098</v>
      </c>
      <c r="O762" s="60" t="n">
        <v>8.37</v>
      </c>
    </row>
    <row r="763" customFormat="false" ht="15" hidden="false" customHeight="false" outlineLevel="0" collapsed="false">
      <c r="A763" s="0" t="n">
        <v>3</v>
      </c>
      <c r="B763" s="59" t="n">
        <v>46212</v>
      </c>
      <c r="C763" s="0" t="n">
        <v>100</v>
      </c>
      <c r="D763" s="0" t="s">
        <v>2181</v>
      </c>
      <c r="E763" s="0" t="n">
        <v>42</v>
      </c>
      <c r="F763" s="0" t="s">
        <v>81</v>
      </c>
      <c r="I763" s="0" t="n">
        <v>1374669</v>
      </c>
      <c r="J763" s="0" t="n">
        <v>100520</v>
      </c>
      <c r="K763" s="0" t="n">
        <v>507</v>
      </c>
      <c r="L763" s="0" t="s">
        <v>2179</v>
      </c>
      <c r="N763" s="0" t="n">
        <v>26.678</v>
      </c>
      <c r="O763" s="60" t="n">
        <v>65.79</v>
      </c>
    </row>
    <row r="764" customFormat="false" ht="15" hidden="false" customHeight="false" outlineLevel="0" collapsed="false">
      <c r="A764" s="0" t="n">
        <v>3</v>
      </c>
      <c r="B764" s="59" t="n">
        <v>46212</v>
      </c>
      <c r="C764" s="0" t="n">
        <v>100</v>
      </c>
      <c r="D764" s="0" t="s">
        <v>2181</v>
      </c>
      <c r="E764" s="0" t="n">
        <v>42</v>
      </c>
      <c r="F764" s="0" t="s">
        <v>81</v>
      </c>
      <c r="I764" s="0" t="n">
        <v>1374669</v>
      </c>
      <c r="J764" s="0" t="n">
        <v>110455</v>
      </c>
      <c r="K764" s="0" t="n">
        <v>53212</v>
      </c>
      <c r="L764" s="0" t="s">
        <v>2180</v>
      </c>
      <c r="N764" s="0" t="n">
        <v>0.652</v>
      </c>
      <c r="O764" s="60" t="n">
        <v>0</v>
      </c>
    </row>
    <row r="765" customFormat="false" ht="15" hidden="false" customHeight="false" outlineLevel="0" collapsed="false">
      <c r="A765" s="0" t="n">
        <v>3</v>
      </c>
      <c r="B765" s="59" t="n">
        <v>46212</v>
      </c>
      <c r="C765" s="0" t="n">
        <v>100</v>
      </c>
      <c r="D765" s="0" t="s">
        <v>2181</v>
      </c>
      <c r="E765" s="0" t="n">
        <v>42</v>
      </c>
      <c r="F765" s="0" t="s">
        <v>81</v>
      </c>
      <c r="I765" s="0" t="n">
        <v>1374745</v>
      </c>
      <c r="J765" s="0" t="n">
        <v>100000</v>
      </c>
      <c r="K765" s="0" t="n">
        <v>1</v>
      </c>
      <c r="L765" s="0" t="s">
        <v>2173</v>
      </c>
      <c r="N765" s="0" t="n">
        <v>6.862</v>
      </c>
      <c r="O765" s="60" t="n">
        <v>147.67</v>
      </c>
    </row>
    <row r="766" customFormat="false" ht="15" hidden="false" customHeight="false" outlineLevel="0" collapsed="false">
      <c r="A766" s="0" t="n">
        <v>3</v>
      </c>
      <c r="B766" s="59" t="n">
        <v>46212</v>
      </c>
      <c r="C766" s="0" t="n">
        <v>100</v>
      </c>
      <c r="D766" s="0" t="s">
        <v>2181</v>
      </c>
      <c r="E766" s="0" t="n">
        <v>42</v>
      </c>
      <c r="F766" s="0" t="s">
        <v>81</v>
      </c>
      <c r="I766" s="0" t="n">
        <v>1374745</v>
      </c>
      <c r="J766" s="0" t="n">
        <v>100001</v>
      </c>
      <c r="K766" s="0" t="n">
        <v>2</v>
      </c>
      <c r="L766" s="0" t="s">
        <v>2174</v>
      </c>
      <c r="N766" s="0" t="n">
        <v>22.126</v>
      </c>
      <c r="O766" s="60" t="n">
        <v>509.01</v>
      </c>
    </row>
    <row r="767" customFormat="false" ht="15" hidden="false" customHeight="false" outlineLevel="0" collapsed="false">
      <c r="A767" s="0" t="n">
        <v>3</v>
      </c>
      <c r="B767" s="59" t="n">
        <v>46212</v>
      </c>
      <c r="C767" s="0" t="n">
        <v>100</v>
      </c>
      <c r="D767" s="0" t="s">
        <v>2181</v>
      </c>
      <c r="E767" s="0" t="n">
        <v>42</v>
      </c>
      <c r="F767" s="0" t="s">
        <v>81</v>
      </c>
      <c r="I767" s="0" t="n">
        <v>1374745</v>
      </c>
      <c r="J767" s="0" t="n">
        <v>100002</v>
      </c>
      <c r="K767" s="0" t="n">
        <v>3</v>
      </c>
      <c r="L767" s="0" t="s">
        <v>2175</v>
      </c>
      <c r="N767" s="0" t="n">
        <v>31.375</v>
      </c>
      <c r="O767" s="60" t="n">
        <v>745.07</v>
      </c>
    </row>
    <row r="768" customFormat="false" ht="15" hidden="false" customHeight="false" outlineLevel="0" collapsed="false">
      <c r="A768" s="0" t="n">
        <v>3</v>
      </c>
      <c r="B768" s="59" t="n">
        <v>46212</v>
      </c>
      <c r="C768" s="0" t="n">
        <v>100</v>
      </c>
      <c r="D768" s="0" t="s">
        <v>2181</v>
      </c>
      <c r="E768" s="0" t="n">
        <v>42</v>
      </c>
      <c r="F768" s="0" t="s">
        <v>81</v>
      </c>
      <c r="I768" s="0" t="n">
        <v>1374745</v>
      </c>
      <c r="J768" s="0" t="n">
        <v>100003</v>
      </c>
      <c r="K768" s="0" t="n">
        <v>4</v>
      </c>
      <c r="L768" s="0" t="s">
        <v>2176</v>
      </c>
      <c r="N768" s="0" t="n">
        <v>39.939</v>
      </c>
      <c r="O768" s="60" t="n">
        <v>1037.39</v>
      </c>
    </row>
    <row r="769" customFormat="false" ht="15" hidden="false" customHeight="false" outlineLevel="0" collapsed="false">
      <c r="A769" s="0" t="n">
        <v>3</v>
      </c>
      <c r="B769" s="59" t="n">
        <v>46212</v>
      </c>
      <c r="C769" s="0" t="n">
        <v>100</v>
      </c>
      <c r="D769" s="0" t="s">
        <v>2181</v>
      </c>
      <c r="E769" s="0" t="n">
        <v>42</v>
      </c>
      <c r="F769" s="0" t="s">
        <v>81</v>
      </c>
      <c r="I769" s="0" t="n">
        <v>1374745</v>
      </c>
      <c r="J769" s="0" t="n">
        <v>100007</v>
      </c>
      <c r="K769" s="0" t="n">
        <v>8</v>
      </c>
      <c r="L769" s="0" t="s">
        <v>2177</v>
      </c>
      <c r="N769" s="0" t="n">
        <v>12.219</v>
      </c>
      <c r="O769" s="60" t="n">
        <v>308.31</v>
      </c>
    </row>
    <row r="770" customFormat="false" ht="15" hidden="false" customHeight="false" outlineLevel="0" collapsed="false">
      <c r="A770" s="0" t="n">
        <v>3</v>
      </c>
      <c r="B770" s="59" t="n">
        <v>46212</v>
      </c>
      <c r="C770" s="0" t="n">
        <v>100</v>
      </c>
      <c r="D770" s="0" t="s">
        <v>2181</v>
      </c>
      <c r="E770" s="0" t="n">
        <v>42</v>
      </c>
      <c r="F770" s="0" t="s">
        <v>81</v>
      </c>
      <c r="I770" s="0" t="n">
        <v>1374745</v>
      </c>
      <c r="J770" s="0" t="n">
        <v>100638</v>
      </c>
      <c r="K770" s="0" t="n">
        <v>508</v>
      </c>
      <c r="L770" s="0" t="s">
        <v>2178</v>
      </c>
      <c r="N770" s="0" t="n">
        <v>5.36</v>
      </c>
      <c r="O770" s="60" t="n">
        <v>7.92</v>
      </c>
    </row>
    <row r="771" customFormat="false" ht="15" hidden="false" customHeight="false" outlineLevel="0" collapsed="false">
      <c r="A771" s="0" t="n">
        <v>3</v>
      </c>
      <c r="B771" s="59" t="n">
        <v>46212</v>
      </c>
      <c r="C771" s="0" t="n">
        <v>100</v>
      </c>
      <c r="D771" s="0" t="s">
        <v>2181</v>
      </c>
      <c r="E771" s="0" t="n">
        <v>42</v>
      </c>
      <c r="F771" s="0" t="s">
        <v>81</v>
      </c>
      <c r="I771" s="0" t="n">
        <v>1374745</v>
      </c>
      <c r="J771" s="0" t="n">
        <v>100520</v>
      </c>
      <c r="K771" s="0" t="n">
        <v>507</v>
      </c>
      <c r="L771" s="0" t="s">
        <v>2179</v>
      </c>
      <c r="N771" s="0" t="n">
        <v>7.488</v>
      </c>
      <c r="O771" s="60" t="n">
        <v>16.62</v>
      </c>
    </row>
    <row r="772" customFormat="false" ht="15" hidden="false" customHeight="false" outlineLevel="0" collapsed="false">
      <c r="A772" s="0" t="n">
        <v>3</v>
      </c>
      <c r="B772" s="59" t="n">
        <v>46212</v>
      </c>
      <c r="C772" s="0" t="n">
        <v>100</v>
      </c>
      <c r="D772" s="0" t="s">
        <v>2181</v>
      </c>
      <c r="E772" s="0" t="n">
        <v>42</v>
      </c>
      <c r="F772" s="0" t="s">
        <v>81</v>
      </c>
      <c r="I772" s="0" t="n">
        <v>1374745</v>
      </c>
      <c r="J772" s="0" t="n">
        <v>110455</v>
      </c>
      <c r="K772" s="0" t="n">
        <v>53212</v>
      </c>
      <c r="L772" s="0" t="s">
        <v>2180</v>
      </c>
      <c r="N772" s="0" t="n">
        <v>0.631</v>
      </c>
      <c r="O772" s="60" t="n">
        <v>0.01</v>
      </c>
    </row>
    <row r="773" customFormat="false" ht="15" hidden="false" customHeight="false" outlineLevel="0" collapsed="false">
      <c r="A773" s="0" t="n">
        <v>3</v>
      </c>
      <c r="B773" s="59" t="n">
        <v>46212</v>
      </c>
      <c r="C773" s="0" t="n">
        <v>171</v>
      </c>
      <c r="D773" s="0" t="s">
        <v>2182</v>
      </c>
      <c r="E773" s="0" t="n">
        <v>1107</v>
      </c>
      <c r="F773" s="0" t="s">
        <v>166</v>
      </c>
      <c r="I773" s="0" t="n">
        <v>426369</v>
      </c>
      <c r="J773" s="0" t="n">
        <v>23310</v>
      </c>
      <c r="K773" s="0" t="n">
        <v>7896029018958</v>
      </c>
      <c r="L773" s="0" t="s">
        <v>2549</v>
      </c>
      <c r="N773" s="0" t="n">
        <v>6</v>
      </c>
      <c r="O773" s="60" t="n">
        <v>12.6</v>
      </c>
    </row>
    <row r="774" customFormat="false" ht="15" hidden="false" customHeight="false" outlineLevel="0" collapsed="false">
      <c r="A774" s="0" t="n">
        <v>3</v>
      </c>
      <c r="B774" s="59" t="n">
        <v>46212</v>
      </c>
      <c r="C774" s="0" t="n">
        <v>171</v>
      </c>
      <c r="D774" s="0" t="s">
        <v>2182</v>
      </c>
      <c r="E774" s="0" t="n">
        <v>1107</v>
      </c>
      <c r="F774" s="0" t="s">
        <v>166</v>
      </c>
      <c r="I774" s="0" t="n">
        <v>426369</v>
      </c>
      <c r="J774" s="0" t="n">
        <v>72634</v>
      </c>
      <c r="K774" s="0" t="n">
        <v>7896029021569</v>
      </c>
      <c r="L774" s="0" t="s">
        <v>2600</v>
      </c>
      <c r="N774" s="0" t="n">
        <v>3</v>
      </c>
      <c r="O774" s="60" t="n">
        <v>8.76</v>
      </c>
    </row>
    <row r="775" customFormat="false" ht="15" hidden="false" customHeight="false" outlineLevel="0" collapsed="false">
      <c r="A775" s="0" t="n">
        <v>3</v>
      </c>
      <c r="B775" s="59" t="n">
        <v>46212</v>
      </c>
      <c r="C775" s="0" t="n">
        <v>171</v>
      </c>
      <c r="D775" s="0" t="s">
        <v>2182</v>
      </c>
      <c r="E775" s="0" t="n">
        <v>1107</v>
      </c>
      <c r="F775" s="0" t="s">
        <v>166</v>
      </c>
      <c r="I775" s="0" t="n">
        <v>426369</v>
      </c>
      <c r="J775" s="0" t="n">
        <v>79598</v>
      </c>
      <c r="K775" s="0" t="n">
        <v>7896029046920</v>
      </c>
      <c r="L775" s="0" t="s">
        <v>2601</v>
      </c>
      <c r="N775" s="0" t="n">
        <v>3</v>
      </c>
      <c r="O775" s="60" t="n">
        <v>12.24</v>
      </c>
    </row>
    <row r="776" customFormat="false" ht="15" hidden="false" customHeight="false" outlineLevel="0" collapsed="false">
      <c r="A776" s="0" t="n">
        <v>3</v>
      </c>
      <c r="B776" s="59" t="n">
        <v>46212</v>
      </c>
      <c r="C776" s="0" t="n">
        <v>171</v>
      </c>
      <c r="D776" s="0" t="s">
        <v>2182</v>
      </c>
      <c r="E776" s="0" t="n">
        <v>1740</v>
      </c>
      <c r="F776" s="0" t="s">
        <v>171</v>
      </c>
      <c r="I776" s="0" t="n">
        <v>1245354</v>
      </c>
      <c r="J776" s="0" t="n">
        <v>110201</v>
      </c>
      <c r="K776" s="0" t="n">
        <v>37424</v>
      </c>
      <c r="L776" s="0" t="s">
        <v>2573</v>
      </c>
      <c r="N776" s="0" t="n">
        <v>4</v>
      </c>
      <c r="O776" s="60" t="n">
        <v>87.92</v>
      </c>
    </row>
    <row r="777" customFormat="false" ht="15" hidden="false" customHeight="false" outlineLevel="0" collapsed="false">
      <c r="A777" s="0" t="n">
        <v>3</v>
      </c>
      <c r="B777" s="59" t="n">
        <v>46213</v>
      </c>
      <c r="C777" s="0" t="n">
        <v>1</v>
      </c>
      <c r="D777" s="0" t="s">
        <v>2118</v>
      </c>
      <c r="E777" s="0" t="n">
        <v>10094</v>
      </c>
      <c r="F777" s="0" t="s">
        <v>923</v>
      </c>
      <c r="I777" s="0" t="n">
        <v>45</v>
      </c>
      <c r="J777" s="0" t="n">
        <v>81701</v>
      </c>
      <c r="K777" s="0" t="n">
        <v>7890284700238</v>
      </c>
      <c r="L777" s="0" t="s">
        <v>2602</v>
      </c>
      <c r="N777" s="0" t="n">
        <v>12</v>
      </c>
      <c r="O777" s="60" t="n">
        <v>54</v>
      </c>
    </row>
    <row r="778" customFormat="false" ht="15" hidden="false" customHeight="false" outlineLevel="0" collapsed="false">
      <c r="A778" s="0" t="n">
        <v>3</v>
      </c>
      <c r="B778" s="59" t="n">
        <v>46213</v>
      </c>
      <c r="C778" s="0" t="n">
        <v>1</v>
      </c>
      <c r="D778" s="0" t="s">
        <v>2118</v>
      </c>
      <c r="E778" s="0" t="n">
        <v>10035</v>
      </c>
      <c r="F778" s="0" t="s">
        <v>229</v>
      </c>
      <c r="I778" s="0" t="n">
        <v>354</v>
      </c>
      <c r="J778" s="0" t="n">
        <v>38652</v>
      </c>
      <c r="K778" s="0" t="n">
        <v>7898994684220</v>
      </c>
      <c r="L778" s="0" t="s">
        <v>2246</v>
      </c>
      <c r="N778" s="0" t="n">
        <v>60</v>
      </c>
      <c r="O778" s="60" t="n">
        <v>540</v>
      </c>
    </row>
    <row r="779" customFormat="false" ht="15" hidden="false" customHeight="false" outlineLevel="0" collapsed="false">
      <c r="A779" s="0" t="n">
        <v>3</v>
      </c>
      <c r="B779" s="59" t="n">
        <v>46213</v>
      </c>
      <c r="C779" s="0" t="n">
        <v>1</v>
      </c>
      <c r="D779" s="0" t="s">
        <v>2118</v>
      </c>
      <c r="E779" s="0" t="n">
        <v>10035</v>
      </c>
      <c r="F779" s="0" t="s">
        <v>229</v>
      </c>
      <c r="I779" s="0" t="n">
        <v>354</v>
      </c>
      <c r="J779" s="0" t="n">
        <v>38653</v>
      </c>
      <c r="K779" s="0" t="n">
        <v>7898994684275</v>
      </c>
      <c r="L779" s="0" t="s">
        <v>2338</v>
      </c>
      <c r="N779" s="0" t="n">
        <v>30</v>
      </c>
      <c r="O779" s="60" t="n">
        <v>144</v>
      </c>
    </row>
    <row r="780" customFormat="false" ht="15" hidden="false" customHeight="false" outlineLevel="0" collapsed="false">
      <c r="A780" s="0" t="n">
        <v>3</v>
      </c>
      <c r="B780" s="59" t="n">
        <v>46213</v>
      </c>
      <c r="C780" s="0" t="n">
        <v>1</v>
      </c>
      <c r="D780" s="0" t="s">
        <v>2118</v>
      </c>
      <c r="E780" s="0" t="n">
        <v>10035</v>
      </c>
      <c r="F780" s="0" t="s">
        <v>229</v>
      </c>
      <c r="I780" s="0" t="n">
        <v>354</v>
      </c>
      <c r="J780" s="0" t="n">
        <v>43726</v>
      </c>
      <c r="K780" s="0" t="n">
        <v>2245461</v>
      </c>
      <c r="L780" s="0" t="s">
        <v>2339</v>
      </c>
      <c r="N780" s="0" t="n">
        <v>5</v>
      </c>
      <c r="O780" s="60" t="n">
        <v>100</v>
      </c>
    </row>
    <row r="781" customFormat="false" ht="15" hidden="false" customHeight="false" outlineLevel="0" collapsed="false">
      <c r="A781" s="0" t="n">
        <v>3</v>
      </c>
      <c r="B781" s="59" t="n">
        <v>46213</v>
      </c>
      <c r="C781" s="0" t="n">
        <v>1</v>
      </c>
      <c r="D781" s="0" t="s">
        <v>2118</v>
      </c>
      <c r="E781" s="0" t="n">
        <v>1828</v>
      </c>
      <c r="F781" s="0" t="s">
        <v>280</v>
      </c>
      <c r="I781" s="0" t="n">
        <v>1378</v>
      </c>
      <c r="J781" s="0" t="n">
        <v>14247</v>
      </c>
      <c r="K781" s="0" t="n">
        <v>2229416</v>
      </c>
      <c r="L781" s="0" t="s">
        <v>2247</v>
      </c>
      <c r="N781" s="0" t="n">
        <v>30</v>
      </c>
      <c r="O781" s="60" t="n">
        <v>174</v>
      </c>
    </row>
    <row r="782" customFormat="false" ht="15" hidden="false" customHeight="false" outlineLevel="0" collapsed="false">
      <c r="A782" s="0" t="n">
        <v>3</v>
      </c>
      <c r="B782" s="59" t="n">
        <v>46213</v>
      </c>
      <c r="C782" s="0" t="n">
        <v>1</v>
      </c>
      <c r="D782" s="0" t="s">
        <v>2118</v>
      </c>
      <c r="E782" s="0" t="n">
        <v>1828</v>
      </c>
      <c r="F782" s="0" t="s">
        <v>280</v>
      </c>
      <c r="I782" s="0" t="n">
        <v>1378</v>
      </c>
      <c r="J782" s="0" t="n">
        <v>14248</v>
      </c>
      <c r="K782" s="0" t="n">
        <v>2229423</v>
      </c>
      <c r="L782" s="0" t="s">
        <v>2248</v>
      </c>
      <c r="N782" s="0" t="n">
        <v>35</v>
      </c>
      <c r="O782" s="60" t="n">
        <v>245</v>
      </c>
    </row>
    <row r="783" customFormat="false" ht="15" hidden="false" customHeight="false" outlineLevel="0" collapsed="false">
      <c r="A783" s="0" t="n">
        <v>3</v>
      </c>
      <c r="B783" s="59" t="n">
        <v>46213</v>
      </c>
      <c r="C783" s="0" t="n">
        <v>1</v>
      </c>
      <c r="D783" s="0" t="s">
        <v>2118</v>
      </c>
      <c r="E783" s="0" t="n">
        <v>1828</v>
      </c>
      <c r="F783" s="0" t="s">
        <v>280</v>
      </c>
      <c r="I783" s="0" t="n">
        <v>1378</v>
      </c>
      <c r="J783" s="0" t="n">
        <v>20541</v>
      </c>
      <c r="K783" s="0" t="n">
        <v>2232829</v>
      </c>
      <c r="L783" s="0" t="s">
        <v>2249</v>
      </c>
      <c r="N783" s="0" t="n">
        <v>30</v>
      </c>
      <c r="O783" s="60" t="n">
        <v>281.4</v>
      </c>
    </row>
    <row r="784" customFormat="false" ht="15" hidden="false" customHeight="false" outlineLevel="0" collapsed="false">
      <c r="A784" s="0" t="n">
        <v>3</v>
      </c>
      <c r="B784" s="59" t="n">
        <v>46213</v>
      </c>
      <c r="C784" s="0" t="n">
        <v>1</v>
      </c>
      <c r="D784" s="0" t="s">
        <v>2118</v>
      </c>
      <c r="E784" s="0" t="n">
        <v>10063</v>
      </c>
      <c r="F784" s="0" t="s">
        <v>220</v>
      </c>
      <c r="I784" s="0" t="n">
        <v>2459</v>
      </c>
      <c r="J784" s="0" t="n">
        <v>100174</v>
      </c>
      <c r="K784" s="0" t="n">
        <v>7898141930286</v>
      </c>
      <c r="L784" s="0" t="s">
        <v>2250</v>
      </c>
      <c r="N784" s="0" t="n">
        <v>1080</v>
      </c>
      <c r="O784" s="60" t="n">
        <v>555</v>
      </c>
    </row>
    <row r="785" customFormat="false" ht="15" hidden="false" customHeight="false" outlineLevel="0" collapsed="false">
      <c r="A785" s="0" t="n">
        <v>3</v>
      </c>
      <c r="B785" s="59" t="n">
        <v>46213</v>
      </c>
      <c r="C785" s="0" t="n">
        <v>1</v>
      </c>
      <c r="D785" s="0" t="s">
        <v>2118</v>
      </c>
      <c r="E785" s="0" t="n">
        <v>10063</v>
      </c>
      <c r="F785" s="0" t="s">
        <v>220</v>
      </c>
      <c r="I785" s="0" t="n">
        <v>2459</v>
      </c>
      <c r="J785" s="0" t="n">
        <v>100933</v>
      </c>
      <c r="K785" s="0" t="n">
        <v>7896982100059</v>
      </c>
      <c r="L785" s="0" t="s">
        <v>2251</v>
      </c>
      <c r="N785" s="0" t="n">
        <v>2520</v>
      </c>
      <c r="O785" s="60" t="n">
        <v>1260</v>
      </c>
    </row>
    <row r="786" customFormat="false" ht="15" hidden="false" customHeight="false" outlineLevel="0" collapsed="false">
      <c r="A786" s="0" t="n">
        <v>3</v>
      </c>
      <c r="B786" s="59" t="n">
        <v>46213</v>
      </c>
      <c r="C786" s="0" t="n">
        <v>1</v>
      </c>
      <c r="D786" s="0" t="s">
        <v>2118</v>
      </c>
      <c r="E786" s="0" t="n">
        <v>1609</v>
      </c>
      <c r="F786" s="0" t="s">
        <v>412</v>
      </c>
      <c r="I786" s="0" t="n">
        <v>5789</v>
      </c>
      <c r="J786" s="0" t="n">
        <v>102382</v>
      </c>
      <c r="K786" s="0" t="n">
        <v>7896981600673</v>
      </c>
      <c r="L786" s="0" t="s">
        <v>2603</v>
      </c>
      <c r="N786" s="0" t="n">
        <v>24</v>
      </c>
      <c r="O786" s="60" t="n">
        <v>60</v>
      </c>
    </row>
    <row r="787" customFormat="false" ht="15" hidden="false" customHeight="false" outlineLevel="0" collapsed="false">
      <c r="A787" s="0" t="n">
        <v>3</v>
      </c>
      <c r="B787" s="59" t="n">
        <v>46213</v>
      </c>
      <c r="C787" s="0" t="n">
        <v>1</v>
      </c>
      <c r="D787" s="0" t="s">
        <v>2118</v>
      </c>
      <c r="E787" s="0" t="n">
        <v>1609</v>
      </c>
      <c r="F787" s="0" t="s">
        <v>412</v>
      </c>
      <c r="I787" s="0" t="n">
        <v>5789</v>
      </c>
      <c r="J787" s="0" t="n">
        <v>13225</v>
      </c>
      <c r="K787" s="0" t="n">
        <v>7896981601151</v>
      </c>
      <c r="L787" s="0" t="s">
        <v>2604</v>
      </c>
      <c r="N787" s="0" t="n">
        <v>12</v>
      </c>
      <c r="O787" s="60" t="n">
        <v>45</v>
      </c>
    </row>
    <row r="788" customFormat="false" ht="15" hidden="false" customHeight="false" outlineLevel="0" collapsed="false">
      <c r="A788" s="0" t="n">
        <v>3</v>
      </c>
      <c r="B788" s="59" t="n">
        <v>46213</v>
      </c>
      <c r="C788" s="0" t="n">
        <v>1</v>
      </c>
      <c r="D788" s="0" t="s">
        <v>2118</v>
      </c>
      <c r="E788" s="0" t="n">
        <v>1609</v>
      </c>
      <c r="F788" s="0" t="s">
        <v>412</v>
      </c>
      <c r="I788" s="0" t="n">
        <v>5789</v>
      </c>
      <c r="J788" s="0" t="n">
        <v>13720</v>
      </c>
      <c r="K788" s="0" t="n">
        <v>7896981600307</v>
      </c>
      <c r="L788" s="0" t="s">
        <v>2605</v>
      </c>
      <c r="N788" s="0" t="n">
        <v>9</v>
      </c>
      <c r="O788" s="60" t="n">
        <v>55</v>
      </c>
    </row>
    <row r="789" customFormat="false" ht="15" hidden="false" customHeight="false" outlineLevel="0" collapsed="false">
      <c r="A789" s="0" t="n">
        <v>3</v>
      </c>
      <c r="B789" s="59" t="n">
        <v>46213</v>
      </c>
      <c r="C789" s="0" t="n">
        <v>1</v>
      </c>
      <c r="D789" s="0" t="s">
        <v>2118</v>
      </c>
      <c r="E789" s="0" t="n">
        <v>1609</v>
      </c>
      <c r="F789" s="0" t="s">
        <v>412</v>
      </c>
      <c r="I789" s="0" t="n">
        <v>5789</v>
      </c>
      <c r="J789" s="0" t="n">
        <v>17163</v>
      </c>
      <c r="K789" s="0" t="n">
        <v>7896981600567</v>
      </c>
      <c r="L789" s="0" t="s">
        <v>2606</v>
      </c>
      <c r="N789" s="0" t="n">
        <v>18</v>
      </c>
      <c r="O789" s="60" t="n">
        <v>160</v>
      </c>
    </row>
    <row r="790" customFormat="false" ht="15" hidden="false" customHeight="false" outlineLevel="0" collapsed="false">
      <c r="A790" s="0" t="n">
        <v>3</v>
      </c>
      <c r="B790" s="59" t="n">
        <v>46213</v>
      </c>
      <c r="C790" s="0" t="n">
        <v>1</v>
      </c>
      <c r="D790" s="0" t="s">
        <v>2118</v>
      </c>
      <c r="E790" s="0" t="n">
        <v>1609</v>
      </c>
      <c r="F790" s="0" t="s">
        <v>412</v>
      </c>
      <c r="I790" s="0" t="n">
        <v>5789</v>
      </c>
      <c r="J790" s="0" t="n">
        <v>18382</v>
      </c>
      <c r="K790" s="0" t="n">
        <v>7896878801190</v>
      </c>
      <c r="L790" s="0" t="s">
        <v>2607</v>
      </c>
      <c r="N790" s="0" t="n">
        <v>30</v>
      </c>
      <c r="O790" s="60" t="n">
        <v>57</v>
      </c>
    </row>
    <row r="791" customFormat="false" ht="15" hidden="false" customHeight="false" outlineLevel="0" collapsed="false">
      <c r="A791" s="0" t="n">
        <v>3</v>
      </c>
      <c r="B791" s="59" t="n">
        <v>46213</v>
      </c>
      <c r="C791" s="0" t="n">
        <v>1</v>
      </c>
      <c r="D791" s="0" t="s">
        <v>2118</v>
      </c>
      <c r="E791" s="0" t="n">
        <v>1609</v>
      </c>
      <c r="F791" s="0" t="s">
        <v>412</v>
      </c>
      <c r="I791" s="0" t="n">
        <v>5789</v>
      </c>
      <c r="J791" s="0" t="n">
        <v>18384</v>
      </c>
      <c r="K791" s="0" t="n">
        <v>7896878801206</v>
      </c>
      <c r="L791" s="0" t="s">
        <v>2608</v>
      </c>
      <c r="N791" s="0" t="n">
        <v>20</v>
      </c>
      <c r="O791" s="60" t="n">
        <v>61</v>
      </c>
    </row>
    <row r="792" customFormat="false" ht="15" hidden="false" customHeight="false" outlineLevel="0" collapsed="false">
      <c r="A792" s="0" t="n">
        <v>3</v>
      </c>
      <c r="B792" s="59" t="n">
        <v>46213</v>
      </c>
      <c r="C792" s="0" t="n">
        <v>1</v>
      </c>
      <c r="D792" s="0" t="s">
        <v>2118</v>
      </c>
      <c r="E792" s="0" t="n">
        <v>1609</v>
      </c>
      <c r="F792" s="0" t="s">
        <v>412</v>
      </c>
      <c r="I792" s="0" t="n">
        <v>5789</v>
      </c>
      <c r="J792" s="0" t="n">
        <v>18385</v>
      </c>
      <c r="K792" s="0" t="n">
        <v>7896878801220</v>
      </c>
      <c r="L792" s="0" t="s">
        <v>2609</v>
      </c>
      <c r="N792" s="0" t="n">
        <v>9</v>
      </c>
      <c r="O792" s="60" t="n">
        <v>71</v>
      </c>
    </row>
    <row r="793" customFormat="false" ht="15" hidden="false" customHeight="false" outlineLevel="0" collapsed="false">
      <c r="A793" s="0" t="n">
        <v>3</v>
      </c>
      <c r="B793" s="59" t="n">
        <v>46213</v>
      </c>
      <c r="C793" s="0" t="n">
        <v>1</v>
      </c>
      <c r="D793" s="0" t="s">
        <v>2118</v>
      </c>
      <c r="E793" s="0" t="n">
        <v>1609</v>
      </c>
      <c r="F793" s="0" t="s">
        <v>412</v>
      </c>
      <c r="I793" s="0" t="n">
        <v>5789</v>
      </c>
      <c r="J793" s="0" t="n">
        <v>18385</v>
      </c>
      <c r="K793" s="0" t="n">
        <v>7896878801220</v>
      </c>
      <c r="L793" s="0" t="s">
        <v>2609</v>
      </c>
      <c r="N793" s="0" t="n">
        <v>9</v>
      </c>
      <c r="O793" s="60" t="n">
        <v>71</v>
      </c>
    </row>
    <row r="794" customFormat="false" ht="15" hidden="false" customHeight="false" outlineLevel="0" collapsed="false">
      <c r="A794" s="0" t="n">
        <v>3</v>
      </c>
      <c r="B794" s="59" t="n">
        <v>46213</v>
      </c>
      <c r="C794" s="0" t="n">
        <v>1</v>
      </c>
      <c r="D794" s="0" t="s">
        <v>2118</v>
      </c>
      <c r="E794" s="0" t="n">
        <v>1609</v>
      </c>
      <c r="F794" s="0" t="s">
        <v>412</v>
      </c>
      <c r="I794" s="0" t="n">
        <v>5789</v>
      </c>
      <c r="J794" s="0" t="n">
        <v>18775</v>
      </c>
      <c r="K794" s="0" t="n">
        <v>7896878801237</v>
      </c>
      <c r="L794" s="0" t="s">
        <v>2610</v>
      </c>
      <c r="N794" s="0" t="n">
        <v>40</v>
      </c>
      <c r="O794" s="60" t="n">
        <v>132</v>
      </c>
    </row>
    <row r="795" customFormat="false" ht="15" hidden="false" customHeight="false" outlineLevel="0" collapsed="false">
      <c r="A795" s="0" t="n">
        <v>3</v>
      </c>
      <c r="B795" s="59" t="n">
        <v>46213</v>
      </c>
      <c r="C795" s="0" t="n">
        <v>1</v>
      </c>
      <c r="D795" s="0" t="s">
        <v>2118</v>
      </c>
      <c r="E795" s="0" t="n">
        <v>1609</v>
      </c>
      <c r="F795" s="0" t="s">
        <v>412</v>
      </c>
      <c r="I795" s="0" t="n">
        <v>5789</v>
      </c>
      <c r="J795" s="0" t="n">
        <v>18968</v>
      </c>
      <c r="K795" s="0" t="n">
        <v>7896878801244</v>
      </c>
      <c r="L795" s="0" t="s">
        <v>2611</v>
      </c>
      <c r="N795" s="0" t="n">
        <v>20</v>
      </c>
      <c r="O795" s="60" t="n">
        <v>66</v>
      </c>
    </row>
    <row r="796" customFormat="false" ht="15" hidden="false" customHeight="false" outlineLevel="0" collapsed="false">
      <c r="A796" s="0" t="n">
        <v>3</v>
      </c>
      <c r="B796" s="59" t="n">
        <v>46213</v>
      </c>
      <c r="C796" s="0" t="n">
        <v>1</v>
      </c>
      <c r="D796" s="0" t="s">
        <v>2118</v>
      </c>
      <c r="E796" s="0" t="n">
        <v>1609</v>
      </c>
      <c r="F796" s="0" t="s">
        <v>412</v>
      </c>
      <c r="I796" s="0" t="n">
        <v>5789</v>
      </c>
      <c r="J796" s="0" t="n">
        <v>41614</v>
      </c>
      <c r="K796" s="0" t="n">
        <v>7896878801213</v>
      </c>
      <c r="L796" s="0" t="s">
        <v>2612</v>
      </c>
      <c r="N796" s="0" t="n">
        <v>20</v>
      </c>
      <c r="O796" s="60" t="n">
        <v>81</v>
      </c>
    </row>
    <row r="797" customFormat="false" ht="15" hidden="false" customHeight="false" outlineLevel="0" collapsed="false">
      <c r="A797" s="0" t="n">
        <v>3</v>
      </c>
      <c r="B797" s="59" t="n">
        <v>46213</v>
      </c>
      <c r="C797" s="0" t="n">
        <v>1</v>
      </c>
      <c r="D797" s="0" t="s">
        <v>2118</v>
      </c>
      <c r="E797" s="0" t="n">
        <v>1615</v>
      </c>
      <c r="F797" s="0" t="s">
        <v>131</v>
      </c>
      <c r="I797" s="0" t="n">
        <v>14833</v>
      </c>
      <c r="J797" s="0" t="n">
        <v>100114</v>
      </c>
      <c r="K797" s="0" t="n">
        <v>115</v>
      </c>
      <c r="L797" s="0" t="s">
        <v>2253</v>
      </c>
      <c r="N797" s="0" t="n">
        <v>18</v>
      </c>
      <c r="O797" s="60" t="n">
        <v>170</v>
      </c>
    </row>
    <row r="798" customFormat="false" ht="15" hidden="false" customHeight="false" outlineLevel="0" collapsed="false">
      <c r="A798" s="0" t="n">
        <v>3</v>
      </c>
      <c r="B798" s="59" t="n">
        <v>46213</v>
      </c>
      <c r="C798" s="0" t="n">
        <v>1</v>
      </c>
      <c r="D798" s="0" t="s">
        <v>2118</v>
      </c>
      <c r="E798" s="0" t="n">
        <v>1615</v>
      </c>
      <c r="F798" s="0" t="s">
        <v>131</v>
      </c>
      <c r="I798" s="0" t="n">
        <v>14833</v>
      </c>
      <c r="J798" s="0" t="n">
        <v>100119</v>
      </c>
      <c r="K798" s="0" t="n">
        <v>120</v>
      </c>
      <c r="L798" s="0" t="s">
        <v>2254</v>
      </c>
      <c r="N798" s="0" t="n">
        <v>9</v>
      </c>
      <c r="O798" s="60" t="n">
        <v>130</v>
      </c>
    </row>
    <row r="799" customFormat="false" ht="15" hidden="false" customHeight="false" outlineLevel="0" collapsed="false">
      <c r="A799" s="0" t="n">
        <v>3</v>
      </c>
      <c r="B799" s="59" t="n">
        <v>46213</v>
      </c>
      <c r="C799" s="0" t="n">
        <v>1</v>
      </c>
      <c r="D799" s="0" t="s">
        <v>2118</v>
      </c>
      <c r="E799" s="0" t="n">
        <v>1615</v>
      </c>
      <c r="F799" s="0" t="s">
        <v>131</v>
      </c>
      <c r="I799" s="0" t="n">
        <v>14833</v>
      </c>
      <c r="J799" s="0" t="n">
        <v>55350</v>
      </c>
      <c r="K799" s="0" t="n">
        <v>609963080076</v>
      </c>
      <c r="L799" s="0" t="s">
        <v>2416</v>
      </c>
      <c r="N799" s="0" t="n">
        <v>20</v>
      </c>
      <c r="O799" s="60" t="n">
        <v>140</v>
      </c>
    </row>
    <row r="800" customFormat="false" ht="15" hidden="false" customHeight="false" outlineLevel="0" collapsed="false">
      <c r="A800" s="0" t="n">
        <v>3</v>
      </c>
      <c r="B800" s="59" t="n">
        <v>46213</v>
      </c>
      <c r="C800" s="0" t="n">
        <v>1</v>
      </c>
      <c r="D800" s="0" t="s">
        <v>2118</v>
      </c>
      <c r="E800" s="0" t="n">
        <v>911</v>
      </c>
      <c r="F800" s="0" t="s">
        <v>589</v>
      </c>
      <c r="I800" s="0" t="n">
        <v>53461</v>
      </c>
      <c r="J800" s="0" t="n">
        <v>102391</v>
      </c>
      <c r="K800" s="0" t="n">
        <v>95188790348</v>
      </c>
      <c r="L800" s="0" t="s">
        <v>2613</v>
      </c>
      <c r="N800" s="0" t="n">
        <v>12</v>
      </c>
      <c r="O800" s="60" t="n">
        <v>89.17</v>
      </c>
    </row>
    <row r="801" customFormat="false" ht="15" hidden="false" customHeight="false" outlineLevel="0" collapsed="false">
      <c r="A801" s="0" t="n">
        <v>3</v>
      </c>
      <c r="B801" s="59" t="n">
        <v>46213</v>
      </c>
      <c r="C801" s="0" t="n">
        <v>1</v>
      </c>
      <c r="D801" s="0" t="s">
        <v>2118</v>
      </c>
      <c r="E801" s="0" t="n">
        <v>911</v>
      </c>
      <c r="F801" s="0" t="s">
        <v>589</v>
      </c>
      <c r="I801" s="0" t="n">
        <v>53461</v>
      </c>
      <c r="J801" s="0" t="n">
        <v>25959</v>
      </c>
      <c r="K801" s="0" t="n">
        <v>7898007220834</v>
      </c>
      <c r="L801" s="0" t="s">
        <v>2614</v>
      </c>
      <c r="N801" s="0" t="n">
        <v>12</v>
      </c>
      <c r="O801" s="60" t="n">
        <v>47.88</v>
      </c>
    </row>
    <row r="802" customFormat="false" ht="15" hidden="false" customHeight="false" outlineLevel="0" collapsed="false">
      <c r="A802" s="0" t="n">
        <v>3</v>
      </c>
      <c r="B802" s="59" t="n">
        <v>46213</v>
      </c>
      <c r="C802" s="0" t="n">
        <v>1</v>
      </c>
      <c r="D802" s="0" t="s">
        <v>2118</v>
      </c>
      <c r="E802" s="0" t="n">
        <v>911</v>
      </c>
      <c r="F802" s="0" t="s">
        <v>589</v>
      </c>
      <c r="I802" s="0" t="n">
        <v>53461</v>
      </c>
      <c r="J802" s="0" t="n">
        <v>28154</v>
      </c>
      <c r="K802" s="0" t="n">
        <v>7898007220759</v>
      </c>
      <c r="L802" s="0" t="s">
        <v>2615</v>
      </c>
      <c r="N802" s="0" t="n">
        <v>6</v>
      </c>
      <c r="O802" s="60" t="n">
        <v>78.42</v>
      </c>
    </row>
    <row r="803" customFormat="false" ht="15" hidden="false" customHeight="false" outlineLevel="0" collapsed="false">
      <c r="A803" s="0" t="n">
        <v>3</v>
      </c>
      <c r="B803" s="59" t="n">
        <v>46213</v>
      </c>
      <c r="C803" s="0" t="n">
        <v>1</v>
      </c>
      <c r="D803" s="0" t="s">
        <v>2118</v>
      </c>
      <c r="E803" s="0" t="n">
        <v>911</v>
      </c>
      <c r="F803" s="0" t="s">
        <v>589</v>
      </c>
      <c r="I803" s="0" t="n">
        <v>53461</v>
      </c>
      <c r="J803" s="0" t="n">
        <v>30108</v>
      </c>
      <c r="K803" s="0" t="n">
        <v>7898007220766</v>
      </c>
      <c r="L803" s="0" t="s">
        <v>2616</v>
      </c>
      <c r="N803" s="0" t="n">
        <v>6</v>
      </c>
      <c r="O803" s="60" t="n">
        <v>51.34</v>
      </c>
    </row>
    <row r="804" customFormat="false" ht="15" hidden="false" customHeight="false" outlineLevel="0" collapsed="false">
      <c r="A804" s="0" t="n">
        <v>3</v>
      </c>
      <c r="B804" s="59" t="n">
        <v>46213</v>
      </c>
      <c r="C804" s="0" t="n">
        <v>1</v>
      </c>
      <c r="D804" s="0" t="s">
        <v>2118</v>
      </c>
      <c r="E804" s="0" t="n">
        <v>911</v>
      </c>
      <c r="F804" s="0" t="s">
        <v>589</v>
      </c>
      <c r="I804" s="0" t="n">
        <v>53461</v>
      </c>
      <c r="J804" s="0" t="n">
        <v>50676</v>
      </c>
      <c r="K804" s="0" t="n">
        <v>7898007221176</v>
      </c>
      <c r="L804" s="0" t="s">
        <v>2617</v>
      </c>
      <c r="N804" s="0" t="n">
        <v>12</v>
      </c>
      <c r="O804" s="60" t="n">
        <v>29.89</v>
      </c>
    </row>
    <row r="805" customFormat="false" ht="15" hidden="false" customHeight="false" outlineLevel="0" collapsed="false">
      <c r="A805" s="0" t="n">
        <v>3</v>
      </c>
      <c r="B805" s="59" t="n">
        <v>46213</v>
      </c>
      <c r="C805" s="0" t="n">
        <v>1</v>
      </c>
      <c r="D805" s="0" t="s">
        <v>2118</v>
      </c>
      <c r="E805" s="0" t="n">
        <v>911</v>
      </c>
      <c r="F805" s="0" t="s">
        <v>589</v>
      </c>
      <c r="I805" s="0" t="n">
        <v>53461</v>
      </c>
      <c r="J805" s="0" t="n">
        <v>61432</v>
      </c>
      <c r="K805" s="0" t="n">
        <v>95188874505</v>
      </c>
      <c r="L805" s="0" t="s">
        <v>2618</v>
      </c>
      <c r="N805" s="0" t="n">
        <v>24</v>
      </c>
      <c r="O805" s="60" t="n">
        <v>103.86</v>
      </c>
    </row>
    <row r="806" customFormat="false" ht="15" hidden="false" customHeight="false" outlineLevel="0" collapsed="false">
      <c r="A806" s="0" t="n">
        <v>3</v>
      </c>
      <c r="B806" s="59" t="n">
        <v>46213</v>
      </c>
      <c r="C806" s="0" t="n">
        <v>1</v>
      </c>
      <c r="D806" s="0" t="s">
        <v>2118</v>
      </c>
      <c r="E806" s="0" t="n">
        <v>911</v>
      </c>
      <c r="F806" s="0" t="s">
        <v>589</v>
      </c>
      <c r="I806" s="0" t="n">
        <v>53461</v>
      </c>
      <c r="J806" s="0" t="n">
        <v>62654</v>
      </c>
      <c r="K806" s="0" t="n">
        <v>95188872501</v>
      </c>
      <c r="L806" s="0" t="s">
        <v>2618</v>
      </c>
      <c r="N806" s="0" t="n">
        <v>24</v>
      </c>
      <c r="O806" s="60" t="n">
        <v>73.55</v>
      </c>
    </row>
    <row r="807" customFormat="false" ht="15" hidden="false" customHeight="false" outlineLevel="0" collapsed="false">
      <c r="A807" s="0" t="n">
        <v>3</v>
      </c>
      <c r="B807" s="59" t="n">
        <v>46213</v>
      </c>
      <c r="C807" s="0" t="n">
        <v>1</v>
      </c>
      <c r="D807" s="0" t="s">
        <v>2118</v>
      </c>
      <c r="E807" s="0" t="n">
        <v>911</v>
      </c>
      <c r="F807" s="0" t="s">
        <v>589</v>
      </c>
      <c r="I807" s="0" t="n">
        <v>53461</v>
      </c>
      <c r="J807" s="0" t="n">
        <v>63644</v>
      </c>
      <c r="K807" s="0" t="n">
        <v>95188870507</v>
      </c>
      <c r="L807" s="0" t="s">
        <v>2619</v>
      </c>
      <c r="N807" s="0" t="n">
        <v>12</v>
      </c>
      <c r="O807" s="60" t="n">
        <v>117.36</v>
      </c>
    </row>
    <row r="808" customFormat="false" ht="15" hidden="false" customHeight="false" outlineLevel="0" collapsed="false">
      <c r="A808" s="0" t="n">
        <v>3</v>
      </c>
      <c r="B808" s="59" t="n">
        <v>46213</v>
      </c>
      <c r="C808" s="0" t="n">
        <v>6</v>
      </c>
      <c r="D808" s="0" t="s">
        <v>2125</v>
      </c>
      <c r="E808" s="0" t="n">
        <v>42</v>
      </c>
      <c r="F808" s="0" t="s">
        <v>81</v>
      </c>
      <c r="I808" s="0" t="n">
        <v>4370</v>
      </c>
      <c r="J808" s="0" t="n">
        <v>109791</v>
      </c>
      <c r="K808" s="0" t="n">
        <v>9667</v>
      </c>
      <c r="L808" s="0" t="s">
        <v>2123</v>
      </c>
      <c r="N808" s="0" t="n">
        <v>8</v>
      </c>
      <c r="O808" s="60" t="n">
        <v>48</v>
      </c>
    </row>
    <row r="809" customFormat="false" ht="15" hidden="false" customHeight="false" outlineLevel="0" collapsed="false">
      <c r="A809" s="0" t="n">
        <v>3</v>
      </c>
      <c r="B809" s="59" t="n">
        <v>46213</v>
      </c>
      <c r="C809" s="0" t="n">
        <v>6</v>
      </c>
      <c r="D809" s="0" t="s">
        <v>2125</v>
      </c>
      <c r="E809" s="0" t="n">
        <v>42</v>
      </c>
      <c r="F809" s="0" t="s">
        <v>81</v>
      </c>
      <c r="I809" s="0" t="n">
        <v>4370</v>
      </c>
      <c r="J809" s="0" t="n">
        <v>37359</v>
      </c>
      <c r="K809" s="0" t="n">
        <v>55526</v>
      </c>
      <c r="L809" s="0" t="s">
        <v>2194</v>
      </c>
      <c r="N809" s="0" t="n">
        <v>30</v>
      </c>
      <c r="O809" s="60" t="n">
        <v>60</v>
      </c>
    </row>
    <row r="810" customFormat="false" ht="15" hidden="false" customHeight="false" outlineLevel="0" collapsed="false">
      <c r="A810" s="0" t="n">
        <v>3</v>
      </c>
      <c r="B810" s="59" t="n">
        <v>46213</v>
      </c>
      <c r="C810" s="0" t="n">
        <v>6</v>
      </c>
      <c r="D810" s="0" t="s">
        <v>2125</v>
      </c>
      <c r="E810" s="0" t="n">
        <v>42</v>
      </c>
      <c r="F810" s="0" t="s">
        <v>81</v>
      </c>
      <c r="I810" s="0" t="n">
        <v>4370</v>
      </c>
      <c r="J810" s="0" t="n">
        <v>37361</v>
      </c>
      <c r="K810" s="0" t="n">
        <v>2240817</v>
      </c>
      <c r="L810" s="0" t="s">
        <v>2124</v>
      </c>
      <c r="N810" s="0" t="n">
        <v>8</v>
      </c>
      <c r="O810" s="60" t="n">
        <v>20</v>
      </c>
    </row>
    <row r="811" customFormat="false" ht="15" hidden="false" customHeight="false" outlineLevel="0" collapsed="false">
      <c r="A811" s="0" t="n">
        <v>3</v>
      </c>
      <c r="B811" s="59" t="n">
        <v>46213</v>
      </c>
      <c r="C811" s="0" t="n">
        <v>6</v>
      </c>
      <c r="D811" s="0" t="s">
        <v>2125</v>
      </c>
      <c r="E811" s="0" t="n">
        <v>42</v>
      </c>
      <c r="F811" s="0" t="s">
        <v>81</v>
      </c>
      <c r="I811" s="0" t="n">
        <v>4371</v>
      </c>
      <c r="J811" s="0" t="n">
        <v>100062</v>
      </c>
      <c r="K811" s="0" t="n">
        <v>63</v>
      </c>
      <c r="L811" s="0" t="s">
        <v>2259</v>
      </c>
      <c r="N811" s="0" t="n">
        <v>9.48</v>
      </c>
      <c r="O811" s="60" t="n">
        <v>113.5</v>
      </c>
    </row>
    <row r="812" customFormat="false" ht="15" hidden="false" customHeight="false" outlineLevel="0" collapsed="false">
      <c r="A812" s="0" t="n">
        <v>3</v>
      </c>
      <c r="B812" s="59" t="n">
        <v>46213</v>
      </c>
      <c r="C812" s="0" t="n">
        <v>6</v>
      </c>
      <c r="D812" s="0" t="s">
        <v>2125</v>
      </c>
      <c r="E812" s="0" t="n">
        <v>42</v>
      </c>
      <c r="F812" s="0" t="s">
        <v>81</v>
      </c>
      <c r="I812" s="0" t="n">
        <v>4371</v>
      </c>
      <c r="J812" s="0" t="n">
        <v>100105</v>
      </c>
      <c r="K812" s="0" t="n">
        <v>106</v>
      </c>
      <c r="L812" s="0" t="s">
        <v>2620</v>
      </c>
      <c r="N812" s="0" t="n">
        <v>48</v>
      </c>
      <c r="O812" s="60" t="n">
        <v>360</v>
      </c>
    </row>
    <row r="813" customFormat="false" ht="15" hidden="false" customHeight="false" outlineLevel="0" collapsed="false">
      <c r="A813" s="0" t="n">
        <v>3</v>
      </c>
      <c r="B813" s="59" t="n">
        <v>46213</v>
      </c>
      <c r="C813" s="0" t="n">
        <v>6</v>
      </c>
      <c r="D813" s="0" t="s">
        <v>2125</v>
      </c>
      <c r="E813" s="0" t="n">
        <v>42</v>
      </c>
      <c r="F813" s="0" t="s">
        <v>81</v>
      </c>
      <c r="I813" s="0" t="n">
        <v>4371</v>
      </c>
      <c r="J813" s="0" t="n">
        <v>100109</v>
      </c>
      <c r="K813" s="0" t="n">
        <v>110</v>
      </c>
      <c r="L813" s="0" t="s">
        <v>2261</v>
      </c>
      <c r="N813" s="0" t="n">
        <v>40</v>
      </c>
      <c r="O813" s="60" t="n">
        <v>280</v>
      </c>
    </row>
    <row r="814" customFormat="false" ht="15" hidden="false" customHeight="false" outlineLevel="0" collapsed="false">
      <c r="A814" s="0" t="n">
        <v>3</v>
      </c>
      <c r="B814" s="59" t="n">
        <v>46213</v>
      </c>
      <c r="C814" s="0" t="n">
        <v>6</v>
      </c>
      <c r="D814" s="0" t="s">
        <v>2125</v>
      </c>
      <c r="E814" s="0" t="n">
        <v>42</v>
      </c>
      <c r="F814" s="0" t="s">
        <v>81</v>
      </c>
      <c r="I814" s="0" t="n">
        <v>4371</v>
      </c>
      <c r="J814" s="0" t="n">
        <v>100113</v>
      </c>
      <c r="K814" s="0" t="n">
        <v>114</v>
      </c>
      <c r="L814" s="0" t="s">
        <v>2264</v>
      </c>
      <c r="N814" s="0" t="n">
        <v>40</v>
      </c>
      <c r="O814" s="60" t="n">
        <v>160</v>
      </c>
    </row>
    <row r="815" customFormat="false" ht="15" hidden="false" customHeight="false" outlineLevel="0" collapsed="false">
      <c r="A815" s="0" t="n">
        <v>3</v>
      </c>
      <c r="B815" s="59" t="n">
        <v>46213</v>
      </c>
      <c r="C815" s="0" t="n">
        <v>6</v>
      </c>
      <c r="D815" s="0" t="s">
        <v>2125</v>
      </c>
      <c r="E815" s="0" t="n">
        <v>42</v>
      </c>
      <c r="F815" s="0" t="s">
        <v>81</v>
      </c>
      <c r="I815" s="0" t="n">
        <v>4371</v>
      </c>
      <c r="J815" s="0" t="n">
        <v>100116</v>
      </c>
      <c r="K815" s="0" t="n">
        <v>117</v>
      </c>
      <c r="L815" s="0" t="s">
        <v>2266</v>
      </c>
      <c r="N815" s="0" t="n">
        <v>4</v>
      </c>
      <c r="O815" s="60" t="n">
        <v>36</v>
      </c>
    </row>
    <row r="816" customFormat="false" ht="15" hidden="false" customHeight="false" outlineLevel="0" collapsed="false">
      <c r="A816" s="0" t="n">
        <v>3</v>
      </c>
      <c r="B816" s="59" t="n">
        <v>46213</v>
      </c>
      <c r="C816" s="0" t="n">
        <v>6</v>
      </c>
      <c r="D816" s="0" t="s">
        <v>2125</v>
      </c>
      <c r="E816" s="0" t="n">
        <v>42</v>
      </c>
      <c r="F816" s="0" t="s">
        <v>81</v>
      </c>
      <c r="I816" s="0" t="n">
        <v>4371</v>
      </c>
      <c r="J816" s="0" t="n">
        <v>100118</v>
      </c>
      <c r="K816" s="0" t="n">
        <v>119</v>
      </c>
      <c r="L816" s="0" t="s">
        <v>2267</v>
      </c>
      <c r="N816" s="0" t="n">
        <v>10</v>
      </c>
      <c r="O816" s="60" t="n">
        <v>40</v>
      </c>
    </row>
    <row r="817" customFormat="false" ht="15" hidden="false" customHeight="false" outlineLevel="0" collapsed="false">
      <c r="A817" s="0" t="n">
        <v>3</v>
      </c>
      <c r="B817" s="59" t="n">
        <v>46213</v>
      </c>
      <c r="C817" s="0" t="n">
        <v>6</v>
      </c>
      <c r="D817" s="0" t="s">
        <v>2125</v>
      </c>
      <c r="E817" s="0" t="n">
        <v>42</v>
      </c>
      <c r="F817" s="0" t="s">
        <v>81</v>
      </c>
      <c r="I817" s="0" t="n">
        <v>4371</v>
      </c>
      <c r="J817" s="0" t="n">
        <v>100122</v>
      </c>
      <c r="K817" s="0" t="n">
        <v>123</v>
      </c>
      <c r="L817" s="0" t="s">
        <v>2423</v>
      </c>
      <c r="N817" s="0" t="n">
        <v>10</v>
      </c>
      <c r="O817" s="60" t="n">
        <v>100</v>
      </c>
    </row>
    <row r="818" customFormat="false" ht="15" hidden="false" customHeight="false" outlineLevel="0" collapsed="false">
      <c r="A818" s="0" t="n">
        <v>3</v>
      </c>
      <c r="B818" s="59" t="n">
        <v>46213</v>
      </c>
      <c r="C818" s="0" t="n">
        <v>6</v>
      </c>
      <c r="D818" s="0" t="s">
        <v>2125</v>
      </c>
      <c r="E818" s="0" t="n">
        <v>42</v>
      </c>
      <c r="F818" s="0" t="s">
        <v>81</v>
      </c>
      <c r="I818" s="0" t="n">
        <v>4371</v>
      </c>
      <c r="J818" s="0" t="n">
        <v>100123</v>
      </c>
      <c r="K818" s="0" t="n">
        <v>124</v>
      </c>
      <c r="L818" s="0" t="s">
        <v>2268</v>
      </c>
      <c r="N818" s="0" t="n">
        <v>4</v>
      </c>
      <c r="O818" s="60" t="n">
        <v>36</v>
      </c>
    </row>
    <row r="819" customFormat="false" ht="15" hidden="false" customHeight="false" outlineLevel="0" collapsed="false">
      <c r="A819" s="0" t="n">
        <v>3</v>
      </c>
      <c r="B819" s="59" t="n">
        <v>46213</v>
      </c>
      <c r="C819" s="0" t="n">
        <v>6</v>
      </c>
      <c r="D819" s="0" t="s">
        <v>2125</v>
      </c>
      <c r="E819" s="0" t="n">
        <v>42</v>
      </c>
      <c r="F819" s="0" t="s">
        <v>81</v>
      </c>
      <c r="I819" s="0" t="n">
        <v>4371</v>
      </c>
      <c r="J819" s="0" t="n">
        <v>100124</v>
      </c>
      <c r="K819" s="0" t="n">
        <v>125</v>
      </c>
      <c r="L819" s="0" t="s">
        <v>2269</v>
      </c>
      <c r="N819" s="0" t="n">
        <v>9.83</v>
      </c>
      <c r="O819" s="60" t="n">
        <v>88</v>
      </c>
    </row>
    <row r="820" customFormat="false" ht="15" hidden="false" customHeight="false" outlineLevel="0" collapsed="false">
      <c r="A820" s="0" t="n">
        <v>3</v>
      </c>
      <c r="B820" s="59" t="n">
        <v>46213</v>
      </c>
      <c r="C820" s="0" t="n">
        <v>6</v>
      </c>
      <c r="D820" s="0" t="s">
        <v>2125</v>
      </c>
      <c r="E820" s="0" t="n">
        <v>42</v>
      </c>
      <c r="F820" s="0" t="s">
        <v>81</v>
      </c>
      <c r="I820" s="0" t="n">
        <v>4371</v>
      </c>
      <c r="J820" s="0" t="n">
        <v>100125</v>
      </c>
      <c r="K820" s="0" t="n">
        <v>126</v>
      </c>
      <c r="L820" s="0" t="s">
        <v>2424</v>
      </c>
      <c r="N820" s="0" t="n">
        <v>20</v>
      </c>
      <c r="O820" s="60" t="n">
        <v>130</v>
      </c>
    </row>
    <row r="821" customFormat="false" ht="15" hidden="false" customHeight="false" outlineLevel="0" collapsed="false">
      <c r="A821" s="0" t="n">
        <v>3</v>
      </c>
      <c r="B821" s="59" t="n">
        <v>46213</v>
      </c>
      <c r="C821" s="0" t="n">
        <v>6</v>
      </c>
      <c r="D821" s="0" t="s">
        <v>2125</v>
      </c>
      <c r="E821" s="0" t="n">
        <v>42</v>
      </c>
      <c r="F821" s="0" t="s">
        <v>81</v>
      </c>
      <c r="I821" s="0" t="n">
        <v>4371</v>
      </c>
      <c r="J821" s="0" t="n">
        <v>100130</v>
      </c>
      <c r="K821" s="0" t="n">
        <v>131</v>
      </c>
      <c r="L821" s="0" t="s">
        <v>2621</v>
      </c>
      <c r="N821" s="0" t="n">
        <v>10</v>
      </c>
      <c r="O821" s="60" t="n">
        <v>70</v>
      </c>
    </row>
    <row r="822" customFormat="false" ht="15" hidden="false" customHeight="false" outlineLevel="0" collapsed="false">
      <c r="A822" s="0" t="n">
        <v>3</v>
      </c>
      <c r="B822" s="59" t="n">
        <v>46213</v>
      </c>
      <c r="C822" s="0" t="n">
        <v>6</v>
      </c>
      <c r="D822" s="0" t="s">
        <v>2125</v>
      </c>
      <c r="E822" s="0" t="n">
        <v>42</v>
      </c>
      <c r="F822" s="0" t="s">
        <v>81</v>
      </c>
      <c r="I822" s="0" t="n">
        <v>4371</v>
      </c>
      <c r="J822" s="0" t="n">
        <v>100132</v>
      </c>
      <c r="K822" s="0" t="n">
        <v>133</v>
      </c>
      <c r="L822" s="0" t="s">
        <v>2270</v>
      </c>
      <c r="N822" s="0" t="n">
        <v>96.4</v>
      </c>
      <c r="O822" s="60" t="n">
        <v>240</v>
      </c>
    </row>
    <row r="823" customFormat="false" ht="15" hidden="false" customHeight="false" outlineLevel="0" collapsed="false">
      <c r="A823" s="0" t="n">
        <v>3</v>
      </c>
      <c r="B823" s="59" t="n">
        <v>46213</v>
      </c>
      <c r="C823" s="0" t="n">
        <v>6</v>
      </c>
      <c r="D823" s="0" t="s">
        <v>2125</v>
      </c>
      <c r="E823" s="0" t="n">
        <v>42</v>
      </c>
      <c r="F823" s="0" t="s">
        <v>81</v>
      </c>
      <c r="I823" s="0" t="n">
        <v>4371</v>
      </c>
      <c r="J823" s="0" t="n">
        <v>100133</v>
      </c>
      <c r="K823" s="0" t="n">
        <v>134</v>
      </c>
      <c r="L823" s="0" t="s">
        <v>2271</v>
      </c>
      <c r="N823" s="0" t="n">
        <v>10</v>
      </c>
      <c r="O823" s="60" t="n">
        <v>60</v>
      </c>
    </row>
    <row r="824" customFormat="false" ht="15" hidden="false" customHeight="false" outlineLevel="0" collapsed="false">
      <c r="A824" s="0" t="n">
        <v>3</v>
      </c>
      <c r="B824" s="59" t="n">
        <v>46213</v>
      </c>
      <c r="C824" s="0" t="n">
        <v>6</v>
      </c>
      <c r="D824" s="0" t="s">
        <v>2125</v>
      </c>
      <c r="E824" s="0" t="n">
        <v>42</v>
      </c>
      <c r="F824" s="0" t="s">
        <v>81</v>
      </c>
      <c r="I824" s="0" t="n">
        <v>4371</v>
      </c>
      <c r="J824" s="0" t="n">
        <v>100148</v>
      </c>
      <c r="K824" s="0" t="n">
        <v>149</v>
      </c>
      <c r="L824" s="0" t="s">
        <v>2272</v>
      </c>
      <c r="N824" s="0" t="n">
        <v>5.9</v>
      </c>
      <c r="O824" s="60" t="n">
        <v>70.5</v>
      </c>
    </row>
    <row r="825" customFormat="false" ht="15" hidden="false" customHeight="false" outlineLevel="0" collapsed="false">
      <c r="A825" s="0" t="n">
        <v>3</v>
      </c>
      <c r="B825" s="59" t="n">
        <v>46213</v>
      </c>
      <c r="C825" s="0" t="n">
        <v>6</v>
      </c>
      <c r="D825" s="0" t="s">
        <v>2125</v>
      </c>
      <c r="E825" s="0" t="n">
        <v>42</v>
      </c>
      <c r="F825" s="0" t="s">
        <v>81</v>
      </c>
      <c r="I825" s="0" t="n">
        <v>4371</v>
      </c>
      <c r="J825" s="0" t="n">
        <v>110142</v>
      </c>
      <c r="K825" s="0" t="n">
        <v>16699</v>
      </c>
      <c r="L825" s="0" t="s">
        <v>2273</v>
      </c>
      <c r="N825" s="0" t="n">
        <v>20</v>
      </c>
      <c r="O825" s="60" t="n">
        <v>120</v>
      </c>
    </row>
    <row r="826" customFormat="false" ht="15" hidden="false" customHeight="false" outlineLevel="0" collapsed="false">
      <c r="A826" s="0" t="n">
        <v>3</v>
      </c>
      <c r="B826" s="59" t="n">
        <v>46213</v>
      </c>
      <c r="C826" s="0" t="n">
        <v>11</v>
      </c>
      <c r="D826" s="0" t="s">
        <v>2126</v>
      </c>
      <c r="E826" s="0" t="n">
        <v>1136</v>
      </c>
      <c r="F826" s="0" t="s">
        <v>695</v>
      </c>
      <c r="I826" s="0" t="n">
        <v>51626</v>
      </c>
      <c r="J826" s="0" t="n">
        <v>102960</v>
      </c>
      <c r="K826" s="0" t="n">
        <v>7896221400087</v>
      </c>
      <c r="L826" s="0" t="s">
        <v>2622</v>
      </c>
      <c r="N826" s="0" t="n">
        <v>20</v>
      </c>
      <c r="O826" s="60" t="n">
        <v>101.52</v>
      </c>
    </row>
    <row r="827" customFormat="false" ht="15" hidden="false" customHeight="false" outlineLevel="0" collapsed="false">
      <c r="A827" s="0" t="n">
        <v>3</v>
      </c>
      <c r="B827" s="59" t="n">
        <v>46213</v>
      </c>
      <c r="C827" s="0" t="n">
        <v>11</v>
      </c>
      <c r="D827" s="0" t="s">
        <v>2126</v>
      </c>
      <c r="E827" s="0" t="n">
        <v>1136</v>
      </c>
      <c r="F827" s="0" t="s">
        <v>695</v>
      </c>
      <c r="I827" s="0" t="n">
        <v>51626</v>
      </c>
      <c r="J827" s="0" t="n">
        <v>103920</v>
      </c>
      <c r="K827" s="0" t="n">
        <v>7896221400025</v>
      </c>
      <c r="L827" s="0" t="s">
        <v>2623</v>
      </c>
      <c r="N827" s="0" t="n">
        <v>20</v>
      </c>
      <c r="O827" s="60" t="n">
        <v>92.35</v>
      </c>
    </row>
    <row r="828" customFormat="false" ht="15" hidden="false" customHeight="false" outlineLevel="0" collapsed="false">
      <c r="A828" s="0" t="n">
        <v>3</v>
      </c>
      <c r="B828" s="59" t="n">
        <v>46213</v>
      </c>
      <c r="C828" s="0" t="n">
        <v>11</v>
      </c>
      <c r="D828" s="0" t="s">
        <v>2126</v>
      </c>
      <c r="E828" s="0" t="n">
        <v>1136</v>
      </c>
      <c r="F828" s="0" t="s">
        <v>695</v>
      </c>
      <c r="I828" s="0" t="n">
        <v>51626</v>
      </c>
      <c r="J828" s="0" t="n">
        <v>103994</v>
      </c>
      <c r="K828" s="0" t="n">
        <v>7896221400056</v>
      </c>
      <c r="L828" s="0" t="s">
        <v>2624</v>
      </c>
      <c r="N828" s="0" t="n">
        <v>10</v>
      </c>
      <c r="O828" s="60" t="n">
        <v>42.16</v>
      </c>
    </row>
    <row r="829" customFormat="false" ht="15" hidden="false" customHeight="false" outlineLevel="0" collapsed="false">
      <c r="A829" s="0" t="n">
        <v>3</v>
      </c>
      <c r="B829" s="59" t="n">
        <v>46213</v>
      </c>
      <c r="C829" s="0" t="n">
        <v>11</v>
      </c>
      <c r="D829" s="0" t="s">
        <v>2126</v>
      </c>
      <c r="E829" s="0" t="n">
        <v>1136</v>
      </c>
      <c r="F829" s="0" t="s">
        <v>695</v>
      </c>
      <c r="I829" s="0" t="n">
        <v>51626</v>
      </c>
      <c r="J829" s="0" t="n">
        <v>103995</v>
      </c>
      <c r="K829" s="0" t="n">
        <v>7896221400483</v>
      </c>
      <c r="L829" s="0" t="s">
        <v>2625</v>
      </c>
      <c r="N829" s="0" t="n">
        <v>10</v>
      </c>
      <c r="O829" s="60" t="n">
        <v>50.76</v>
      </c>
    </row>
    <row r="830" customFormat="false" ht="15" hidden="false" customHeight="false" outlineLevel="0" collapsed="false">
      <c r="A830" s="0" t="n">
        <v>3</v>
      </c>
      <c r="B830" s="59" t="n">
        <v>46213</v>
      </c>
      <c r="C830" s="0" t="n">
        <v>11</v>
      </c>
      <c r="D830" s="0" t="s">
        <v>2126</v>
      </c>
      <c r="E830" s="0" t="n">
        <v>1136</v>
      </c>
      <c r="F830" s="0" t="s">
        <v>695</v>
      </c>
      <c r="I830" s="0" t="n">
        <v>51626</v>
      </c>
      <c r="J830" s="0" t="n">
        <v>107878</v>
      </c>
      <c r="K830" s="0" t="n">
        <v>7896221400520</v>
      </c>
      <c r="L830" s="0" t="s">
        <v>2626</v>
      </c>
      <c r="N830" s="0" t="n">
        <v>20</v>
      </c>
      <c r="O830" s="60" t="n">
        <v>57.28</v>
      </c>
    </row>
    <row r="831" customFormat="false" ht="15" hidden="false" customHeight="false" outlineLevel="0" collapsed="false">
      <c r="A831" s="0" t="n">
        <v>3</v>
      </c>
      <c r="B831" s="59" t="n">
        <v>46213</v>
      </c>
      <c r="C831" s="0" t="n">
        <v>11</v>
      </c>
      <c r="D831" s="0" t="s">
        <v>2126</v>
      </c>
      <c r="E831" s="0" t="n">
        <v>1136</v>
      </c>
      <c r="F831" s="0" t="s">
        <v>695</v>
      </c>
      <c r="I831" s="0" t="n">
        <v>51626</v>
      </c>
      <c r="J831" s="0" t="n">
        <v>109973</v>
      </c>
      <c r="K831" s="0" t="n">
        <v>7896067202241</v>
      </c>
      <c r="L831" s="0" t="s">
        <v>2627</v>
      </c>
      <c r="N831" s="0" t="n">
        <v>20</v>
      </c>
      <c r="O831" s="60" t="n">
        <v>100</v>
      </c>
    </row>
    <row r="832" customFormat="false" ht="15" hidden="false" customHeight="false" outlineLevel="0" collapsed="false">
      <c r="A832" s="0" t="n">
        <v>3</v>
      </c>
      <c r="B832" s="59" t="n">
        <v>46213</v>
      </c>
      <c r="C832" s="0" t="n">
        <v>11</v>
      </c>
      <c r="D832" s="0" t="s">
        <v>2126</v>
      </c>
      <c r="E832" s="0" t="n">
        <v>1136</v>
      </c>
      <c r="F832" s="0" t="s">
        <v>695</v>
      </c>
      <c r="I832" s="0" t="n">
        <v>51626</v>
      </c>
      <c r="J832" s="0" t="n">
        <v>17725</v>
      </c>
      <c r="K832" s="0" t="n">
        <v>7896221401749</v>
      </c>
      <c r="L832" s="0" t="s">
        <v>2628</v>
      </c>
      <c r="N832" s="0" t="n">
        <v>10</v>
      </c>
      <c r="O832" s="60" t="n">
        <v>50.76</v>
      </c>
    </row>
    <row r="833" customFormat="false" ht="15" hidden="false" customHeight="false" outlineLevel="0" collapsed="false">
      <c r="A833" s="0" t="n">
        <v>3</v>
      </c>
      <c r="B833" s="59" t="n">
        <v>46213</v>
      </c>
      <c r="C833" s="0" t="n">
        <v>11</v>
      </c>
      <c r="D833" s="0" t="s">
        <v>2126</v>
      </c>
      <c r="E833" s="0" t="n">
        <v>1136</v>
      </c>
      <c r="F833" s="0" t="s">
        <v>695</v>
      </c>
      <c r="I833" s="0" t="n">
        <v>51626</v>
      </c>
      <c r="J833" s="0" t="n">
        <v>27000</v>
      </c>
      <c r="K833" s="0" t="n">
        <v>7896067203712</v>
      </c>
      <c r="L833" s="0" t="s">
        <v>2629</v>
      </c>
      <c r="N833" s="0" t="n">
        <v>12</v>
      </c>
      <c r="O833" s="60" t="n">
        <v>87.41</v>
      </c>
    </row>
    <row r="834" customFormat="false" ht="15" hidden="false" customHeight="false" outlineLevel="0" collapsed="false">
      <c r="A834" s="0" t="n">
        <v>3</v>
      </c>
      <c r="B834" s="59" t="n">
        <v>46213</v>
      </c>
      <c r="C834" s="0" t="n">
        <v>11</v>
      </c>
      <c r="D834" s="0" t="s">
        <v>2126</v>
      </c>
      <c r="E834" s="0" t="n">
        <v>1136</v>
      </c>
      <c r="F834" s="0" t="s">
        <v>695</v>
      </c>
      <c r="I834" s="0" t="n">
        <v>51626</v>
      </c>
      <c r="J834" s="0" t="n">
        <v>28926</v>
      </c>
      <c r="K834" s="0" t="n">
        <v>7896067203170</v>
      </c>
      <c r="L834" s="0" t="s">
        <v>2630</v>
      </c>
      <c r="N834" s="0" t="n">
        <v>52</v>
      </c>
      <c r="O834" s="60" t="n">
        <v>171.37</v>
      </c>
    </row>
    <row r="835" customFormat="false" ht="15" hidden="false" customHeight="false" outlineLevel="0" collapsed="false">
      <c r="A835" s="0" t="n">
        <v>3</v>
      </c>
      <c r="B835" s="59" t="n">
        <v>46213</v>
      </c>
      <c r="C835" s="0" t="n">
        <v>11</v>
      </c>
      <c r="D835" s="0" t="s">
        <v>2126</v>
      </c>
      <c r="E835" s="0" t="n">
        <v>1136</v>
      </c>
      <c r="F835" s="0" t="s">
        <v>695</v>
      </c>
      <c r="I835" s="0" t="n">
        <v>51626</v>
      </c>
      <c r="J835" s="0" t="n">
        <v>28981</v>
      </c>
      <c r="K835" s="0" t="n">
        <v>58572</v>
      </c>
      <c r="L835" s="0" t="s">
        <v>2631</v>
      </c>
      <c r="N835" s="0" t="n">
        <v>40</v>
      </c>
      <c r="O835" s="60" t="n">
        <v>165.74</v>
      </c>
    </row>
    <row r="836" customFormat="false" ht="15" hidden="false" customHeight="false" outlineLevel="0" collapsed="false">
      <c r="A836" s="0" t="n">
        <v>3</v>
      </c>
      <c r="B836" s="59" t="n">
        <v>46213</v>
      </c>
      <c r="C836" s="0" t="n">
        <v>11</v>
      </c>
      <c r="D836" s="0" t="s">
        <v>2126</v>
      </c>
      <c r="E836" s="0" t="n">
        <v>1136</v>
      </c>
      <c r="F836" s="0" t="s">
        <v>695</v>
      </c>
      <c r="I836" s="0" t="n">
        <v>51626</v>
      </c>
      <c r="J836" s="0" t="n">
        <v>29863</v>
      </c>
      <c r="K836" s="0" t="n">
        <v>7896221402456</v>
      </c>
      <c r="L836" s="0" t="s">
        <v>2632</v>
      </c>
      <c r="N836" s="0" t="n">
        <v>10</v>
      </c>
      <c r="O836" s="60" t="n">
        <v>50.76</v>
      </c>
    </row>
    <row r="837" customFormat="false" ht="15" hidden="false" customHeight="false" outlineLevel="0" collapsed="false">
      <c r="A837" s="0" t="n">
        <v>3</v>
      </c>
      <c r="B837" s="59" t="n">
        <v>46213</v>
      </c>
      <c r="C837" s="0" t="n">
        <v>11</v>
      </c>
      <c r="D837" s="0" t="s">
        <v>2126</v>
      </c>
      <c r="E837" s="0" t="n">
        <v>1136</v>
      </c>
      <c r="F837" s="0" t="s">
        <v>695</v>
      </c>
      <c r="I837" s="0" t="n">
        <v>51626</v>
      </c>
      <c r="J837" s="0" t="n">
        <v>31006</v>
      </c>
      <c r="K837" s="0" t="n">
        <v>7896221402357</v>
      </c>
      <c r="L837" s="0" t="s">
        <v>2633</v>
      </c>
      <c r="N837" s="0" t="n">
        <v>10</v>
      </c>
      <c r="O837" s="60" t="n">
        <v>50.76</v>
      </c>
    </row>
    <row r="838" customFormat="false" ht="15" hidden="false" customHeight="false" outlineLevel="0" collapsed="false">
      <c r="A838" s="0" t="n">
        <v>3</v>
      </c>
      <c r="B838" s="59" t="n">
        <v>46213</v>
      </c>
      <c r="C838" s="0" t="n">
        <v>11</v>
      </c>
      <c r="D838" s="0" t="s">
        <v>2126</v>
      </c>
      <c r="E838" s="0" t="n">
        <v>1136</v>
      </c>
      <c r="F838" s="0" t="s">
        <v>695</v>
      </c>
      <c r="I838" s="0" t="n">
        <v>51626</v>
      </c>
      <c r="J838" s="0" t="n">
        <v>39154</v>
      </c>
      <c r="K838" s="0" t="n">
        <v>7896221400490</v>
      </c>
      <c r="L838" s="0" t="s">
        <v>2634</v>
      </c>
      <c r="N838" s="0" t="n">
        <v>20</v>
      </c>
      <c r="O838" s="60" t="n">
        <v>57.28</v>
      </c>
    </row>
    <row r="839" customFormat="false" ht="15" hidden="false" customHeight="false" outlineLevel="0" collapsed="false">
      <c r="A839" s="0" t="n">
        <v>3</v>
      </c>
      <c r="B839" s="59" t="n">
        <v>46213</v>
      </c>
      <c r="C839" s="0" t="n">
        <v>11</v>
      </c>
      <c r="D839" s="0" t="s">
        <v>2126</v>
      </c>
      <c r="E839" s="0" t="n">
        <v>1136</v>
      </c>
      <c r="F839" s="0" t="s">
        <v>695</v>
      </c>
      <c r="I839" s="0" t="n">
        <v>51626</v>
      </c>
      <c r="J839" s="0" t="n">
        <v>42414</v>
      </c>
      <c r="K839" s="0" t="n">
        <v>7896221400506</v>
      </c>
      <c r="L839" s="0" t="s">
        <v>2635</v>
      </c>
      <c r="N839" s="0" t="n">
        <v>20</v>
      </c>
      <c r="O839" s="60" t="n">
        <v>57.28</v>
      </c>
    </row>
    <row r="840" customFormat="false" ht="15" hidden="false" customHeight="false" outlineLevel="0" collapsed="false">
      <c r="A840" s="0" t="n">
        <v>3</v>
      </c>
      <c r="B840" s="59" t="n">
        <v>46213</v>
      </c>
      <c r="C840" s="0" t="n">
        <v>11</v>
      </c>
      <c r="D840" s="0" t="s">
        <v>2126</v>
      </c>
      <c r="E840" s="0" t="n">
        <v>1666</v>
      </c>
      <c r="F840" s="0" t="s">
        <v>214</v>
      </c>
      <c r="I840" s="0" t="n">
        <v>566717</v>
      </c>
      <c r="J840" s="0" t="n">
        <v>24990</v>
      </c>
      <c r="K840" s="0" t="n">
        <v>78935761</v>
      </c>
      <c r="L840" s="0" t="s">
        <v>2214</v>
      </c>
      <c r="N840" s="0" t="n">
        <v>50</v>
      </c>
      <c r="O840" s="60" t="n">
        <v>741.14</v>
      </c>
    </row>
    <row r="841" customFormat="false" ht="15" hidden="false" customHeight="false" outlineLevel="0" collapsed="false">
      <c r="A841" s="0" t="n">
        <v>3</v>
      </c>
      <c r="B841" s="59" t="n">
        <v>46213</v>
      </c>
      <c r="C841" s="0" t="n">
        <v>11</v>
      </c>
      <c r="D841" s="0" t="s">
        <v>2126</v>
      </c>
      <c r="E841" s="0" t="n">
        <v>1666</v>
      </c>
      <c r="F841" s="0" t="s">
        <v>214</v>
      </c>
      <c r="I841" s="0" t="n">
        <v>566717</v>
      </c>
      <c r="J841" s="0" t="n">
        <v>25392</v>
      </c>
      <c r="K841" s="0" t="n">
        <v>7898591450600</v>
      </c>
      <c r="L841" s="0" t="s">
        <v>2636</v>
      </c>
      <c r="N841" s="0" t="n">
        <v>24</v>
      </c>
      <c r="O841" s="60" t="n">
        <v>21.74</v>
      </c>
    </row>
    <row r="842" customFormat="false" ht="15" hidden="false" customHeight="false" outlineLevel="0" collapsed="false">
      <c r="A842" s="0" t="n">
        <v>3</v>
      </c>
      <c r="B842" s="59" t="n">
        <v>46213</v>
      </c>
      <c r="C842" s="0" t="n">
        <v>11</v>
      </c>
      <c r="D842" s="0" t="s">
        <v>2126</v>
      </c>
      <c r="E842" s="0" t="n">
        <v>1666</v>
      </c>
      <c r="F842" s="0" t="s">
        <v>214</v>
      </c>
      <c r="I842" s="0" t="n">
        <v>566717</v>
      </c>
      <c r="J842" s="0" t="n">
        <v>25661</v>
      </c>
      <c r="K842" s="0" t="n">
        <v>7898591450686</v>
      </c>
      <c r="L842" s="0" t="s">
        <v>2637</v>
      </c>
      <c r="N842" s="0" t="n">
        <v>24</v>
      </c>
      <c r="O842" s="60" t="n">
        <v>21.74</v>
      </c>
    </row>
    <row r="843" customFormat="false" ht="15" hidden="false" customHeight="false" outlineLevel="0" collapsed="false">
      <c r="A843" s="0" t="n">
        <v>3</v>
      </c>
      <c r="B843" s="59" t="n">
        <v>46213</v>
      </c>
      <c r="C843" s="0" t="n">
        <v>11</v>
      </c>
      <c r="D843" s="0" t="s">
        <v>2126</v>
      </c>
      <c r="E843" s="0" t="n">
        <v>1666</v>
      </c>
      <c r="F843" s="0" t="s">
        <v>214</v>
      </c>
      <c r="I843" s="0" t="n">
        <v>566717</v>
      </c>
      <c r="J843" s="0" t="n">
        <v>25662</v>
      </c>
      <c r="K843" s="0" t="n">
        <v>7898591450662</v>
      </c>
      <c r="L843" s="0" t="s">
        <v>2638</v>
      </c>
      <c r="N843" s="0" t="n">
        <v>24</v>
      </c>
      <c r="O843" s="60" t="n">
        <v>21.74</v>
      </c>
    </row>
    <row r="844" customFormat="false" ht="15" hidden="false" customHeight="false" outlineLevel="0" collapsed="false">
      <c r="A844" s="0" t="n">
        <v>3</v>
      </c>
      <c r="B844" s="59" t="n">
        <v>46213</v>
      </c>
      <c r="C844" s="0" t="n">
        <v>11</v>
      </c>
      <c r="D844" s="0" t="s">
        <v>2126</v>
      </c>
      <c r="E844" s="0" t="n">
        <v>1666</v>
      </c>
      <c r="F844" s="0" t="s">
        <v>214</v>
      </c>
      <c r="I844" s="0" t="n">
        <v>566717</v>
      </c>
      <c r="J844" s="0" t="n">
        <v>37535</v>
      </c>
      <c r="K844" s="0" t="n">
        <v>78942073</v>
      </c>
      <c r="L844" s="0" t="s">
        <v>2215</v>
      </c>
      <c r="N844" s="0" t="n">
        <v>10</v>
      </c>
      <c r="O844" s="60" t="n">
        <v>129.4</v>
      </c>
    </row>
    <row r="845" customFormat="false" ht="15" hidden="false" customHeight="false" outlineLevel="0" collapsed="false">
      <c r="A845" s="0" t="n">
        <v>3</v>
      </c>
      <c r="B845" s="59" t="n">
        <v>46213</v>
      </c>
      <c r="C845" s="0" t="n">
        <v>11</v>
      </c>
      <c r="D845" s="0" t="s">
        <v>2126</v>
      </c>
      <c r="E845" s="0" t="n">
        <v>1666</v>
      </c>
      <c r="F845" s="0" t="s">
        <v>214</v>
      </c>
      <c r="I845" s="0" t="n">
        <v>566717</v>
      </c>
      <c r="J845" s="0" t="n">
        <v>37536</v>
      </c>
      <c r="K845" s="0" t="n">
        <v>78942066</v>
      </c>
      <c r="L845" s="0" t="s">
        <v>2216</v>
      </c>
      <c r="N845" s="0" t="n">
        <v>60</v>
      </c>
      <c r="O845" s="60" t="n">
        <v>804.66</v>
      </c>
    </row>
    <row r="846" customFormat="false" ht="15" hidden="false" customHeight="false" outlineLevel="0" collapsed="false">
      <c r="A846" s="0" t="n">
        <v>3</v>
      </c>
      <c r="B846" s="59" t="n">
        <v>46213</v>
      </c>
      <c r="C846" s="0" t="n">
        <v>11</v>
      </c>
      <c r="D846" s="0" t="s">
        <v>2126</v>
      </c>
      <c r="E846" s="0" t="n">
        <v>1666</v>
      </c>
      <c r="F846" s="0" t="s">
        <v>214</v>
      </c>
      <c r="I846" s="0" t="n">
        <v>566717</v>
      </c>
      <c r="J846" s="0" t="n">
        <v>40750</v>
      </c>
      <c r="K846" s="0" t="n">
        <v>78943032</v>
      </c>
      <c r="L846" s="0" t="s">
        <v>2639</v>
      </c>
      <c r="N846" s="0" t="n">
        <v>30</v>
      </c>
      <c r="O846" s="60" t="n">
        <v>381.15</v>
      </c>
    </row>
    <row r="847" customFormat="false" ht="15" hidden="false" customHeight="false" outlineLevel="0" collapsed="false">
      <c r="A847" s="0" t="n">
        <v>3</v>
      </c>
      <c r="B847" s="59" t="n">
        <v>46213</v>
      </c>
      <c r="C847" s="0" t="n">
        <v>11</v>
      </c>
      <c r="D847" s="0" t="s">
        <v>2126</v>
      </c>
      <c r="E847" s="0" t="n">
        <v>1666</v>
      </c>
      <c r="F847" s="0" t="s">
        <v>214</v>
      </c>
      <c r="I847" s="0" t="n">
        <v>566717</v>
      </c>
      <c r="J847" s="0" t="n">
        <v>67177</v>
      </c>
      <c r="K847" s="0" t="n">
        <v>78944466</v>
      </c>
      <c r="L847" s="0" t="s">
        <v>2218</v>
      </c>
      <c r="N847" s="0" t="n">
        <v>100</v>
      </c>
      <c r="O847" s="60" t="n">
        <v>1011.72</v>
      </c>
    </row>
    <row r="848" customFormat="false" ht="15" hidden="false" customHeight="false" outlineLevel="0" collapsed="false">
      <c r="A848" s="0" t="n">
        <v>3</v>
      </c>
      <c r="B848" s="59" t="n">
        <v>46213</v>
      </c>
      <c r="C848" s="0" t="n">
        <v>11</v>
      </c>
      <c r="D848" s="0" t="s">
        <v>2126</v>
      </c>
      <c r="E848" s="0" t="n">
        <v>1666</v>
      </c>
      <c r="F848" s="0" t="s">
        <v>214</v>
      </c>
      <c r="I848" s="0" t="n">
        <v>566717</v>
      </c>
      <c r="J848" s="0" t="n">
        <v>77084</v>
      </c>
      <c r="K848" s="0" t="n">
        <v>78947535</v>
      </c>
      <c r="L848" s="0" t="s">
        <v>2640</v>
      </c>
      <c r="N848" s="0" t="n">
        <v>20</v>
      </c>
      <c r="O848" s="60" t="n">
        <v>305.87</v>
      </c>
    </row>
    <row r="849" customFormat="false" ht="15" hidden="false" customHeight="false" outlineLevel="0" collapsed="false">
      <c r="A849" s="0" t="n">
        <v>3</v>
      </c>
      <c r="B849" s="59" t="n">
        <v>46213</v>
      </c>
      <c r="C849" s="0" t="n">
        <v>11</v>
      </c>
      <c r="D849" s="0" t="s">
        <v>2126</v>
      </c>
      <c r="E849" s="0" t="n">
        <v>1666</v>
      </c>
      <c r="F849" s="0" t="s">
        <v>214</v>
      </c>
      <c r="I849" s="0" t="n">
        <v>566717</v>
      </c>
      <c r="J849" s="0" t="n">
        <v>81691</v>
      </c>
      <c r="K849" s="0" t="n">
        <v>78947610</v>
      </c>
      <c r="L849" s="0" t="s">
        <v>2641</v>
      </c>
      <c r="N849" s="0" t="n">
        <v>50</v>
      </c>
      <c r="O849" s="60" t="n">
        <v>364.69</v>
      </c>
    </row>
    <row r="850" customFormat="false" ht="15" hidden="false" customHeight="false" outlineLevel="0" collapsed="false">
      <c r="A850" s="0" t="n">
        <v>3</v>
      </c>
      <c r="B850" s="59" t="n">
        <v>46214</v>
      </c>
      <c r="C850" s="0" t="n">
        <v>1</v>
      </c>
      <c r="D850" s="0" t="s">
        <v>2118</v>
      </c>
      <c r="E850" s="0" t="n">
        <v>1378</v>
      </c>
      <c r="F850" s="0" t="s">
        <v>121</v>
      </c>
      <c r="I850" s="0" t="n">
        <v>18164</v>
      </c>
      <c r="J850" s="0" t="n">
        <v>74061</v>
      </c>
      <c r="K850" s="0" t="n">
        <v>42882264255</v>
      </c>
      <c r="L850" s="0" t="s">
        <v>2297</v>
      </c>
      <c r="N850" s="0" t="n">
        <v>6</v>
      </c>
      <c r="O850" s="60" t="n">
        <v>30.6</v>
      </c>
    </row>
    <row r="851" customFormat="false" ht="15" hidden="false" customHeight="false" outlineLevel="0" collapsed="false">
      <c r="A851" s="0" t="n">
        <v>3</v>
      </c>
      <c r="B851" s="59" t="n">
        <v>46214</v>
      </c>
      <c r="C851" s="0" t="n">
        <v>1</v>
      </c>
      <c r="D851" s="0" t="s">
        <v>2118</v>
      </c>
      <c r="E851" s="0" t="n">
        <v>1378</v>
      </c>
      <c r="F851" s="0" t="s">
        <v>121</v>
      </c>
      <c r="I851" s="0" t="n">
        <v>18164</v>
      </c>
      <c r="J851" s="0" t="n">
        <v>74063</v>
      </c>
      <c r="K851" s="0" t="n">
        <v>42882264262</v>
      </c>
      <c r="L851" s="0" t="s">
        <v>2298</v>
      </c>
      <c r="N851" s="0" t="n">
        <v>6</v>
      </c>
      <c r="O851" s="60" t="n">
        <v>27</v>
      </c>
    </row>
    <row r="852" customFormat="false" ht="15" hidden="false" customHeight="false" outlineLevel="0" collapsed="false">
      <c r="A852" s="0" t="n">
        <v>3</v>
      </c>
      <c r="B852" s="59" t="n">
        <v>46214</v>
      </c>
      <c r="C852" s="0" t="n">
        <v>1</v>
      </c>
      <c r="D852" s="0" t="s">
        <v>2118</v>
      </c>
      <c r="E852" s="0" t="n">
        <v>1378</v>
      </c>
      <c r="F852" s="0" t="s">
        <v>121</v>
      </c>
      <c r="I852" s="0" t="n">
        <v>18164</v>
      </c>
      <c r="J852" s="0" t="n">
        <v>74064</v>
      </c>
      <c r="K852" s="0" t="n">
        <v>42882264279</v>
      </c>
      <c r="L852" s="0" t="s">
        <v>2299</v>
      </c>
      <c r="N852" s="0" t="n">
        <v>6</v>
      </c>
      <c r="O852" s="60" t="n">
        <v>28.8</v>
      </c>
    </row>
    <row r="853" customFormat="false" ht="15" hidden="false" customHeight="false" outlineLevel="0" collapsed="false">
      <c r="A853" s="0" t="n">
        <v>3</v>
      </c>
      <c r="B853" s="59" t="n">
        <v>46214</v>
      </c>
      <c r="C853" s="0" t="n">
        <v>1</v>
      </c>
      <c r="D853" s="0" t="s">
        <v>2118</v>
      </c>
      <c r="E853" s="0" t="n">
        <v>1378</v>
      </c>
      <c r="F853" s="0" t="s">
        <v>121</v>
      </c>
      <c r="I853" s="0" t="n">
        <v>18164</v>
      </c>
      <c r="J853" s="0" t="n">
        <v>77994</v>
      </c>
      <c r="K853" s="0" t="n">
        <v>780117</v>
      </c>
      <c r="L853" s="0" t="s">
        <v>2301</v>
      </c>
      <c r="N853" s="0" t="n">
        <v>20</v>
      </c>
      <c r="O853" s="60" t="n">
        <v>116</v>
      </c>
    </row>
    <row r="854" customFormat="false" ht="15" hidden="false" customHeight="false" outlineLevel="0" collapsed="false">
      <c r="A854" s="0" t="n">
        <v>3</v>
      </c>
      <c r="B854" s="59" t="n">
        <v>46214</v>
      </c>
      <c r="C854" s="0" t="n">
        <v>6</v>
      </c>
      <c r="D854" s="0" t="s">
        <v>2125</v>
      </c>
      <c r="E854" s="0" t="n">
        <v>42</v>
      </c>
      <c r="F854" s="0" t="s">
        <v>81</v>
      </c>
      <c r="I854" s="0" t="n">
        <v>4372</v>
      </c>
      <c r="J854" s="0" t="n">
        <v>72679</v>
      </c>
      <c r="K854" s="0" t="n">
        <v>246</v>
      </c>
      <c r="L854" s="0" t="s">
        <v>2195</v>
      </c>
      <c r="N854" s="0" t="n">
        <v>20</v>
      </c>
      <c r="O854" s="60" t="n">
        <v>280</v>
      </c>
    </row>
    <row r="855" customFormat="false" ht="15" hidden="false" customHeight="false" outlineLevel="0" collapsed="false">
      <c r="A855" s="0" t="n">
        <v>3</v>
      </c>
      <c r="B855" s="59" t="n">
        <v>46214</v>
      </c>
      <c r="C855" s="0" t="n">
        <v>6</v>
      </c>
      <c r="D855" s="0" t="s">
        <v>2125</v>
      </c>
      <c r="E855" s="0" t="n">
        <v>42</v>
      </c>
      <c r="F855" s="0" t="s">
        <v>81</v>
      </c>
      <c r="I855" s="0" t="n">
        <v>4373</v>
      </c>
      <c r="J855" s="0" t="n">
        <v>109791</v>
      </c>
      <c r="K855" s="0" t="n">
        <v>9667</v>
      </c>
      <c r="L855" s="0" t="s">
        <v>2123</v>
      </c>
      <c r="N855" s="0" t="n">
        <v>10</v>
      </c>
      <c r="O855" s="60" t="n">
        <v>60</v>
      </c>
    </row>
    <row r="856" customFormat="false" ht="15" hidden="false" customHeight="false" outlineLevel="0" collapsed="false">
      <c r="A856" s="0" t="n">
        <v>3</v>
      </c>
      <c r="B856" s="59" t="n">
        <v>46214</v>
      </c>
      <c r="C856" s="0" t="n">
        <v>6</v>
      </c>
      <c r="D856" s="0" t="s">
        <v>2125</v>
      </c>
      <c r="E856" s="0" t="n">
        <v>42</v>
      </c>
      <c r="F856" s="0" t="s">
        <v>81</v>
      </c>
      <c r="I856" s="0" t="n">
        <v>4373</v>
      </c>
      <c r="J856" s="0" t="n">
        <v>37359</v>
      </c>
      <c r="K856" s="0" t="n">
        <v>55526</v>
      </c>
      <c r="L856" s="0" t="s">
        <v>2194</v>
      </c>
      <c r="N856" s="0" t="n">
        <v>12</v>
      </c>
      <c r="O856" s="60" t="n">
        <v>30</v>
      </c>
    </row>
    <row r="857" customFormat="false" ht="15" hidden="false" customHeight="false" outlineLevel="0" collapsed="false">
      <c r="A857" s="0" t="n">
        <v>3</v>
      </c>
      <c r="B857" s="59" t="n">
        <v>46214</v>
      </c>
      <c r="C857" s="0" t="n">
        <v>6</v>
      </c>
      <c r="D857" s="0" t="s">
        <v>2125</v>
      </c>
      <c r="E857" s="0" t="n">
        <v>42</v>
      </c>
      <c r="F857" s="0" t="s">
        <v>81</v>
      </c>
      <c r="I857" s="0" t="n">
        <v>4373</v>
      </c>
      <c r="J857" s="0" t="n">
        <v>37361</v>
      </c>
      <c r="K857" s="0" t="n">
        <v>2240817</v>
      </c>
      <c r="L857" s="0" t="s">
        <v>2124</v>
      </c>
      <c r="N857" s="0" t="n">
        <v>120</v>
      </c>
      <c r="O857" s="60" t="n">
        <v>240</v>
      </c>
    </row>
    <row r="858" customFormat="false" ht="15" hidden="false" customHeight="false" outlineLevel="0" collapsed="false">
      <c r="A858" s="0" t="n">
        <v>3</v>
      </c>
      <c r="B858" s="59" t="n">
        <v>46214</v>
      </c>
      <c r="C858" s="0" t="n">
        <v>6</v>
      </c>
      <c r="D858" s="0" t="s">
        <v>2125</v>
      </c>
      <c r="E858" s="0" t="n">
        <v>42</v>
      </c>
      <c r="F858" s="0" t="s">
        <v>81</v>
      </c>
      <c r="I858" s="0" t="n">
        <v>4374</v>
      </c>
      <c r="J858" s="0" t="n">
        <v>100140</v>
      </c>
      <c r="K858" s="0" t="n">
        <v>141</v>
      </c>
      <c r="L858" s="0" t="s">
        <v>2192</v>
      </c>
      <c r="N858" s="0" t="n">
        <v>0.518</v>
      </c>
      <c r="O858" s="60" t="n">
        <v>41.44</v>
      </c>
    </row>
    <row r="859" customFormat="false" ht="15" hidden="false" customHeight="false" outlineLevel="0" collapsed="false">
      <c r="A859" s="0" t="n">
        <v>3</v>
      </c>
      <c r="B859" s="59" t="n">
        <v>46214</v>
      </c>
      <c r="C859" s="0" t="n">
        <v>6</v>
      </c>
      <c r="D859" s="0" t="s">
        <v>2125</v>
      </c>
      <c r="E859" s="0" t="n">
        <v>42</v>
      </c>
      <c r="F859" s="0" t="s">
        <v>81</v>
      </c>
      <c r="I859" s="0" t="n">
        <v>4375</v>
      </c>
      <c r="J859" s="0" t="n">
        <v>100103</v>
      </c>
      <c r="K859" s="0" t="n">
        <v>104</v>
      </c>
      <c r="L859" s="0" t="s">
        <v>2193</v>
      </c>
      <c r="N859" s="0" t="n">
        <v>20</v>
      </c>
      <c r="O859" s="60" t="n">
        <v>120</v>
      </c>
    </row>
    <row r="860" customFormat="false" ht="15" hidden="false" customHeight="false" outlineLevel="0" collapsed="false">
      <c r="A860" s="0" t="n">
        <v>3</v>
      </c>
      <c r="B860" s="59" t="n">
        <v>46214</v>
      </c>
      <c r="C860" s="0" t="n">
        <v>11</v>
      </c>
      <c r="D860" s="0" t="s">
        <v>2126</v>
      </c>
      <c r="E860" s="0" t="n">
        <v>10095</v>
      </c>
      <c r="F860" s="0" t="s">
        <v>1117</v>
      </c>
      <c r="I860" s="0" t="n">
        <v>861</v>
      </c>
      <c r="J860" s="0" t="n">
        <v>81702</v>
      </c>
      <c r="K860" s="0" t="n">
        <v>7897688801066</v>
      </c>
      <c r="L860" s="0" t="s">
        <v>2642</v>
      </c>
      <c r="N860" s="0" t="n">
        <v>60</v>
      </c>
      <c r="O860" s="60" t="n">
        <v>100</v>
      </c>
    </row>
    <row r="861" customFormat="false" ht="15" hidden="false" customHeight="false" outlineLevel="0" collapsed="false">
      <c r="A861" s="0" t="n">
        <v>3</v>
      </c>
      <c r="B861" s="59" t="n">
        <v>46214</v>
      </c>
      <c r="C861" s="0" t="n">
        <v>11</v>
      </c>
      <c r="D861" s="0" t="s">
        <v>2126</v>
      </c>
      <c r="E861" s="0" t="n">
        <v>10095</v>
      </c>
      <c r="F861" s="0" t="s">
        <v>1117</v>
      </c>
      <c r="I861" s="0" t="n">
        <v>861</v>
      </c>
      <c r="J861" s="0" t="n">
        <v>81703</v>
      </c>
      <c r="K861" s="0" t="n">
        <v>7897688801042</v>
      </c>
      <c r="L861" s="0" t="s">
        <v>2643</v>
      </c>
      <c r="N861" s="0" t="n">
        <v>30</v>
      </c>
      <c r="O861" s="60" t="n">
        <v>55</v>
      </c>
    </row>
    <row r="862" customFormat="false" ht="15" hidden="false" customHeight="false" outlineLevel="0" collapsed="false">
      <c r="A862" s="0" t="n">
        <v>3</v>
      </c>
      <c r="B862" s="59" t="n">
        <v>46214</v>
      </c>
      <c r="C862" s="0" t="n">
        <v>11</v>
      </c>
      <c r="D862" s="0" t="s">
        <v>2126</v>
      </c>
      <c r="E862" s="0" t="n">
        <v>10095</v>
      </c>
      <c r="F862" s="0" t="s">
        <v>1117</v>
      </c>
      <c r="I862" s="0" t="n">
        <v>861</v>
      </c>
      <c r="J862" s="0" t="n">
        <v>81704</v>
      </c>
      <c r="K862" s="0" t="n">
        <v>7897688801004</v>
      </c>
      <c r="L862" s="0" t="s">
        <v>2644</v>
      </c>
      <c r="N862" s="0" t="n">
        <v>30</v>
      </c>
      <c r="O862" s="60" t="n">
        <v>55</v>
      </c>
    </row>
    <row r="863" customFormat="false" ht="15" hidden="false" customHeight="false" outlineLevel="0" collapsed="false">
      <c r="A863" s="0" t="n">
        <v>3</v>
      </c>
      <c r="B863" s="59" t="n">
        <v>46216</v>
      </c>
      <c r="C863" s="0" t="n">
        <v>1</v>
      </c>
      <c r="D863" s="0" t="s">
        <v>2118</v>
      </c>
      <c r="E863" s="0" t="n">
        <v>978</v>
      </c>
      <c r="F863" s="0" t="s">
        <v>184</v>
      </c>
      <c r="I863" s="0" t="n">
        <v>367</v>
      </c>
      <c r="J863" s="0" t="n">
        <v>61368</v>
      </c>
      <c r="K863" s="0" t="n">
        <v>2257907</v>
      </c>
      <c r="L863" s="0" t="s">
        <v>2645</v>
      </c>
      <c r="N863" s="0" t="n">
        <v>30</v>
      </c>
      <c r="O863" s="60" t="n">
        <v>210</v>
      </c>
    </row>
    <row r="864" customFormat="false" ht="15" hidden="false" customHeight="false" outlineLevel="0" collapsed="false">
      <c r="A864" s="0" t="n">
        <v>3</v>
      </c>
      <c r="B864" s="59" t="n">
        <v>46216</v>
      </c>
      <c r="C864" s="0" t="n">
        <v>1</v>
      </c>
      <c r="D864" s="0" t="s">
        <v>2118</v>
      </c>
      <c r="E864" s="0" t="n">
        <v>978</v>
      </c>
      <c r="F864" s="0" t="s">
        <v>184</v>
      </c>
      <c r="I864" s="0" t="n">
        <v>367</v>
      </c>
      <c r="J864" s="0" t="n">
        <v>61378</v>
      </c>
      <c r="K864" s="0" t="n">
        <v>2257914</v>
      </c>
      <c r="L864" s="0" t="s">
        <v>2646</v>
      </c>
      <c r="N864" s="0" t="n">
        <v>25</v>
      </c>
      <c r="O864" s="60" t="n">
        <v>212.5</v>
      </c>
    </row>
    <row r="865" customFormat="false" ht="15" hidden="false" customHeight="false" outlineLevel="0" collapsed="false">
      <c r="A865" s="0" t="n">
        <v>3</v>
      </c>
      <c r="B865" s="59" t="n">
        <v>46216</v>
      </c>
      <c r="C865" s="0" t="n">
        <v>1</v>
      </c>
      <c r="D865" s="0" t="s">
        <v>2118</v>
      </c>
      <c r="E865" s="0" t="n">
        <v>978</v>
      </c>
      <c r="F865" s="0" t="s">
        <v>184</v>
      </c>
      <c r="I865" s="0" t="n">
        <v>367</v>
      </c>
      <c r="J865" s="0" t="n">
        <v>61379</v>
      </c>
      <c r="K865" s="0" t="n">
        <v>2257921</v>
      </c>
      <c r="L865" s="0" t="s">
        <v>2647</v>
      </c>
      <c r="N865" s="0" t="n">
        <v>4</v>
      </c>
      <c r="O865" s="60" t="n">
        <v>36.8</v>
      </c>
    </row>
    <row r="866" customFormat="false" ht="15" hidden="false" customHeight="false" outlineLevel="0" collapsed="false">
      <c r="A866" s="0" t="n">
        <v>3</v>
      </c>
      <c r="B866" s="59" t="n">
        <v>46216</v>
      </c>
      <c r="C866" s="0" t="n">
        <v>1</v>
      </c>
      <c r="D866" s="0" t="s">
        <v>2118</v>
      </c>
      <c r="E866" s="0" t="n">
        <v>978</v>
      </c>
      <c r="F866" s="0" t="s">
        <v>184</v>
      </c>
      <c r="I866" s="0" t="n">
        <v>367</v>
      </c>
      <c r="J866" s="0" t="n">
        <v>62178</v>
      </c>
      <c r="K866" s="0" t="n">
        <v>144599</v>
      </c>
      <c r="L866" s="0" t="s">
        <v>2648</v>
      </c>
      <c r="N866" s="0" t="n">
        <v>5</v>
      </c>
      <c r="O866" s="60" t="n">
        <v>65</v>
      </c>
    </row>
    <row r="867" customFormat="false" ht="15" hidden="false" customHeight="false" outlineLevel="0" collapsed="false">
      <c r="A867" s="0" t="n">
        <v>3</v>
      </c>
      <c r="B867" s="59" t="n">
        <v>46216</v>
      </c>
      <c r="C867" s="0" t="n">
        <v>1</v>
      </c>
      <c r="D867" s="0" t="s">
        <v>2118</v>
      </c>
      <c r="E867" s="0" t="n">
        <v>642</v>
      </c>
      <c r="F867" s="0" t="s">
        <v>136</v>
      </c>
      <c r="I867" s="0" t="n">
        <v>528</v>
      </c>
      <c r="J867" s="0" t="n">
        <v>71766</v>
      </c>
      <c r="K867" s="0" t="n">
        <v>779180</v>
      </c>
      <c r="L867" s="0" t="s">
        <v>2340</v>
      </c>
      <c r="N867" s="0" t="n">
        <v>25</v>
      </c>
      <c r="O867" s="60" t="n">
        <v>300</v>
      </c>
    </row>
    <row r="868" customFormat="false" ht="15" hidden="false" customHeight="false" outlineLevel="0" collapsed="false">
      <c r="A868" s="0" t="n">
        <v>3</v>
      </c>
      <c r="B868" s="59" t="n">
        <v>46216</v>
      </c>
      <c r="C868" s="0" t="n">
        <v>6</v>
      </c>
      <c r="D868" s="0" t="s">
        <v>2125</v>
      </c>
      <c r="E868" s="0" t="n">
        <v>42</v>
      </c>
      <c r="F868" s="0" t="s">
        <v>81</v>
      </c>
      <c r="I868" s="0" t="n">
        <v>4376</v>
      </c>
      <c r="J868" s="0" t="n">
        <v>109791</v>
      </c>
      <c r="K868" s="0" t="n">
        <v>9667</v>
      </c>
      <c r="L868" s="0" t="s">
        <v>2123</v>
      </c>
      <c r="N868" s="0" t="n">
        <v>8</v>
      </c>
      <c r="O868" s="60" t="n">
        <v>20</v>
      </c>
    </row>
    <row r="869" customFormat="false" ht="15" hidden="false" customHeight="false" outlineLevel="0" collapsed="false">
      <c r="A869" s="0" t="n">
        <v>3</v>
      </c>
      <c r="B869" s="59" t="n">
        <v>46216</v>
      </c>
      <c r="C869" s="0" t="n">
        <v>6</v>
      </c>
      <c r="D869" s="0" t="s">
        <v>2125</v>
      </c>
      <c r="E869" s="0" t="n">
        <v>42</v>
      </c>
      <c r="F869" s="0" t="s">
        <v>81</v>
      </c>
      <c r="I869" s="0" t="n">
        <v>4377</v>
      </c>
      <c r="J869" s="0" t="n">
        <v>100103</v>
      </c>
      <c r="K869" s="0" t="n">
        <v>104</v>
      </c>
      <c r="L869" s="0" t="s">
        <v>2193</v>
      </c>
      <c r="N869" s="0" t="n">
        <v>40</v>
      </c>
      <c r="O869" s="60" t="n">
        <v>240</v>
      </c>
    </row>
    <row r="870" customFormat="false" ht="15" hidden="false" customHeight="false" outlineLevel="0" collapsed="false">
      <c r="A870" s="0" t="n">
        <v>3</v>
      </c>
      <c r="B870" s="59" t="n">
        <v>46216</v>
      </c>
      <c r="C870" s="0" t="n">
        <v>11</v>
      </c>
      <c r="D870" s="0" t="s">
        <v>2126</v>
      </c>
      <c r="E870" s="0" t="n">
        <v>10061</v>
      </c>
      <c r="F870" s="0" t="s">
        <v>467</v>
      </c>
      <c r="I870" s="0" t="n">
        <v>1040</v>
      </c>
      <c r="J870" s="0" t="n">
        <v>18822</v>
      </c>
      <c r="K870" s="0" t="n">
        <v>7898332870025</v>
      </c>
      <c r="L870" s="0" t="s">
        <v>2649</v>
      </c>
      <c r="N870" s="0" t="n">
        <v>20</v>
      </c>
      <c r="O870" s="60" t="n">
        <v>60</v>
      </c>
    </row>
    <row r="871" customFormat="false" ht="15" hidden="false" customHeight="false" outlineLevel="0" collapsed="false">
      <c r="A871" s="0" t="n">
        <v>3</v>
      </c>
      <c r="B871" s="59" t="n">
        <v>46216</v>
      </c>
      <c r="C871" s="0" t="n">
        <v>11</v>
      </c>
      <c r="D871" s="0" t="s">
        <v>2126</v>
      </c>
      <c r="E871" s="0" t="n">
        <v>10061</v>
      </c>
      <c r="F871" s="0" t="s">
        <v>467</v>
      </c>
      <c r="I871" s="0" t="n">
        <v>1040</v>
      </c>
      <c r="J871" s="0" t="n">
        <v>18846</v>
      </c>
      <c r="K871" s="0" t="n">
        <v>7898332870056</v>
      </c>
      <c r="L871" s="0" t="s">
        <v>2650</v>
      </c>
      <c r="N871" s="0" t="n">
        <v>15</v>
      </c>
      <c r="O871" s="60" t="n">
        <v>52.5</v>
      </c>
    </row>
    <row r="872" customFormat="false" ht="15" hidden="false" customHeight="false" outlineLevel="0" collapsed="false">
      <c r="A872" s="0" t="n">
        <v>3</v>
      </c>
      <c r="B872" s="59" t="n">
        <v>46216</v>
      </c>
      <c r="C872" s="0" t="n">
        <v>11</v>
      </c>
      <c r="D872" s="0" t="s">
        <v>2126</v>
      </c>
      <c r="E872" s="0" t="n">
        <v>10061</v>
      </c>
      <c r="F872" s="0" t="s">
        <v>467</v>
      </c>
      <c r="I872" s="0" t="n">
        <v>1040</v>
      </c>
      <c r="J872" s="0" t="n">
        <v>23196</v>
      </c>
      <c r="K872" s="0" t="n">
        <v>7898332870186</v>
      </c>
      <c r="L872" s="0" t="s">
        <v>2651</v>
      </c>
      <c r="N872" s="0" t="n">
        <v>24</v>
      </c>
      <c r="O872" s="60" t="n">
        <v>180</v>
      </c>
    </row>
    <row r="873" customFormat="false" ht="15" hidden="false" customHeight="false" outlineLevel="0" collapsed="false">
      <c r="A873" s="0" t="n">
        <v>3</v>
      </c>
      <c r="B873" s="59" t="n">
        <v>46216</v>
      </c>
      <c r="C873" s="0" t="n">
        <v>11</v>
      </c>
      <c r="D873" s="0" t="s">
        <v>2126</v>
      </c>
      <c r="E873" s="0" t="n">
        <v>10061</v>
      </c>
      <c r="F873" s="0" t="s">
        <v>467</v>
      </c>
      <c r="I873" s="0" t="n">
        <v>1040</v>
      </c>
      <c r="J873" s="0" t="n">
        <v>29438</v>
      </c>
      <c r="K873" s="0" t="n">
        <v>7898332870261</v>
      </c>
      <c r="L873" s="0" t="s">
        <v>2652</v>
      </c>
      <c r="N873" s="0" t="n">
        <v>20</v>
      </c>
      <c r="O873" s="60" t="n">
        <v>40</v>
      </c>
    </row>
    <row r="874" customFormat="false" ht="15" hidden="false" customHeight="false" outlineLevel="0" collapsed="false">
      <c r="A874" s="0" t="n">
        <v>3</v>
      </c>
      <c r="B874" s="59" t="n">
        <v>46216</v>
      </c>
      <c r="C874" s="0" t="n">
        <v>11</v>
      </c>
      <c r="D874" s="0" t="s">
        <v>2126</v>
      </c>
      <c r="E874" s="0" t="n">
        <v>10061</v>
      </c>
      <c r="F874" s="0" t="s">
        <v>467</v>
      </c>
      <c r="I874" s="0" t="n">
        <v>1040</v>
      </c>
      <c r="J874" s="0" t="n">
        <v>40257</v>
      </c>
      <c r="K874" s="0" t="n">
        <v>7898332870438</v>
      </c>
      <c r="L874" s="0" t="s">
        <v>2653</v>
      </c>
      <c r="N874" s="0" t="n">
        <v>400</v>
      </c>
      <c r="O874" s="60" t="n">
        <v>240</v>
      </c>
    </row>
    <row r="875" customFormat="false" ht="15" hidden="false" customHeight="false" outlineLevel="0" collapsed="false">
      <c r="A875" s="0" t="n">
        <v>3</v>
      </c>
      <c r="B875" s="59" t="n">
        <v>46216</v>
      </c>
      <c r="C875" s="0" t="n">
        <v>11</v>
      </c>
      <c r="D875" s="0" t="s">
        <v>2126</v>
      </c>
      <c r="E875" s="0" t="n">
        <v>10037</v>
      </c>
      <c r="F875" s="0" t="s">
        <v>361</v>
      </c>
      <c r="I875" s="0" t="n">
        <v>2751</v>
      </c>
      <c r="J875" s="0" t="n">
        <v>27820</v>
      </c>
      <c r="K875" s="0" t="n">
        <v>7899599608536</v>
      </c>
      <c r="L875" s="0" t="s">
        <v>2654</v>
      </c>
      <c r="N875" s="0" t="n">
        <v>4</v>
      </c>
      <c r="O875" s="60" t="n">
        <v>30.96</v>
      </c>
    </row>
    <row r="876" customFormat="false" ht="15" hidden="false" customHeight="false" outlineLevel="0" collapsed="false">
      <c r="A876" s="0" t="n">
        <v>3</v>
      </c>
      <c r="B876" s="59" t="n">
        <v>46216</v>
      </c>
      <c r="C876" s="0" t="n">
        <v>11</v>
      </c>
      <c r="D876" s="0" t="s">
        <v>2126</v>
      </c>
      <c r="E876" s="0" t="n">
        <v>10037</v>
      </c>
      <c r="F876" s="0" t="s">
        <v>361</v>
      </c>
      <c r="I876" s="0" t="n">
        <v>2751</v>
      </c>
      <c r="J876" s="0" t="n">
        <v>28060</v>
      </c>
      <c r="K876" s="0" t="n">
        <v>7899599608628</v>
      </c>
      <c r="L876" s="0" t="s">
        <v>2655</v>
      </c>
      <c r="N876" s="0" t="n">
        <v>2</v>
      </c>
      <c r="O876" s="60" t="n">
        <v>15.48</v>
      </c>
    </row>
    <row r="877" customFormat="false" ht="15" hidden="false" customHeight="false" outlineLevel="0" collapsed="false">
      <c r="A877" s="0" t="n">
        <v>3</v>
      </c>
      <c r="B877" s="59" t="n">
        <v>46216</v>
      </c>
      <c r="C877" s="0" t="n">
        <v>11</v>
      </c>
      <c r="D877" s="0" t="s">
        <v>2126</v>
      </c>
      <c r="E877" s="0" t="n">
        <v>10037</v>
      </c>
      <c r="F877" s="0" t="s">
        <v>361</v>
      </c>
      <c r="I877" s="0" t="n">
        <v>2751</v>
      </c>
      <c r="J877" s="0" t="n">
        <v>28061</v>
      </c>
      <c r="K877" s="0" t="n">
        <v>7899599608529</v>
      </c>
      <c r="L877" s="0" t="s">
        <v>2656</v>
      </c>
      <c r="N877" s="0" t="n">
        <v>4</v>
      </c>
      <c r="O877" s="60" t="n">
        <v>26.4</v>
      </c>
    </row>
    <row r="878" customFormat="false" ht="15" hidden="false" customHeight="false" outlineLevel="0" collapsed="false">
      <c r="A878" s="0" t="n">
        <v>3</v>
      </c>
      <c r="B878" s="59" t="n">
        <v>46216</v>
      </c>
      <c r="C878" s="0" t="n">
        <v>11</v>
      </c>
      <c r="D878" s="0" t="s">
        <v>2126</v>
      </c>
      <c r="E878" s="0" t="n">
        <v>10037</v>
      </c>
      <c r="F878" s="0" t="s">
        <v>361</v>
      </c>
      <c r="I878" s="0" t="n">
        <v>2751</v>
      </c>
      <c r="J878" s="0" t="n">
        <v>28395</v>
      </c>
      <c r="K878" s="0" t="n">
        <v>7898104092426</v>
      </c>
      <c r="L878" s="0" t="s">
        <v>2657</v>
      </c>
      <c r="N878" s="0" t="n">
        <v>3</v>
      </c>
      <c r="O878" s="60" t="n">
        <v>41.7</v>
      </c>
    </row>
    <row r="879" customFormat="false" ht="15" hidden="false" customHeight="false" outlineLevel="0" collapsed="false">
      <c r="A879" s="0" t="n">
        <v>3</v>
      </c>
      <c r="B879" s="59" t="n">
        <v>46216</v>
      </c>
      <c r="C879" s="0" t="n">
        <v>11</v>
      </c>
      <c r="D879" s="0" t="s">
        <v>2126</v>
      </c>
      <c r="E879" s="0" t="n">
        <v>10037</v>
      </c>
      <c r="F879" s="0" t="s">
        <v>361</v>
      </c>
      <c r="I879" s="0" t="n">
        <v>2751</v>
      </c>
      <c r="J879" s="0" t="n">
        <v>28397</v>
      </c>
      <c r="K879" s="0" t="n">
        <v>7898104092440</v>
      </c>
      <c r="L879" s="0" t="s">
        <v>2658</v>
      </c>
      <c r="N879" s="0" t="n">
        <v>3</v>
      </c>
      <c r="O879" s="60" t="n">
        <v>41.7</v>
      </c>
    </row>
    <row r="880" customFormat="false" ht="15" hidden="false" customHeight="false" outlineLevel="0" collapsed="false">
      <c r="A880" s="0" t="n">
        <v>3</v>
      </c>
      <c r="B880" s="59" t="n">
        <v>46216</v>
      </c>
      <c r="C880" s="0" t="n">
        <v>11</v>
      </c>
      <c r="D880" s="0" t="s">
        <v>2126</v>
      </c>
      <c r="E880" s="0" t="n">
        <v>10037</v>
      </c>
      <c r="F880" s="0" t="s">
        <v>361</v>
      </c>
      <c r="I880" s="0" t="n">
        <v>2751</v>
      </c>
      <c r="J880" s="0" t="n">
        <v>32790</v>
      </c>
      <c r="K880" s="0" t="n">
        <v>7899599609069</v>
      </c>
      <c r="L880" s="0" t="s">
        <v>2659</v>
      </c>
      <c r="N880" s="0" t="n">
        <v>3</v>
      </c>
      <c r="O880" s="60" t="n">
        <v>19.8</v>
      </c>
    </row>
    <row r="881" customFormat="false" ht="15" hidden="false" customHeight="false" outlineLevel="0" collapsed="false">
      <c r="A881" s="0" t="n">
        <v>3</v>
      </c>
      <c r="B881" s="59" t="n">
        <v>46216</v>
      </c>
      <c r="C881" s="0" t="n">
        <v>11</v>
      </c>
      <c r="D881" s="0" t="s">
        <v>2126</v>
      </c>
      <c r="E881" s="0" t="n">
        <v>10037</v>
      </c>
      <c r="F881" s="0" t="s">
        <v>361</v>
      </c>
      <c r="I881" s="0" t="n">
        <v>2751</v>
      </c>
      <c r="J881" s="0" t="n">
        <v>37414</v>
      </c>
      <c r="K881" s="0" t="n">
        <v>7898104091535</v>
      </c>
      <c r="L881" s="0" t="s">
        <v>2660</v>
      </c>
      <c r="N881" s="0" t="n">
        <v>3</v>
      </c>
      <c r="O881" s="60" t="n">
        <v>41.7</v>
      </c>
    </row>
    <row r="882" customFormat="false" ht="15" hidden="false" customHeight="false" outlineLevel="0" collapsed="false">
      <c r="A882" s="0" t="n">
        <v>3</v>
      </c>
      <c r="B882" s="59" t="n">
        <v>46216</v>
      </c>
      <c r="C882" s="0" t="n">
        <v>11</v>
      </c>
      <c r="D882" s="0" t="s">
        <v>2126</v>
      </c>
      <c r="E882" s="0" t="n">
        <v>10037</v>
      </c>
      <c r="F882" s="0" t="s">
        <v>361</v>
      </c>
      <c r="I882" s="0" t="n">
        <v>2751</v>
      </c>
      <c r="J882" s="0" t="n">
        <v>47370</v>
      </c>
      <c r="K882" s="0" t="n">
        <v>7898104098855</v>
      </c>
      <c r="L882" s="0" t="s">
        <v>2661</v>
      </c>
      <c r="N882" s="0" t="n">
        <v>3</v>
      </c>
      <c r="O882" s="60" t="n">
        <v>41.7</v>
      </c>
    </row>
    <row r="883" customFormat="false" ht="15" hidden="false" customHeight="false" outlineLevel="0" collapsed="false">
      <c r="A883" s="0" t="n">
        <v>3</v>
      </c>
      <c r="B883" s="59" t="n">
        <v>46216</v>
      </c>
      <c r="C883" s="0" t="n">
        <v>11</v>
      </c>
      <c r="D883" s="0" t="s">
        <v>2126</v>
      </c>
      <c r="E883" s="0" t="n">
        <v>10037</v>
      </c>
      <c r="F883" s="0" t="s">
        <v>361</v>
      </c>
      <c r="I883" s="0" t="n">
        <v>2751</v>
      </c>
      <c r="J883" s="0" t="n">
        <v>66364</v>
      </c>
      <c r="K883" s="0" t="n">
        <v>790840</v>
      </c>
      <c r="L883" s="0" t="s">
        <v>2662</v>
      </c>
      <c r="N883" s="0" t="n">
        <v>10</v>
      </c>
      <c r="O883" s="60" t="n">
        <v>949</v>
      </c>
    </row>
    <row r="884" customFormat="false" ht="15" hidden="false" customHeight="false" outlineLevel="0" collapsed="false">
      <c r="A884" s="0" t="n">
        <v>3</v>
      </c>
      <c r="B884" s="59" t="n">
        <v>46216</v>
      </c>
      <c r="C884" s="0" t="n">
        <v>11</v>
      </c>
      <c r="D884" s="0" t="s">
        <v>2126</v>
      </c>
      <c r="E884" s="0" t="n">
        <v>10037</v>
      </c>
      <c r="F884" s="0" t="s">
        <v>361</v>
      </c>
      <c r="I884" s="0" t="n">
        <v>2751</v>
      </c>
      <c r="J884" s="0" t="n">
        <v>73933</v>
      </c>
      <c r="K884" s="0" t="n">
        <v>7898479741233</v>
      </c>
      <c r="L884" s="0" t="s">
        <v>2663</v>
      </c>
      <c r="N884" s="0" t="n">
        <v>10</v>
      </c>
      <c r="O884" s="60" t="n">
        <v>1010</v>
      </c>
    </row>
    <row r="885" customFormat="false" ht="15" hidden="false" customHeight="false" outlineLevel="0" collapsed="false">
      <c r="A885" s="0" t="n">
        <v>3</v>
      </c>
      <c r="B885" s="59" t="n">
        <v>46216</v>
      </c>
      <c r="C885" s="0" t="n">
        <v>11</v>
      </c>
      <c r="D885" s="0" t="s">
        <v>2126</v>
      </c>
      <c r="E885" s="0" t="n">
        <v>10037</v>
      </c>
      <c r="F885" s="0" t="s">
        <v>361</v>
      </c>
      <c r="I885" s="0" t="n">
        <v>2751</v>
      </c>
      <c r="J885" s="0" t="n">
        <v>79556</v>
      </c>
      <c r="K885" s="0" t="n">
        <v>7898104091375</v>
      </c>
      <c r="L885" s="0" t="s">
        <v>2664</v>
      </c>
      <c r="N885" s="0" t="n">
        <v>3</v>
      </c>
      <c r="O885" s="60" t="n">
        <v>41.7</v>
      </c>
    </row>
    <row r="886" customFormat="false" ht="15" hidden="false" customHeight="false" outlineLevel="0" collapsed="false">
      <c r="A886" s="0" t="n">
        <v>3</v>
      </c>
      <c r="B886" s="59" t="n">
        <v>46216</v>
      </c>
      <c r="C886" s="0" t="n">
        <v>11</v>
      </c>
      <c r="D886" s="0" t="s">
        <v>2126</v>
      </c>
      <c r="E886" s="0" t="n">
        <v>1816</v>
      </c>
      <c r="F886" s="0" t="s">
        <v>556</v>
      </c>
      <c r="I886" s="0" t="n">
        <v>55315</v>
      </c>
      <c r="J886" s="0" t="n">
        <v>104907</v>
      </c>
      <c r="K886" s="0" t="n">
        <v>7898910758011</v>
      </c>
      <c r="L886" s="0" t="s">
        <v>2665</v>
      </c>
      <c r="N886" s="0" t="n">
        <v>300</v>
      </c>
      <c r="O886" s="60" t="n">
        <v>527.5</v>
      </c>
    </row>
    <row r="887" customFormat="false" ht="15" hidden="false" customHeight="false" outlineLevel="0" collapsed="false">
      <c r="A887" s="0" t="n">
        <v>3</v>
      </c>
      <c r="B887" s="59" t="n">
        <v>46216</v>
      </c>
      <c r="C887" s="0" t="n">
        <v>11</v>
      </c>
      <c r="D887" s="0" t="s">
        <v>2126</v>
      </c>
      <c r="E887" s="0" t="n">
        <v>1816</v>
      </c>
      <c r="F887" s="0" t="s">
        <v>556</v>
      </c>
      <c r="I887" s="0" t="n">
        <v>55315</v>
      </c>
      <c r="J887" s="0" t="n">
        <v>12673</v>
      </c>
      <c r="K887" s="0" t="n">
        <v>7898910758158</v>
      </c>
      <c r="L887" s="0" t="s">
        <v>2666</v>
      </c>
      <c r="N887" s="0" t="n">
        <v>12</v>
      </c>
      <c r="O887" s="60" t="n">
        <v>50</v>
      </c>
    </row>
    <row r="888" customFormat="false" ht="15" hidden="false" customHeight="false" outlineLevel="0" collapsed="false">
      <c r="A888" s="0" t="n">
        <v>3</v>
      </c>
      <c r="B888" s="59" t="n">
        <v>46216</v>
      </c>
      <c r="C888" s="0" t="n">
        <v>11</v>
      </c>
      <c r="D888" s="0" t="s">
        <v>2126</v>
      </c>
      <c r="E888" s="0" t="n">
        <v>1816</v>
      </c>
      <c r="F888" s="0" t="s">
        <v>556</v>
      </c>
      <c r="I888" s="0" t="n">
        <v>55315</v>
      </c>
      <c r="J888" s="0" t="n">
        <v>12855</v>
      </c>
      <c r="K888" s="0" t="n">
        <v>7898910758127</v>
      </c>
      <c r="L888" s="0" t="s">
        <v>2667</v>
      </c>
      <c r="N888" s="0" t="n">
        <v>60</v>
      </c>
      <c r="O888" s="60" t="n">
        <v>258</v>
      </c>
    </row>
    <row r="889" customFormat="false" ht="15" hidden="false" customHeight="false" outlineLevel="0" collapsed="false">
      <c r="A889" s="0" t="n">
        <v>3</v>
      </c>
      <c r="B889" s="59" t="n">
        <v>46216</v>
      </c>
      <c r="C889" s="0" t="n">
        <v>11</v>
      </c>
      <c r="D889" s="0" t="s">
        <v>2126</v>
      </c>
      <c r="E889" s="0" t="n">
        <v>1816</v>
      </c>
      <c r="F889" s="0" t="s">
        <v>556</v>
      </c>
      <c r="I889" s="0" t="n">
        <v>55315</v>
      </c>
      <c r="J889" s="0" t="n">
        <v>12961</v>
      </c>
      <c r="K889" s="0" t="n">
        <v>7898910758035</v>
      </c>
      <c r="L889" s="0" t="s">
        <v>2668</v>
      </c>
      <c r="N889" s="0" t="n">
        <v>36</v>
      </c>
      <c r="O889" s="60" t="n">
        <v>154.8</v>
      </c>
    </row>
    <row r="890" customFormat="false" ht="15" hidden="false" customHeight="false" outlineLevel="0" collapsed="false">
      <c r="A890" s="0" t="n">
        <v>3</v>
      </c>
      <c r="B890" s="59" t="n">
        <v>46216</v>
      </c>
      <c r="C890" s="0" t="n">
        <v>11</v>
      </c>
      <c r="D890" s="0" t="s">
        <v>2126</v>
      </c>
      <c r="E890" s="0" t="n">
        <v>1816</v>
      </c>
      <c r="F890" s="0" t="s">
        <v>556</v>
      </c>
      <c r="I890" s="0" t="n">
        <v>55315</v>
      </c>
      <c r="J890" s="0" t="n">
        <v>13912</v>
      </c>
      <c r="K890" s="0" t="n">
        <v>7898910758189</v>
      </c>
      <c r="L890" s="0" t="s">
        <v>2669</v>
      </c>
      <c r="N890" s="0" t="n">
        <v>48</v>
      </c>
      <c r="O890" s="60" t="n">
        <v>200</v>
      </c>
    </row>
    <row r="891" customFormat="false" ht="15" hidden="false" customHeight="false" outlineLevel="0" collapsed="false">
      <c r="A891" s="0" t="n">
        <v>3</v>
      </c>
      <c r="B891" s="59" t="n">
        <v>46216</v>
      </c>
      <c r="C891" s="0" t="n">
        <v>11</v>
      </c>
      <c r="D891" s="0" t="s">
        <v>2126</v>
      </c>
      <c r="E891" s="0" t="n">
        <v>1816</v>
      </c>
      <c r="F891" s="0" t="s">
        <v>556</v>
      </c>
      <c r="I891" s="0" t="n">
        <v>55315</v>
      </c>
      <c r="J891" s="0" t="n">
        <v>14177</v>
      </c>
      <c r="K891" s="0" t="n">
        <v>7898910758165</v>
      </c>
      <c r="L891" s="0" t="s">
        <v>2666</v>
      </c>
      <c r="N891" s="0" t="n">
        <v>36</v>
      </c>
      <c r="O891" s="60" t="n">
        <v>150</v>
      </c>
    </row>
    <row r="892" customFormat="false" ht="15" hidden="false" customHeight="false" outlineLevel="0" collapsed="false">
      <c r="A892" s="0" t="n">
        <v>3</v>
      </c>
      <c r="B892" s="59" t="n">
        <v>46216</v>
      </c>
      <c r="C892" s="0" t="n">
        <v>11</v>
      </c>
      <c r="D892" s="0" t="s">
        <v>2126</v>
      </c>
      <c r="E892" s="0" t="n">
        <v>1816</v>
      </c>
      <c r="F892" s="0" t="s">
        <v>556</v>
      </c>
      <c r="I892" s="0" t="n">
        <v>55315</v>
      </c>
      <c r="J892" s="0" t="n">
        <v>17757</v>
      </c>
      <c r="K892" s="0" t="n">
        <v>7898910758349</v>
      </c>
      <c r="L892" s="0" t="s">
        <v>2670</v>
      </c>
      <c r="N892" s="0" t="n">
        <v>36</v>
      </c>
      <c r="O892" s="60" t="n">
        <v>154.8</v>
      </c>
    </row>
    <row r="893" customFormat="false" ht="15" hidden="false" customHeight="false" outlineLevel="0" collapsed="false">
      <c r="A893" s="0" t="n">
        <v>3</v>
      </c>
      <c r="B893" s="59" t="n">
        <v>46216</v>
      </c>
      <c r="C893" s="0" t="n">
        <v>11</v>
      </c>
      <c r="D893" s="0" t="s">
        <v>2126</v>
      </c>
      <c r="E893" s="0" t="n">
        <v>1816</v>
      </c>
      <c r="F893" s="0" t="s">
        <v>556</v>
      </c>
      <c r="I893" s="0" t="n">
        <v>55315</v>
      </c>
      <c r="J893" s="0" t="n">
        <v>18365</v>
      </c>
      <c r="K893" s="0" t="n">
        <v>7898910758356</v>
      </c>
      <c r="L893" s="0" t="s">
        <v>2671</v>
      </c>
      <c r="N893" s="0" t="n">
        <v>12</v>
      </c>
      <c r="O893" s="60" t="n">
        <v>50</v>
      </c>
    </row>
    <row r="894" customFormat="false" ht="15" hidden="false" customHeight="false" outlineLevel="0" collapsed="false">
      <c r="A894" s="0" t="n">
        <v>3</v>
      </c>
      <c r="B894" s="59" t="n">
        <v>46216</v>
      </c>
      <c r="C894" s="0" t="n">
        <v>11</v>
      </c>
      <c r="D894" s="0" t="s">
        <v>2126</v>
      </c>
      <c r="E894" s="0" t="n">
        <v>1816</v>
      </c>
      <c r="F894" s="0" t="s">
        <v>556</v>
      </c>
      <c r="I894" s="0" t="n">
        <v>55315</v>
      </c>
      <c r="J894" s="0" t="n">
        <v>22930</v>
      </c>
      <c r="K894" s="0" t="n">
        <v>7898910758516</v>
      </c>
      <c r="L894" s="0" t="s">
        <v>2672</v>
      </c>
      <c r="N894" s="0" t="n">
        <v>36</v>
      </c>
      <c r="O894" s="60" t="n">
        <v>154.8</v>
      </c>
    </row>
    <row r="895" customFormat="false" ht="15" hidden="false" customHeight="false" outlineLevel="0" collapsed="false">
      <c r="A895" s="0" t="n">
        <v>3</v>
      </c>
      <c r="B895" s="59" t="n">
        <v>46216</v>
      </c>
      <c r="C895" s="0" t="n">
        <v>11</v>
      </c>
      <c r="D895" s="0" t="s">
        <v>2126</v>
      </c>
      <c r="E895" s="0" t="n">
        <v>1816</v>
      </c>
      <c r="F895" s="0" t="s">
        <v>556</v>
      </c>
      <c r="I895" s="0" t="n">
        <v>55315</v>
      </c>
      <c r="J895" s="0" t="n">
        <v>27241</v>
      </c>
      <c r="K895" s="0" t="n">
        <v>7898910758639</v>
      </c>
      <c r="L895" s="0" t="s">
        <v>2673</v>
      </c>
      <c r="N895" s="0" t="n">
        <v>210</v>
      </c>
      <c r="O895" s="60" t="n">
        <v>1954.75</v>
      </c>
    </row>
    <row r="896" customFormat="false" ht="15" hidden="false" customHeight="false" outlineLevel="0" collapsed="false">
      <c r="A896" s="0" t="n">
        <v>3</v>
      </c>
      <c r="B896" s="59" t="n">
        <v>46216</v>
      </c>
      <c r="C896" s="0" t="n">
        <v>11</v>
      </c>
      <c r="D896" s="0" t="s">
        <v>2126</v>
      </c>
      <c r="E896" s="0" t="n">
        <v>1816</v>
      </c>
      <c r="F896" s="0" t="s">
        <v>556</v>
      </c>
      <c r="I896" s="0" t="n">
        <v>55315</v>
      </c>
      <c r="J896" s="0" t="n">
        <v>27415</v>
      </c>
      <c r="K896" s="0" t="n">
        <v>7898910758684</v>
      </c>
      <c r="L896" s="0" t="s">
        <v>2668</v>
      </c>
      <c r="N896" s="0" t="n">
        <v>36</v>
      </c>
      <c r="O896" s="60" t="n">
        <v>154.8</v>
      </c>
    </row>
    <row r="897" customFormat="false" ht="15" hidden="false" customHeight="false" outlineLevel="0" collapsed="false">
      <c r="A897" s="0" t="n">
        <v>3</v>
      </c>
      <c r="B897" s="59" t="n">
        <v>46216</v>
      </c>
      <c r="C897" s="0" t="n">
        <v>11</v>
      </c>
      <c r="D897" s="0" t="s">
        <v>2126</v>
      </c>
      <c r="E897" s="0" t="n">
        <v>1816</v>
      </c>
      <c r="F897" s="0" t="s">
        <v>556</v>
      </c>
      <c r="I897" s="0" t="n">
        <v>55315</v>
      </c>
      <c r="J897" s="0" t="n">
        <v>32799</v>
      </c>
      <c r="K897" s="0" t="n">
        <v>7898910758578</v>
      </c>
      <c r="L897" s="0" t="s">
        <v>2674</v>
      </c>
      <c r="N897" s="0" t="n">
        <v>36</v>
      </c>
      <c r="O897" s="60" t="n">
        <v>189.6</v>
      </c>
    </row>
    <row r="898" customFormat="false" ht="15" hidden="false" customHeight="false" outlineLevel="0" collapsed="false">
      <c r="A898" s="0" t="n">
        <v>3</v>
      </c>
      <c r="B898" s="59" t="n">
        <v>46216</v>
      </c>
      <c r="C898" s="0" t="n">
        <v>11</v>
      </c>
      <c r="D898" s="0" t="s">
        <v>2126</v>
      </c>
      <c r="E898" s="0" t="n">
        <v>1816</v>
      </c>
      <c r="F898" s="0" t="s">
        <v>556</v>
      </c>
      <c r="I898" s="0" t="n">
        <v>55315</v>
      </c>
      <c r="J898" s="0" t="n">
        <v>32800</v>
      </c>
      <c r="K898" s="0" t="n">
        <v>7898910758592</v>
      </c>
      <c r="L898" s="0" t="s">
        <v>2674</v>
      </c>
      <c r="N898" s="0" t="n">
        <v>24</v>
      </c>
      <c r="O898" s="60" t="n">
        <v>126.4</v>
      </c>
    </row>
    <row r="899" customFormat="false" ht="15" hidden="false" customHeight="false" outlineLevel="0" collapsed="false">
      <c r="A899" s="0" t="n">
        <v>3</v>
      </c>
      <c r="B899" s="59" t="n">
        <v>46216</v>
      </c>
      <c r="C899" s="0" t="n">
        <v>11</v>
      </c>
      <c r="D899" s="0" t="s">
        <v>2126</v>
      </c>
      <c r="E899" s="0" t="n">
        <v>1816</v>
      </c>
      <c r="F899" s="0" t="s">
        <v>556</v>
      </c>
      <c r="I899" s="0" t="n">
        <v>55315</v>
      </c>
      <c r="J899" s="0" t="n">
        <v>32801</v>
      </c>
      <c r="K899" s="0" t="n">
        <v>7898910758585</v>
      </c>
      <c r="L899" s="0" t="s">
        <v>2674</v>
      </c>
      <c r="N899" s="0" t="n">
        <v>12</v>
      </c>
      <c r="O899" s="60" t="n">
        <v>63.2</v>
      </c>
    </row>
    <row r="900" customFormat="false" ht="15" hidden="false" customHeight="false" outlineLevel="0" collapsed="false">
      <c r="A900" s="0" t="n">
        <v>3</v>
      </c>
      <c r="B900" s="59" t="n">
        <v>46216</v>
      </c>
      <c r="C900" s="0" t="n">
        <v>11</v>
      </c>
      <c r="D900" s="0" t="s">
        <v>2126</v>
      </c>
      <c r="E900" s="0" t="n">
        <v>1816</v>
      </c>
      <c r="F900" s="0" t="s">
        <v>556</v>
      </c>
      <c r="I900" s="0" t="n">
        <v>55315</v>
      </c>
      <c r="J900" s="0" t="n">
        <v>74961</v>
      </c>
      <c r="K900" s="0" t="n">
        <v>7898973135101</v>
      </c>
      <c r="L900" s="0" t="s">
        <v>2675</v>
      </c>
      <c r="N900" s="0" t="n">
        <v>36</v>
      </c>
      <c r="O900" s="60" t="n">
        <v>397.2</v>
      </c>
    </row>
    <row r="901" customFormat="false" ht="15" hidden="false" customHeight="false" outlineLevel="0" collapsed="false">
      <c r="A901" s="0" t="n">
        <v>3</v>
      </c>
      <c r="B901" s="59" t="n">
        <v>46216</v>
      </c>
      <c r="C901" s="0" t="n">
        <v>11</v>
      </c>
      <c r="D901" s="0" t="s">
        <v>2126</v>
      </c>
      <c r="E901" s="0" t="n">
        <v>1723</v>
      </c>
      <c r="F901" s="0" t="s">
        <v>77</v>
      </c>
      <c r="I901" s="0" t="n">
        <v>172918</v>
      </c>
      <c r="J901" s="0" t="n">
        <v>29080</v>
      </c>
      <c r="K901" s="0" t="n">
        <v>55516</v>
      </c>
      <c r="L901" s="0" t="s">
        <v>2137</v>
      </c>
      <c r="N901" s="0" t="n">
        <v>111</v>
      </c>
      <c r="O901" s="60" t="n">
        <v>2442</v>
      </c>
    </row>
    <row r="902" customFormat="false" ht="15" hidden="false" customHeight="false" outlineLevel="0" collapsed="false">
      <c r="A902" s="0" t="n">
        <v>3</v>
      </c>
      <c r="B902" s="59" t="n">
        <v>46216</v>
      </c>
      <c r="C902" s="0" t="n">
        <v>11</v>
      </c>
      <c r="D902" s="0" t="s">
        <v>2126</v>
      </c>
      <c r="E902" s="0" t="n">
        <v>1723</v>
      </c>
      <c r="F902" s="0" t="s">
        <v>77</v>
      </c>
      <c r="I902" s="0" t="n">
        <v>173091</v>
      </c>
      <c r="J902" s="0" t="n">
        <v>29079</v>
      </c>
      <c r="K902" s="0" t="n">
        <v>55515</v>
      </c>
      <c r="L902" s="0" t="s">
        <v>2213</v>
      </c>
      <c r="N902" s="0" t="n">
        <v>64.15</v>
      </c>
      <c r="O902" s="60" t="n">
        <v>2052.8</v>
      </c>
    </row>
    <row r="903" customFormat="false" ht="15" hidden="false" customHeight="false" outlineLevel="0" collapsed="false">
      <c r="A903" s="0" t="n">
        <v>3</v>
      </c>
      <c r="B903" s="59" t="n">
        <v>46216</v>
      </c>
      <c r="C903" s="0" t="n">
        <v>11</v>
      </c>
      <c r="D903" s="0" t="s">
        <v>2126</v>
      </c>
      <c r="E903" s="0" t="n">
        <v>1705</v>
      </c>
      <c r="F903" s="0" t="s">
        <v>123</v>
      </c>
      <c r="I903" s="0" t="n">
        <v>1197367</v>
      </c>
      <c r="J903" s="0" t="n">
        <v>26641</v>
      </c>
      <c r="K903" s="0" t="n">
        <v>7896383730152</v>
      </c>
      <c r="L903" s="0" t="s">
        <v>2676</v>
      </c>
      <c r="N903" s="0" t="n">
        <v>3</v>
      </c>
      <c r="O903" s="60" t="n">
        <v>74.75</v>
      </c>
    </row>
    <row r="904" customFormat="false" ht="15" hidden="false" customHeight="false" outlineLevel="0" collapsed="false">
      <c r="A904" s="0" t="n">
        <v>3</v>
      </c>
      <c r="B904" s="59" t="n">
        <v>46216</v>
      </c>
      <c r="C904" s="0" t="n">
        <v>11</v>
      </c>
      <c r="D904" s="0" t="s">
        <v>2126</v>
      </c>
      <c r="E904" s="0" t="n">
        <v>1705</v>
      </c>
      <c r="F904" s="0" t="s">
        <v>123</v>
      </c>
      <c r="I904" s="0" t="n">
        <v>1197367</v>
      </c>
      <c r="J904" s="0" t="n">
        <v>66978</v>
      </c>
      <c r="K904" s="0" t="n">
        <v>7896010006315</v>
      </c>
      <c r="L904" s="0" t="s">
        <v>2677</v>
      </c>
      <c r="N904" s="0" t="n">
        <v>3</v>
      </c>
      <c r="O904" s="60" t="n">
        <v>171.91</v>
      </c>
    </row>
    <row r="905" customFormat="false" ht="15" hidden="false" customHeight="false" outlineLevel="0" collapsed="false">
      <c r="A905" s="0" t="n">
        <v>3</v>
      </c>
      <c r="B905" s="59" t="n">
        <v>46216</v>
      </c>
      <c r="C905" s="0" t="n">
        <v>11</v>
      </c>
      <c r="D905" s="0" t="s">
        <v>2126</v>
      </c>
      <c r="E905" s="0" t="n">
        <v>1705</v>
      </c>
      <c r="F905" s="0" t="s">
        <v>123</v>
      </c>
      <c r="I905" s="0" t="n">
        <v>1929985</v>
      </c>
      <c r="J905" s="0" t="n">
        <v>103145</v>
      </c>
      <c r="K905" s="0" t="n">
        <v>7894900051513</v>
      </c>
      <c r="L905" s="0" t="s">
        <v>2582</v>
      </c>
      <c r="N905" s="0" t="n">
        <v>18</v>
      </c>
      <c r="O905" s="60" t="n">
        <v>133.74</v>
      </c>
    </row>
    <row r="906" customFormat="false" ht="15" hidden="false" customHeight="false" outlineLevel="0" collapsed="false">
      <c r="A906" s="0" t="n">
        <v>3</v>
      </c>
      <c r="B906" s="59" t="n">
        <v>46216</v>
      </c>
      <c r="C906" s="0" t="n">
        <v>11</v>
      </c>
      <c r="D906" s="0" t="s">
        <v>2126</v>
      </c>
      <c r="E906" s="0" t="n">
        <v>1705</v>
      </c>
      <c r="F906" s="0" t="s">
        <v>123</v>
      </c>
      <c r="I906" s="0" t="n">
        <v>1929985</v>
      </c>
      <c r="J906" s="0" t="n">
        <v>103146</v>
      </c>
      <c r="K906" s="0" t="n">
        <v>7894900031515</v>
      </c>
      <c r="L906" s="0" t="s">
        <v>2583</v>
      </c>
      <c r="N906" s="0" t="n">
        <v>24</v>
      </c>
      <c r="O906" s="60" t="n">
        <v>178.33</v>
      </c>
    </row>
    <row r="907" customFormat="false" ht="15" hidden="false" customHeight="false" outlineLevel="0" collapsed="false">
      <c r="A907" s="0" t="n">
        <v>3</v>
      </c>
      <c r="B907" s="59" t="n">
        <v>46216</v>
      </c>
      <c r="C907" s="0" t="n">
        <v>11</v>
      </c>
      <c r="D907" s="0" t="s">
        <v>2126</v>
      </c>
      <c r="E907" s="0" t="n">
        <v>1705</v>
      </c>
      <c r="F907" s="0" t="s">
        <v>123</v>
      </c>
      <c r="I907" s="0" t="n">
        <v>1929985</v>
      </c>
      <c r="J907" s="0" t="n">
        <v>10830</v>
      </c>
      <c r="K907" s="0" t="n">
        <v>7894900701517</v>
      </c>
      <c r="L907" s="0" t="s">
        <v>2589</v>
      </c>
      <c r="N907" s="0" t="n">
        <v>36</v>
      </c>
      <c r="O907" s="60" t="n">
        <v>304.87</v>
      </c>
    </row>
    <row r="908" customFormat="false" ht="15" hidden="false" customHeight="false" outlineLevel="0" collapsed="false">
      <c r="A908" s="0" t="n">
        <v>3</v>
      </c>
      <c r="B908" s="59" t="n">
        <v>46216</v>
      </c>
      <c r="C908" s="0" t="n">
        <v>11</v>
      </c>
      <c r="D908" s="0" t="s">
        <v>2126</v>
      </c>
      <c r="E908" s="0" t="n">
        <v>1705</v>
      </c>
      <c r="F908" s="0" t="s">
        <v>123</v>
      </c>
      <c r="I908" s="0" t="n">
        <v>1929985</v>
      </c>
      <c r="J908" s="0" t="n">
        <v>21183</v>
      </c>
      <c r="K908" s="0" t="n">
        <v>7894900556063</v>
      </c>
      <c r="L908" s="0" t="s">
        <v>2590</v>
      </c>
      <c r="N908" s="0" t="n">
        <v>18</v>
      </c>
      <c r="O908" s="60" t="n">
        <v>102.89</v>
      </c>
    </row>
    <row r="909" customFormat="false" ht="15" hidden="false" customHeight="false" outlineLevel="0" collapsed="false">
      <c r="A909" s="0" t="n">
        <v>3</v>
      </c>
      <c r="B909" s="59" t="n">
        <v>46216</v>
      </c>
      <c r="C909" s="0" t="n">
        <v>11</v>
      </c>
      <c r="D909" s="0" t="s">
        <v>2126</v>
      </c>
      <c r="E909" s="0" t="n">
        <v>1705</v>
      </c>
      <c r="F909" s="0" t="s">
        <v>123</v>
      </c>
      <c r="I909" s="0" t="n">
        <v>1929985</v>
      </c>
      <c r="J909" s="0" t="n">
        <v>21426</v>
      </c>
      <c r="K909" s="0" t="n">
        <v>7894900014211</v>
      </c>
      <c r="L909" s="0" t="s">
        <v>2591</v>
      </c>
      <c r="N909" s="0" t="n">
        <v>54</v>
      </c>
      <c r="O909" s="60" t="n">
        <v>356.05</v>
      </c>
    </row>
    <row r="910" customFormat="false" ht="15" hidden="false" customHeight="false" outlineLevel="0" collapsed="false">
      <c r="A910" s="0" t="n">
        <v>3</v>
      </c>
      <c r="B910" s="59" t="n">
        <v>46216</v>
      </c>
      <c r="C910" s="0" t="n">
        <v>11</v>
      </c>
      <c r="D910" s="0" t="s">
        <v>2126</v>
      </c>
      <c r="E910" s="0" t="n">
        <v>1705</v>
      </c>
      <c r="F910" s="0" t="s">
        <v>123</v>
      </c>
      <c r="I910" s="0" t="n">
        <v>1929985</v>
      </c>
      <c r="J910" s="0" t="n">
        <v>22893</v>
      </c>
      <c r="K910" s="0" t="n">
        <v>7894900550061</v>
      </c>
      <c r="L910" s="0" t="s">
        <v>2592</v>
      </c>
      <c r="N910" s="0" t="n">
        <v>6</v>
      </c>
      <c r="O910" s="60" t="n">
        <v>31.95</v>
      </c>
    </row>
    <row r="911" customFormat="false" ht="15" hidden="false" customHeight="false" outlineLevel="0" collapsed="false">
      <c r="A911" s="0" t="n">
        <v>3</v>
      </c>
      <c r="B911" s="59" t="n">
        <v>46216</v>
      </c>
      <c r="C911" s="0" t="n">
        <v>11</v>
      </c>
      <c r="D911" s="0" t="s">
        <v>2126</v>
      </c>
      <c r="E911" s="0" t="n">
        <v>1705</v>
      </c>
      <c r="F911" s="0" t="s">
        <v>123</v>
      </c>
      <c r="I911" s="0" t="n">
        <v>1929985</v>
      </c>
      <c r="J911" s="0" t="n">
        <v>28739</v>
      </c>
      <c r="K911" s="0" t="n">
        <v>7894900027044</v>
      </c>
      <c r="L911" s="0" t="s">
        <v>2593</v>
      </c>
      <c r="N911" s="0" t="n">
        <v>30</v>
      </c>
      <c r="O911" s="60" t="n">
        <v>168.16</v>
      </c>
    </row>
    <row r="912" customFormat="false" ht="15" hidden="false" customHeight="false" outlineLevel="0" collapsed="false">
      <c r="A912" s="0" t="n">
        <v>3</v>
      </c>
      <c r="B912" s="59" t="n">
        <v>46216</v>
      </c>
      <c r="C912" s="0" t="n">
        <v>11</v>
      </c>
      <c r="D912" s="0" t="s">
        <v>2126</v>
      </c>
      <c r="E912" s="0" t="n">
        <v>1705</v>
      </c>
      <c r="F912" s="0" t="s">
        <v>123</v>
      </c>
      <c r="I912" s="0" t="n">
        <v>1929985</v>
      </c>
      <c r="J912" s="0" t="n">
        <v>31367</v>
      </c>
      <c r="K912" s="0" t="n">
        <v>7894900704211</v>
      </c>
      <c r="L912" s="0" t="s">
        <v>2596</v>
      </c>
      <c r="N912" s="0" t="n">
        <v>45</v>
      </c>
      <c r="O912" s="60" t="n">
        <v>258.14</v>
      </c>
    </row>
    <row r="913" customFormat="false" ht="15" hidden="false" customHeight="false" outlineLevel="0" collapsed="false">
      <c r="A913" s="0" t="n">
        <v>3</v>
      </c>
      <c r="B913" s="59" t="n">
        <v>46216</v>
      </c>
      <c r="C913" s="0" t="n">
        <v>11</v>
      </c>
      <c r="D913" s="0" t="s">
        <v>2126</v>
      </c>
      <c r="E913" s="0" t="n">
        <v>1705</v>
      </c>
      <c r="F913" s="0" t="s">
        <v>123</v>
      </c>
      <c r="I913" s="0" t="n">
        <v>1929985</v>
      </c>
      <c r="J913" s="0" t="n">
        <v>37279</v>
      </c>
      <c r="K913" s="0" t="n">
        <v>7894900027013</v>
      </c>
      <c r="L913" s="0" t="s">
        <v>2581</v>
      </c>
      <c r="N913" s="0" t="n">
        <v>132</v>
      </c>
      <c r="O913" s="60" t="n">
        <v>1152.46</v>
      </c>
    </row>
    <row r="914" customFormat="false" ht="15" hidden="false" customHeight="false" outlineLevel="0" collapsed="false">
      <c r="A914" s="0" t="n">
        <v>3</v>
      </c>
      <c r="B914" s="59" t="n">
        <v>46216</v>
      </c>
      <c r="C914" s="0" t="n">
        <v>22</v>
      </c>
      <c r="D914" s="0" t="s">
        <v>2172</v>
      </c>
      <c r="E914" s="0" t="n">
        <v>42</v>
      </c>
      <c r="F914" s="0" t="s">
        <v>81</v>
      </c>
      <c r="I914" s="0" t="n">
        <v>4379</v>
      </c>
      <c r="J914" s="0" t="n">
        <v>100006</v>
      </c>
      <c r="K914" s="0" t="n">
        <v>7</v>
      </c>
      <c r="L914" s="0" t="s">
        <v>2228</v>
      </c>
      <c r="N914" s="0" t="n">
        <v>6.822</v>
      </c>
      <c r="O914" s="60" t="n">
        <v>228.04</v>
      </c>
    </row>
    <row r="915" customFormat="false" ht="15" hidden="false" customHeight="false" outlineLevel="0" collapsed="false">
      <c r="A915" s="0" t="n">
        <v>3</v>
      </c>
      <c r="B915" s="59" t="n">
        <v>46216</v>
      </c>
      <c r="C915" s="0" t="n">
        <v>22</v>
      </c>
      <c r="D915" s="0" t="s">
        <v>2172</v>
      </c>
      <c r="E915" s="0" t="n">
        <v>42</v>
      </c>
      <c r="F915" s="0" t="s">
        <v>81</v>
      </c>
      <c r="I915" s="0" t="n">
        <v>4379</v>
      </c>
      <c r="J915" s="0" t="n">
        <v>100008</v>
      </c>
      <c r="K915" s="0" t="n">
        <v>9</v>
      </c>
      <c r="L915" s="0" t="s">
        <v>2229</v>
      </c>
      <c r="N915" s="0" t="n">
        <v>14.055</v>
      </c>
      <c r="O915" s="60" t="n">
        <v>481.58</v>
      </c>
    </row>
    <row r="916" customFormat="false" ht="15" hidden="false" customHeight="false" outlineLevel="0" collapsed="false">
      <c r="A916" s="0" t="n">
        <v>3</v>
      </c>
      <c r="B916" s="59" t="n">
        <v>46216</v>
      </c>
      <c r="C916" s="0" t="n">
        <v>22</v>
      </c>
      <c r="D916" s="0" t="s">
        <v>2172</v>
      </c>
      <c r="E916" s="0" t="n">
        <v>42</v>
      </c>
      <c r="F916" s="0" t="s">
        <v>81</v>
      </c>
      <c r="I916" s="0" t="n">
        <v>4379</v>
      </c>
      <c r="J916" s="0" t="n">
        <v>100010</v>
      </c>
      <c r="K916" s="0" t="n">
        <v>11</v>
      </c>
      <c r="L916" s="0" t="s">
        <v>2230</v>
      </c>
      <c r="N916" s="0" t="n">
        <v>2.622</v>
      </c>
      <c r="O916" s="60" t="n">
        <v>102.99</v>
      </c>
    </row>
    <row r="917" customFormat="false" ht="15" hidden="false" customHeight="false" outlineLevel="0" collapsed="false">
      <c r="A917" s="0" t="n">
        <v>3</v>
      </c>
      <c r="B917" s="59" t="n">
        <v>46216</v>
      </c>
      <c r="C917" s="0" t="n">
        <v>22</v>
      </c>
      <c r="D917" s="0" t="s">
        <v>2172</v>
      </c>
      <c r="E917" s="0" t="n">
        <v>42</v>
      </c>
      <c r="F917" s="0" t="s">
        <v>81</v>
      </c>
      <c r="I917" s="0" t="n">
        <v>4379</v>
      </c>
      <c r="J917" s="0" t="n">
        <v>100011</v>
      </c>
      <c r="K917" s="0" t="n">
        <v>12</v>
      </c>
      <c r="L917" s="0" t="s">
        <v>2231</v>
      </c>
      <c r="N917" s="0" t="n">
        <v>4.972</v>
      </c>
      <c r="O917" s="60" t="n">
        <v>195.3</v>
      </c>
    </row>
    <row r="918" customFormat="false" ht="15" hidden="false" customHeight="false" outlineLevel="0" collapsed="false">
      <c r="A918" s="0" t="n">
        <v>3</v>
      </c>
      <c r="B918" s="59" t="n">
        <v>46216</v>
      </c>
      <c r="C918" s="0" t="n">
        <v>22</v>
      </c>
      <c r="D918" s="0" t="s">
        <v>2172</v>
      </c>
      <c r="E918" s="0" t="n">
        <v>42</v>
      </c>
      <c r="F918" s="0" t="s">
        <v>81</v>
      </c>
      <c r="I918" s="0" t="n">
        <v>4379</v>
      </c>
      <c r="J918" s="0" t="n">
        <v>100012</v>
      </c>
      <c r="K918" s="0" t="n">
        <v>13</v>
      </c>
      <c r="L918" s="0" t="s">
        <v>2232</v>
      </c>
      <c r="N918" s="0" t="n">
        <v>4.084</v>
      </c>
      <c r="O918" s="60" t="n">
        <v>174.07</v>
      </c>
    </row>
    <row r="919" customFormat="false" ht="15" hidden="false" customHeight="false" outlineLevel="0" collapsed="false">
      <c r="A919" s="0" t="n">
        <v>3</v>
      </c>
      <c r="B919" s="59" t="n">
        <v>46216</v>
      </c>
      <c r="C919" s="0" t="n">
        <v>22</v>
      </c>
      <c r="D919" s="0" t="s">
        <v>2172</v>
      </c>
      <c r="E919" s="0" t="n">
        <v>42</v>
      </c>
      <c r="F919" s="0" t="s">
        <v>81</v>
      </c>
      <c r="I919" s="0" t="n">
        <v>4379</v>
      </c>
      <c r="J919" s="0" t="n">
        <v>100013</v>
      </c>
      <c r="K919" s="0" t="n">
        <v>14</v>
      </c>
      <c r="L919" s="0" t="s">
        <v>2233</v>
      </c>
      <c r="N919" s="0" t="n">
        <v>8.005</v>
      </c>
      <c r="O919" s="60" t="n">
        <v>367.96</v>
      </c>
    </row>
    <row r="920" customFormat="false" ht="15" hidden="false" customHeight="false" outlineLevel="0" collapsed="false">
      <c r="A920" s="0" t="n">
        <v>3</v>
      </c>
      <c r="B920" s="59" t="n">
        <v>46216</v>
      </c>
      <c r="C920" s="0" t="n">
        <v>22</v>
      </c>
      <c r="D920" s="0" t="s">
        <v>2172</v>
      </c>
      <c r="E920" s="0" t="n">
        <v>42</v>
      </c>
      <c r="F920" s="0" t="s">
        <v>81</v>
      </c>
      <c r="I920" s="0" t="n">
        <v>4379</v>
      </c>
      <c r="J920" s="0" t="n">
        <v>100014</v>
      </c>
      <c r="K920" s="0" t="n">
        <v>15</v>
      </c>
      <c r="L920" s="0" t="s">
        <v>2234</v>
      </c>
      <c r="N920" s="0" t="n">
        <v>3.492</v>
      </c>
      <c r="O920" s="60" t="n">
        <v>163.43</v>
      </c>
    </row>
    <row r="921" customFormat="false" ht="15" hidden="false" customHeight="false" outlineLevel="0" collapsed="false">
      <c r="A921" s="0" t="n">
        <v>3</v>
      </c>
      <c r="B921" s="59" t="n">
        <v>46216</v>
      </c>
      <c r="C921" s="0" t="n">
        <v>22</v>
      </c>
      <c r="D921" s="0" t="s">
        <v>2172</v>
      </c>
      <c r="E921" s="0" t="n">
        <v>42</v>
      </c>
      <c r="F921" s="0" t="s">
        <v>81</v>
      </c>
      <c r="I921" s="0" t="n">
        <v>4379</v>
      </c>
      <c r="J921" s="0" t="n">
        <v>100015</v>
      </c>
      <c r="K921" s="0" t="n">
        <v>16</v>
      </c>
      <c r="L921" s="0" t="s">
        <v>2235</v>
      </c>
      <c r="N921" s="0" t="n">
        <v>1.508</v>
      </c>
      <c r="O921" s="60" t="n">
        <v>64.28</v>
      </c>
    </row>
    <row r="922" customFormat="false" ht="15" hidden="false" customHeight="false" outlineLevel="0" collapsed="false">
      <c r="A922" s="0" t="n">
        <v>3</v>
      </c>
      <c r="B922" s="59" t="n">
        <v>46216</v>
      </c>
      <c r="C922" s="0" t="n">
        <v>22</v>
      </c>
      <c r="D922" s="0" t="s">
        <v>2172</v>
      </c>
      <c r="E922" s="0" t="n">
        <v>42</v>
      </c>
      <c r="F922" s="0" t="s">
        <v>81</v>
      </c>
      <c r="I922" s="0" t="n">
        <v>4379</v>
      </c>
      <c r="J922" s="0" t="n">
        <v>100016</v>
      </c>
      <c r="K922" s="0" t="n">
        <v>17</v>
      </c>
      <c r="L922" s="0" t="s">
        <v>2236</v>
      </c>
      <c r="N922" s="0" t="n">
        <v>1.798</v>
      </c>
      <c r="O922" s="60" t="n">
        <v>82.65</v>
      </c>
    </row>
    <row r="923" customFormat="false" ht="15" hidden="false" customHeight="false" outlineLevel="0" collapsed="false">
      <c r="A923" s="0" t="n">
        <v>3</v>
      </c>
      <c r="B923" s="59" t="n">
        <v>46216</v>
      </c>
      <c r="C923" s="0" t="n">
        <v>22</v>
      </c>
      <c r="D923" s="0" t="s">
        <v>2172</v>
      </c>
      <c r="E923" s="0" t="n">
        <v>42</v>
      </c>
      <c r="F923" s="0" t="s">
        <v>81</v>
      </c>
      <c r="I923" s="0" t="n">
        <v>4379</v>
      </c>
      <c r="J923" s="0" t="n">
        <v>100017</v>
      </c>
      <c r="K923" s="0" t="n">
        <v>18</v>
      </c>
      <c r="L923" s="0" t="s">
        <v>2237</v>
      </c>
      <c r="N923" s="0" t="n">
        <v>1.77</v>
      </c>
      <c r="O923" s="60" t="n">
        <v>96.16</v>
      </c>
    </row>
    <row r="924" customFormat="false" ht="15" hidden="false" customHeight="false" outlineLevel="0" collapsed="false">
      <c r="A924" s="0" t="n">
        <v>3</v>
      </c>
      <c r="B924" s="59" t="n">
        <v>46216</v>
      </c>
      <c r="C924" s="0" t="n">
        <v>22</v>
      </c>
      <c r="D924" s="0" t="s">
        <v>2172</v>
      </c>
      <c r="E924" s="0" t="n">
        <v>42</v>
      </c>
      <c r="F924" s="0" t="s">
        <v>81</v>
      </c>
      <c r="I924" s="0" t="n">
        <v>4379</v>
      </c>
      <c r="J924" s="0" t="n">
        <v>100023</v>
      </c>
      <c r="K924" s="0" t="n">
        <v>24</v>
      </c>
      <c r="L924" s="0" t="s">
        <v>2678</v>
      </c>
      <c r="N924" s="0" t="n">
        <v>0.33</v>
      </c>
      <c r="O924" s="60" t="n">
        <v>3.86</v>
      </c>
    </row>
    <row r="925" customFormat="false" ht="15" hidden="false" customHeight="false" outlineLevel="0" collapsed="false">
      <c r="A925" s="0" t="n">
        <v>3</v>
      </c>
      <c r="B925" s="59" t="n">
        <v>46216</v>
      </c>
      <c r="C925" s="0" t="n">
        <v>22</v>
      </c>
      <c r="D925" s="0" t="s">
        <v>2172</v>
      </c>
      <c r="E925" s="0" t="n">
        <v>42</v>
      </c>
      <c r="F925" s="0" t="s">
        <v>81</v>
      </c>
      <c r="I925" s="0" t="n">
        <v>4379</v>
      </c>
      <c r="J925" s="0" t="n">
        <v>100053</v>
      </c>
      <c r="K925" s="0" t="n">
        <v>54</v>
      </c>
      <c r="L925" s="0" t="s">
        <v>2238</v>
      </c>
      <c r="N925" s="0" t="n">
        <v>1.714</v>
      </c>
      <c r="O925" s="60" t="n">
        <v>64.46</v>
      </c>
    </row>
    <row r="926" customFormat="false" ht="15" hidden="false" customHeight="false" outlineLevel="0" collapsed="false">
      <c r="A926" s="0" t="n">
        <v>3</v>
      </c>
      <c r="B926" s="59" t="n">
        <v>46216</v>
      </c>
      <c r="C926" s="0" t="n">
        <v>22</v>
      </c>
      <c r="D926" s="0" t="s">
        <v>2172</v>
      </c>
      <c r="E926" s="0" t="n">
        <v>42</v>
      </c>
      <c r="F926" s="0" t="s">
        <v>81</v>
      </c>
      <c r="I926" s="0" t="n">
        <v>4379</v>
      </c>
      <c r="J926" s="0" t="n">
        <v>100638</v>
      </c>
      <c r="K926" s="0" t="n">
        <v>508</v>
      </c>
      <c r="L926" s="0" t="s">
        <v>2178</v>
      </c>
      <c r="N926" s="0" t="n">
        <v>3.29</v>
      </c>
      <c r="O926" s="60" t="n">
        <v>5.47</v>
      </c>
    </row>
    <row r="927" customFormat="false" ht="15" hidden="false" customHeight="false" outlineLevel="0" collapsed="false">
      <c r="A927" s="0" t="n">
        <v>3</v>
      </c>
      <c r="B927" s="59" t="n">
        <v>46216</v>
      </c>
      <c r="C927" s="0" t="n">
        <v>22</v>
      </c>
      <c r="D927" s="0" t="s">
        <v>2172</v>
      </c>
      <c r="E927" s="0" t="n">
        <v>42</v>
      </c>
      <c r="F927" s="0" t="s">
        <v>81</v>
      </c>
      <c r="I927" s="0" t="n">
        <v>4379</v>
      </c>
      <c r="J927" s="0" t="n">
        <v>100520</v>
      </c>
      <c r="K927" s="0" t="n">
        <v>507</v>
      </c>
      <c r="L927" s="0" t="s">
        <v>2179</v>
      </c>
      <c r="N927" s="0" t="n">
        <v>9.025</v>
      </c>
      <c r="O927" s="60" t="n">
        <v>22.56</v>
      </c>
    </row>
    <row r="928" customFormat="false" ht="15" hidden="false" customHeight="false" outlineLevel="0" collapsed="false">
      <c r="A928" s="0" t="n">
        <v>3</v>
      </c>
      <c r="B928" s="59" t="n">
        <v>46216</v>
      </c>
      <c r="C928" s="0" t="n">
        <v>22</v>
      </c>
      <c r="D928" s="0" t="s">
        <v>2172</v>
      </c>
      <c r="E928" s="0" t="n">
        <v>42</v>
      </c>
      <c r="F928" s="0" t="s">
        <v>81</v>
      </c>
      <c r="I928" s="0" t="n">
        <v>4379</v>
      </c>
      <c r="J928" s="0" t="n">
        <v>110455</v>
      </c>
      <c r="K928" s="0" t="n">
        <v>53212</v>
      </c>
      <c r="L928" s="0" t="s">
        <v>2180</v>
      </c>
      <c r="N928" s="0" t="n">
        <v>0.663</v>
      </c>
      <c r="O928" s="60" t="n">
        <v>0</v>
      </c>
    </row>
    <row r="929" customFormat="false" ht="15" hidden="false" customHeight="false" outlineLevel="0" collapsed="false">
      <c r="A929" s="0" t="n">
        <v>3</v>
      </c>
      <c r="B929" s="59" t="n">
        <v>46216</v>
      </c>
      <c r="C929" s="0" t="n">
        <v>22</v>
      </c>
      <c r="D929" s="0" t="s">
        <v>2172</v>
      </c>
      <c r="E929" s="0" t="n">
        <v>42</v>
      </c>
      <c r="F929" s="0" t="s">
        <v>81</v>
      </c>
      <c r="I929" s="0" t="n">
        <v>4381</v>
      </c>
      <c r="J929" s="0" t="n">
        <v>100000</v>
      </c>
      <c r="K929" s="0" t="n">
        <v>1</v>
      </c>
      <c r="L929" s="0" t="s">
        <v>2173</v>
      </c>
      <c r="N929" s="0" t="n">
        <v>1.802</v>
      </c>
      <c r="O929" s="60" t="n">
        <v>39.02</v>
      </c>
    </row>
    <row r="930" customFormat="false" ht="15" hidden="false" customHeight="false" outlineLevel="0" collapsed="false">
      <c r="A930" s="0" t="n">
        <v>3</v>
      </c>
      <c r="B930" s="59" t="n">
        <v>46216</v>
      </c>
      <c r="C930" s="0" t="n">
        <v>22</v>
      </c>
      <c r="D930" s="0" t="s">
        <v>2172</v>
      </c>
      <c r="E930" s="0" t="n">
        <v>42</v>
      </c>
      <c r="F930" s="0" t="s">
        <v>81</v>
      </c>
      <c r="I930" s="0" t="n">
        <v>4381</v>
      </c>
      <c r="J930" s="0" t="n">
        <v>100001</v>
      </c>
      <c r="K930" s="0" t="n">
        <v>2</v>
      </c>
      <c r="L930" s="0" t="s">
        <v>2174</v>
      </c>
      <c r="N930" s="0" t="n">
        <v>21.084</v>
      </c>
      <c r="O930" s="60" t="n">
        <v>488.02</v>
      </c>
    </row>
    <row r="931" customFormat="false" ht="15" hidden="false" customHeight="false" outlineLevel="0" collapsed="false">
      <c r="A931" s="0" t="n">
        <v>3</v>
      </c>
      <c r="B931" s="59" t="n">
        <v>46216</v>
      </c>
      <c r="C931" s="0" t="n">
        <v>22</v>
      </c>
      <c r="D931" s="0" t="s">
        <v>2172</v>
      </c>
      <c r="E931" s="0" t="n">
        <v>42</v>
      </c>
      <c r="F931" s="0" t="s">
        <v>81</v>
      </c>
      <c r="I931" s="0" t="n">
        <v>4381</v>
      </c>
      <c r="J931" s="0" t="n">
        <v>100002</v>
      </c>
      <c r="K931" s="0" t="n">
        <v>3</v>
      </c>
      <c r="L931" s="0" t="s">
        <v>2175</v>
      </c>
      <c r="N931" s="0" t="n">
        <v>32.012</v>
      </c>
      <c r="O931" s="60" t="n">
        <v>764.88</v>
      </c>
    </row>
    <row r="932" customFormat="false" ht="15" hidden="false" customHeight="false" outlineLevel="0" collapsed="false">
      <c r="A932" s="0" t="n">
        <v>3</v>
      </c>
      <c r="B932" s="59" t="n">
        <v>46216</v>
      </c>
      <c r="C932" s="0" t="n">
        <v>22</v>
      </c>
      <c r="D932" s="0" t="s">
        <v>2172</v>
      </c>
      <c r="E932" s="0" t="n">
        <v>42</v>
      </c>
      <c r="F932" s="0" t="s">
        <v>81</v>
      </c>
      <c r="I932" s="0" t="n">
        <v>4381</v>
      </c>
      <c r="J932" s="0" t="n">
        <v>100003</v>
      </c>
      <c r="K932" s="0" t="n">
        <v>4</v>
      </c>
      <c r="L932" s="0" t="s">
        <v>2176</v>
      </c>
      <c r="N932" s="0" t="n">
        <v>30.561</v>
      </c>
      <c r="O932" s="60" t="n">
        <v>798.69</v>
      </c>
    </row>
    <row r="933" customFormat="false" ht="15" hidden="false" customHeight="false" outlineLevel="0" collapsed="false">
      <c r="A933" s="0" t="n">
        <v>3</v>
      </c>
      <c r="B933" s="59" t="n">
        <v>46216</v>
      </c>
      <c r="C933" s="0" t="n">
        <v>22</v>
      </c>
      <c r="D933" s="0" t="s">
        <v>2172</v>
      </c>
      <c r="E933" s="0" t="n">
        <v>42</v>
      </c>
      <c r="F933" s="0" t="s">
        <v>81</v>
      </c>
      <c r="I933" s="0" t="n">
        <v>4381</v>
      </c>
      <c r="J933" s="0" t="n">
        <v>100007</v>
      </c>
      <c r="K933" s="0" t="n">
        <v>8</v>
      </c>
      <c r="L933" s="0" t="s">
        <v>2177</v>
      </c>
      <c r="N933" s="0" t="n">
        <v>12.882</v>
      </c>
      <c r="O933" s="60" t="n">
        <v>327.04</v>
      </c>
    </row>
    <row r="934" customFormat="false" ht="15" hidden="false" customHeight="false" outlineLevel="0" collapsed="false">
      <c r="A934" s="0" t="n">
        <v>3</v>
      </c>
      <c r="B934" s="59" t="n">
        <v>46216</v>
      </c>
      <c r="C934" s="0" t="n">
        <v>22</v>
      </c>
      <c r="D934" s="0" t="s">
        <v>2172</v>
      </c>
      <c r="E934" s="0" t="n">
        <v>42</v>
      </c>
      <c r="F934" s="0" t="s">
        <v>81</v>
      </c>
      <c r="I934" s="0" t="n">
        <v>4381</v>
      </c>
      <c r="J934" s="0" t="n">
        <v>100638</v>
      </c>
      <c r="K934" s="0" t="n">
        <v>508</v>
      </c>
      <c r="L934" s="0" t="s">
        <v>2178</v>
      </c>
      <c r="N934" s="0" t="n">
        <v>4.29</v>
      </c>
      <c r="O934" s="60" t="n">
        <v>6.38</v>
      </c>
    </row>
    <row r="935" customFormat="false" ht="15" hidden="false" customHeight="false" outlineLevel="0" collapsed="false">
      <c r="A935" s="0" t="n">
        <v>3</v>
      </c>
      <c r="B935" s="59" t="n">
        <v>46216</v>
      </c>
      <c r="C935" s="0" t="n">
        <v>22</v>
      </c>
      <c r="D935" s="0" t="s">
        <v>2172</v>
      </c>
      <c r="E935" s="0" t="n">
        <v>42</v>
      </c>
      <c r="F935" s="0" t="s">
        <v>81</v>
      </c>
      <c r="I935" s="0" t="n">
        <v>4381</v>
      </c>
      <c r="J935" s="0" t="n">
        <v>100520</v>
      </c>
      <c r="K935" s="0" t="n">
        <v>507</v>
      </c>
      <c r="L935" s="0" t="s">
        <v>2179</v>
      </c>
      <c r="N935" s="0" t="n">
        <v>8.048</v>
      </c>
      <c r="O935" s="60" t="n">
        <v>17.97</v>
      </c>
    </row>
    <row r="936" customFormat="false" ht="15" hidden="false" customHeight="false" outlineLevel="0" collapsed="false">
      <c r="A936" s="0" t="n">
        <v>3</v>
      </c>
      <c r="B936" s="59" t="n">
        <v>46216</v>
      </c>
      <c r="C936" s="0" t="n">
        <v>22</v>
      </c>
      <c r="D936" s="0" t="s">
        <v>2172</v>
      </c>
      <c r="E936" s="0" t="n">
        <v>42</v>
      </c>
      <c r="F936" s="0" t="s">
        <v>81</v>
      </c>
      <c r="I936" s="0" t="n">
        <v>4381</v>
      </c>
      <c r="J936" s="0" t="n">
        <v>110455</v>
      </c>
      <c r="K936" s="0" t="n">
        <v>53212</v>
      </c>
      <c r="L936" s="0" t="s">
        <v>2180</v>
      </c>
      <c r="N936" s="0" t="n">
        <v>0.321</v>
      </c>
      <c r="O936" s="60" t="n">
        <v>0</v>
      </c>
    </row>
    <row r="937" customFormat="false" ht="15" hidden="false" customHeight="false" outlineLevel="0" collapsed="false">
      <c r="A937" s="0" t="n">
        <v>3</v>
      </c>
      <c r="B937" s="59" t="n">
        <v>46216</v>
      </c>
      <c r="C937" s="0" t="n">
        <v>100</v>
      </c>
      <c r="D937" s="0" t="s">
        <v>2181</v>
      </c>
      <c r="E937" s="0" t="n">
        <v>42</v>
      </c>
      <c r="F937" s="0" t="s">
        <v>81</v>
      </c>
      <c r="I937" s="0" t="n">
        <v>1392713</v>
      </c>
      <c r="J937" s="0" t="n">
        <v>100006</v>
      </c>
      <c r="K937" s="0" t="n">
        <v>7</v>
      </c>
      <c r="L937" s="0" t="s">
        <v>2228</v>
      </c>
      <c r="N937" s="0" t="n">
        <v>6.822</v>
      </c>
      <c r="O937" s="60" t="n">
        <v>228.04</v>
      </c>
    </row>
    <row r="938" customFormat="false" ht="15" hidden="false" customHeight="false" outlineLevel="0" collapsed="false">
      <c r="A938" s="0" t="n">
        <v>3</v>
      </c>
      <c r="B938" s="59" t="n">
        <v>46216</v>
      </c>
      <c r="C938" s="0" t="n">
        <v>100</v>
      </c>
      <c r="D938" s="0" t="s">
        <v>2181</v>
      </c>
      <c r="E938" s="0" t="n">
        <v>42</v>
      </c>
      <c r="F938" s="0" t="s">
        <v>81</v>
      </c>
      <c r="I938" s="0" t="n">
        <v>1392713</v>
      </c>
      <c r="J938" s="0" t="n">
        <v>100008</v>
      </c>
      <c r="K938" s="0" t="n">
        <v>9</v>
      </c>
      <c r="L938" s="0" t="s">
        <v>2229</v>
      </c>
      <c r="N938" s="0" t="n">
        <v>14.055</v>
      </c>
      <c r="O938" s="60" t="n">
        <v>481.58</v>
      </c>
    </row>
    <row r="939" customFormat="false" ht="15" hidden="false" customHeight="false" outlineLevel="0" collapsed="false">
      <c r="A939" s="0" t="n">
        <v>3</v>
      </c>
      <c r="B939" s="59" t="n">
        <v>46216</v>
      </c>
      <c r="C939" s="0" t="n">
        <v>100</v>
      </c>
      <c r="D939" s="0" t="s">
        <v>2181</v>
      </c>
      <c r="E939" s="0" t="n">
        <v>42</v>
      </c>
      <c r="F939" s="0" t="s">
        <v>81</v>
      </c>
      <c r="I939" s="0" t="n">
        <v>1392713</v>
      </c>
      <c r="J939" s="0" t="n">
        <v>100010</v>
      </c>
      <c r="K939" s="0" t="n">
        <v>11</v>
      </c>
      <c r="L939" s="0" t="s">
        <v>2230</v>
      </c>
      <c r="N939" s="0" t="n">
        <v>2.622</v>
      </c>
      <c r="O939" s="60" t="n">
        <v>102.99</v>
      </c>
    </row>
    <row r="940" customFormat="false" ht="15" hidden="false" customHeight="false" outlineLevel="0" collapsed="false">
      <c r="A940" s="0" t="n">
        <v>3</v>
      </c>
      <c r="B940" s="59" t="n">
        <v>46216</v>
      </c>
      <c r="C940" s="0" t="n">
        <v>100</v>
      </c>
      <c r="D940" s="0" t="s">
        <v>2181</v>
      </c>
      <c r="E940" s="0" t="n">
        <v>42</v>
      </c>
      <c r="F940" s="0" t="s">
        <v>81</v>
      </c>
      <c r="I940" s="0" t="n">
        <v>1392713</v>
      </c>
      <c r="J940" s="0" t="n">
        <v>100011</v>
      </c>
      <c r="K940" s="0" t="n">
        <v>12</v>
      </c>
      <c r="L940" s="0" t="s">
        <v>2231</v>
      </c>
      <c r="N940" s="0" t="n">
        <v>4.972</v>
      </c>
      <c r="O940" s="60" t="n">
        <v>195.3</v>
      </c>
    </row>
    <row r="941" customFormat="false" ht="15" hidden="false" customHeight="false" outlineLevel="0" collapsed="false">
      <c r="A941" s="0" t="n">
        <v>3</v>
      </c>
      <c r="B941" s="59" t="n">
        <v>46216</v>
      </c>
      <c r="C941" s="0" t="n">
        <v>100</v>
      </c>
      <c r="D941" s="0" t="s">
        <v>2181</v>
      </c>
      <c r="E941" s="0" t="n">
        <v>42</v>
      </c>
      <c r="F941" s="0" t="s">
        <v>81</v>
      </c>
      <c r="I941" s="0" t="n">
        <v>1392713</v>
      </c>
      <c r="J941" s="0" t="n">
        <v>100012</v>
      </c>
      <c r="K941" s="0" t="n">
        <v>13</v>
      </c>
      <c r="L941" s="0" t="s">
        <v>2232</v>
      </c>
      <c r="N941" s="0" t="n">
        <v>4.084</v>
      </c>
      <c r="O941" s="60" t="n">
        <v>174.07</v>
      </c>
    </row>
    <row r="942" customFormat="false" ht="15" hidden="false" customHeight="false" outlineLevel="0" collapsed="false">
      <c r="A942" s="0" t="n">
        <v>3</v>
      </c>
      <c r="B942" s="59" t="n">
        <v>46216</v>
      </c>
      <c r="C942" s="0" t="n">
        <v>100</v>
      </c>
      <c r="D942" s="0" t="s">
        <v>2181</v>
      </c>
      <c r="E942" s="0" t="n">
        <v>42</v>
      </c>
      <c r="F942" s="0" t="s">
        <v>81</v>
      </c>
      <c r="I942" s="0" t="n">
        <v>1392713</v>
      </c>
      <c r="J942" s="0" t="n">
        <v>100013</v>
      </c>
      <c r="K942" s="0" t="n">
        <v>14</v>
      </c>
      <c r="L942" s="0" t="s">
        <v>2233</v>
      </c>
      <c r="N942" s="0" t="n">
        <v>8.005</v>
      </c>
      <c r="O942" s="60" t="n">
        <v>367.96</v>
      </c>
    </row>
    <row r="943" customFormat="false" ht="15" hidden="false" customHeight="false" outlineLevel="0" collapsed="false">
      <c r="A943" s="0" t="n">
        <v>3</v>
      </c>
      <c r="B943" s="59" t="n">
        <v>46216</v>
      </c>
      <c r="C943" s="0" t="n">
        <v>100</v>
      </c>
      <c r="D943" s="0" t="s">
        <v>2181</v>
      </c>
      <c r="E943" s="0" t="n">
        <v>42</v>
      </c>
      <c r="F943" s="0" t="s">
        <v>81</v>
      </c>
      <c r="I943" s="0" t="n">
        <v>1392713</v>
      </c>
      <c r="J943" s="0" t="n">
        <v>100014</v>
      </c>
      <c r="K943" s="0" t="n">
        <v>15</v>
      </c>
      <c r="L943" s="0" t="s">
        <v>2234</v>
      </c>
      <c r="N943" s="0" t="n">
        <v>3.492</v>
      </c>
      <c r="O943" s="60" t="n">
        <v>163.43</v>
      </c>
    </row>
    <row r="944" customFormat="false" ht="15" hidden="false" customHeight="false" outlineLevel="0" collapsed="false">
      <c r="A944" s="0" t="n">
        <v>3</v>
      </c>
      <c r="B944" s="59" t="n">
        <v>46216</v>
      </c>
      <c r="C944" s="0" t="n">
        <v>100</v>
      </c>
      <c r="D944" s="0" t="s">
        <v>2181</v>
      </c>
      <c r="E944" s="0" t="n">
        <v>42</v>
      </c>
      <c r="F944" s="0" t="s">
        <v>81</v>
      </c>
      <c r="I944" s="0" t="n">
        <v>1392713</v>
      </c>
      <c r="J944" s="0" t="n">
        <v>100015</v>
      </c>
      <c r="K944" s="0" t="n">
        <v>16</v>
      </c>
      <c r="L944" s="0" t="s">
        <v>2235</v>
      </c>
      <c r="N944" s="0" t="n">
        <v>1.508</v>
      </c>
      <c r="O944" s="60" t="n">
        <v>64.28</v>
      </c>
    </row>
    <row r="945" customFormat="false" ht="15" hidden="false" customHeight="false" outlineLevel="0" collapsed="false">
      <c r="A945" s="0" t="n">
        <v>3</v>
      </c>
      <c r="B945" s="59" t="n">
        <v>46216</v>
      </c>
      <c r="C945" s="0" t="n">
        <v>100</v>
      </c>
      <c r="D945" s="0" t="s">
        <v>2181</v>
      </c>
      <c r="E945" s="0" t="n">
        <v>42</v>
      </c>
      <c r="F945" s="0" t="s">
        <v>81</v>
      </c>
      <c r="I945" s="0" t="n">
        <v>1392713</v>
      </c>
      <c r="J945" s="0" t="n">
        <v>100016</v>
      </c>
      <c r="K945" s="0" t="n">
        <v>17</v>
      </c>
      <c r="L945" s="0" t="s">
        <v>2236</v>
      </c>
      <c r="N945" s="0" t="n">
        <v>1.798</v>
      </c>
      <c r="O945" s="60" t="n">
        <v>82.65</v>
      </c>
    </row>
    <row r="946" customFormat="false" ht="15" hidden="false" customHeight="false" outlineLevel="0" collapsed="false">
      <c r="A946" s="0" t="n">
        <v>3</v>
      </c>
      <c r="B946" s="59" t="n">
        <v>46216</v>
      </c>
      <c r="C946" s="0" t="n">
        <v>100</v>
      </c>
      <c r="D946" s="0" t="s">
        <v>2181</v>
      </c>
      <c r="E946" s="0" t="n">
        <v>42</v>
      </c>
      <c r="F946" s="0" t="s">
        <v>81</v>
      </c>
      <c r="I946" s="0" t="n">
        <v>1392713</v>
      </c>
      <c r="J946" s="0" t="n">
        <v>100017</v>
      </c>
      <c r="K946" s="0" t="n">
        <v>18</v>
      </c>
      <c r="L946" s="0" t="s">
        <v>2237</v>
      </c>
      <c r="N946" s="0" t="n">
        <v>1.77</v>
      </c>
      <c r="O946" s="60" t="n">
        <v>96.16</v>
      </c>
    </row>
    <row r="947" customFormat="false" ht="15" hidden="false" customHeight="false" outlineLevel="0" collapsed="false">
      <c r="A947" s="0" t="n">
        <v>3</v>
      </c>
      <c r="B947" s="59" t="n">
        <v>46216</v>
      </c>
      <c r="C947" s="0" t="n">
        <v>100</v>
      </c>
      <c r="D947" s="0" t="s">
        <v>2181</v>
      </c>
      <c r="E947" s="0" t="n">
        <v>42</v>
      </c>
      <c r="F947" s="0" t="s">
        <v>81</v>
      </c>
      <c r="I947" s="0" t="n">
        <v>1392713</v>
      </c>
      <c r="J947" s="0" t="n">
        <v>100023</v>
      </c>
      <c r="K947" s="0" t="n">
        <v>24</v>
      </c>
      <c r="L947" s="0" t="s">
        <v>2678</v>
      </c>
      <c r="N947" s="0" t="n">
        <v>0.33</v>
      </c>
      <c r="O947" s="60" t="n">
        <v>3.86</v>
      </c>
    </row>
    <row r="948" customFormat="false" ht="15" hidden="false" customHeight="false" outlineLevel="0" collapsed="false">
      <c r="A948" s="0" t="n">
        <v>3</v>
      </c>
      <c r="B948" s="59" t="n">
        <v>46216</v>
      </c>
      <c r="C948" s="0" t="n">
        <v>100</v>
      </c>
      <c r="D948" s="0" t="s">
        <v>2181</v>
      </c>
      <c r="E948" s="0" t="n">
        <v>42</v>
      </c>
      <c r="F948" s="0" t="s">
        <v>81</v>
      </c>
      <c r="I948" s="0" t="n">
        <v>1392713</v>
      </c>
      <c r="J948" s="0" t="n">
        <v>100053</v>
      </c>
      <c r="K948" s="0" t="n">
        <v>54</v>
      </c>
      <c r="L948" s="0" t="s">
        <v>2238</v>
      </c>
      <c r="N948" s="0" t="n">
        <v>1.714</v>
      </c>
      <c r="O948" s="60" t="n">
        <v>64.46</v>
      </c>
    </row>
    <row r="949" customFormat="false" ht="15" hidden="false" customHeight="false" outlineLevel="0" collapsed="false">
      <c r="A949" s="0" t="n">
        <v>3</v>
      </c>
      <c r="B949" s="59" t="n">
        <v>46216</v>
      </c>
      <c r="C949" s="0" t="n">
        <v>100</v>
      </c>
      <c r="D949" s="0" t="s">
        <v>2181</v>
      </c>
      <c r="E949" s="0" t="n">
        <v>42</v>
      </c>
      <c r="F949" s="0" t="s">
        <v>81</v>
      </c>
      <c r="I949" s="0" t="n">
        <v>1392713</v>
      </c>
      <c r="J949" s="0" t="n">
        <v>100638</v>
      </c>
      <c r="K949" s="0" t="n">
        <v>508</v>
      </c>
      <c r="L949" s="0" t="s">
        <v>2178</v>
      </c>
      <c r="N949" s="0" t="n">
        <v>3.29</v>
      </c>
      <c r="O949" s="60" t="n">
        <v>5.47</v>
      </c>
    </row>
    <row r="950" customFormat="false" ht="15" hidden="false" customHeight="false" outlineLevel="0" collapsed="false">
      <c r="A950" s="0" t="n">
        <v>3</v>
      </c>
      <c r="B950" s="59" t="n">
        <v>46216</v>
      </c>
      <c r="C950" s="0" t="n">
        <v>100</v>
      </c>
      <c r="D950" s="0" t="s">
        <v>2181</v>
      </c>
      <c r="E950" s="0" t="n">
        <v>42</v>
      </c>
      <c r="F950" s="0" t="s">
        <v>81</v>
      </c>
      <c r="I950" s="0" t="n">
        <v>1392713</v>
      </c>
      <c r="J950" s="0" t="n">
        <v>100520</v>
      </c>
      <c r="K950" s="0" t="n">
        <v>507</v>
      </c>
      <c r="L950" s="0" t="s">
        <v>2179</v>
      </c>
      <c r="N950" s="0" t="n">
        <v>9.025</v>
      </c>
      <c r="O950" s="60" t="n">
        <v>22.56</v>
      </c>
    </row>
    <row r="951" customFormat="false" ht="15" hidden="false" customHeight="false" outlineLevel="0" collapsed="false">
      <c r="A951" s="0" t="n">
        <v>3</v>
      </c>
      <c r="B951" s="59" t="n">
        <v>46216</v>
      </c>
      <c r="C951" s="0" t="n">
        <v>100</v>
      </c>
      <c r="D951" s="0" t="s">
        <v>2181</v>
      </c>
      <c r="E951" s="0" t="n">
        <v>42</v>
      </c>
      <c r="F951" s="0" t="s">
        <v>81</v>
      </c>
      <c r="I951" s="0" t="n">
        <v>1392713</v>
      </c>
      <c r="J951" s="0" t="n">
        <v>110455</v>
      </c>
      <c r="K951" s="0" t="n">
        <v>53212</v>
      </c>
      <c r="L951" s="0" t="s">
        <v>2180</v>
      </c>
      <c r="N951" s="0" t="n">
        <v>0.663</v>
      </c>
      <c r="O951" s="60" t="n">
        <v>0</v>
      </c>
    </row>
    <row r="952" customFormat="false" ht="15" hidden="false" customHeight="false" outlineLevel="0" collapsed="false">
      <c r="A952" s="0" t="n">
        <v>3</v>
      </c>
      <c r="B952" s="59" t="n">
        <v>46216</v>
      </c>
      <c r="C952" s="0" t="n">
        <v>100</v>
      </c>
      <c r="D952" s="0" t="s">
        <v>2181</v>
      </c>
      <c r="E952" s="0" t="n">
        <v>42</v>
      </c>
      <c r="F952" s="0" t="s">
        <v>81</v>
      </c>
      <c r="I952" s="0" t="n">
        <v>1393508</v>
      </c>
      <c r="J952" s="0" t="n">
        <v>100000</v>
      </c>
      <c r="K952" s="0" t="n">
        <v>1</v>
      </c>
      <c r="L952" s="0" t="s">
        <v>2173</v>
      </c>
      <c r="N952" s="0" t="n">
        <v>1.802</v>
      </c>
      <c r="O952" s="60" t="n">
        <v>39.02</v>
      </c>
    </row>
    <row r="953" customFormat="false" ht="15" hidden="false" customHeight="false" outlineLevel="0" collapsed="false">
      <c r="A953" s="0" t="n">
        <v>3</v>
      </c>
      <c r="B953" s="59" t="n">
        <v>46216</v>
      </c>
      <c r="C953" s="0" t="n">
        <v>100</v>
      </c>
      <c r="D953" s="0" t="s">
        <v>2181</v>
      </c>
      <c r="E953" s="0" t="n">
        <v>42</v>
      </c>
      <c r="F953" s="0" t="s">
        <v>81</v>
      </c>
      <c r="I953" s="0" t="n">
        <v>1393508</v>
      </c>
      <c r="J953" s="0" t="n">
        <v>100001</v>
      </c>
      <c r="K953" s="0" t="n">
        <v>2</v>
      </c>
      <c r="L953" s="0" t="s">
        <v>2174</v>
      </c>
      <c r="N953" s="0" t="n">
        <v>21.084</v>
      </c>
      <c r="O953" s="60" t="n">
        <v>488.02</v>
      </c>
    </row>
    <row r="954" customFormat="false" ht="15" hidden="false" customHeight="false" outlineLevel="0" collapsed="false">
      <c r="A954" s="0" t="n">
        <v>3</v>
      </c>
      <c r="B954" s="59" t="n">
        <v>46216</v>
      </c>
      <c r="C954" s="0" t="n">
        <v>100</v>
      </c>
      <c r="D954" s="0" t="s">
        <v>2181</v>
      </c>
      <c r="E954" s="0" t="n">
        <v>42</v>
      </c>
      <c r="F954" s="0" t="s">
        <v>81</v>
      </c>
      <c r="I954" s="0" t="n">
        <v>1393508</v>
      </c>
      <c r="J954" s="0" t="n">
        <v>100002</v>
      </c>
      <c r="K954" s="0" t="n">
        <v>3</v>
      </c>
      <c r="L954" s="0" t="s">
        <v>2175</v>
      </c>
      <c r="N954" s="0" t="n">
        <v>32.012</v>
      </c>
      <c r="O954" s="60" t="n">
        <v>764.88</v>
      </c>
    </row>
    <row r="955" customFormat="false" ht="15" hidden="false" customHeight="false" outlineLevel="0" collapsed="false">
      <c r="A955" s="0" t="n">
        <v>3</v>
      </c>
      <c r="B955" s="59" t="n">
        <v>46216</v>
      </c>
      <c r="C955" s="0" t="n">
        <v>100</v>
      </c>
      <c r="D955" s="0" t="s">
        <v>2181</v>
      </c>
      <c r="E955" s="0" t="n">
        <v>42</v>
      </c>
      <c r="F955" s="0" t="s">
        <v>81</v>
      </c>
      <c r="I955" s="0" t="n">
        <v>1393508</v>
      </c>
      <c r="J955" s="0" t="n">
        <v>100003</v>
      </c>
      <c r="K955" s="0" t="n">
        <v>4</v>
      </c>
      <c r="L955" s="0" t="s">
        <v>2176</v>
      </c>
      <c r="N955" s="0" t="n">
        <v>30.561</v>
      </c>
      <c r="O955" s="60" t="n">
        <v>798.69</v>
      </c>
    </row>
    <row r="956" customFormat="false" ht="15" hidden="false" customHeight="false" outlineLevel="0" collapsed="false">
      <c r="A956" s="0" t="n">
        <v>3</v>
      </c>
      <c r="B956" s="59" t="n">
        <v>46216</v>
      </c>
      <c r="C956" s="0" t="n">
        <v>100</v>
      </c>
      <c r="D956" s="0" t="s">
        <v>2181</v>
      </c>
      <c r="E956" s="0" t="n">
        <v>42</v>
      </c>
      <c r="F956" s="0" t="s">
        <v>81</v>
      </c>
      <c r="I956" s="0" t="n">
        <v>1393508</v>
      </c>
      <c r="J956" s="0" t="n">
        <v>100007</v>
      </c>
      <c r="K956" s="0" t="n">
        <v>8</v>
      </c>
      <c r="L956" s="0" t="s">
        <v>2177</v>
      </c>
      <c r="N956" s="0" t="n">
        <v>12.882</v>
      </c>
      <c r="O956" s="60" t="n">
        <v>327.04</v>
      </c>
    </row>
    <row r="957" customFormat="false" ht="15" hidden="false" customHeight="false" outlineLevel="0" collapsed="false">
      <c r="A957" s="0" t="n">
        <v>3</v>
      </c>
      <c r="B957" s="59" t="n">
        <v>46216</v>
      </c>
      <c r="C957" s="0" t="n">
        <v>100</v>
      </c>
      <c r="D957" s="0" t="s">
        <v>2181</v>
      </c>
      <c r="E957" s="0" t="n">
        <v>42</v>
      </c>
      <c r="F957" s="0" t="s">
        <v>81</v>
      </c>
      <c r="I957" s="0" t="n">
        <v>1393508</v>
      </c>
      <c r="J957" s="0" t="n">
        <v>100638</v>
      </c>
      <c r="K957" s="0" t="n">
        <v>508</v>
      </c>
      <c r="L957" s="0" t="s">
        <v>2178</v>
      </c>
      <c r="N957" s="0" t="n">
        <v>4.29</v>
      </c>
      <c r="O957" s="60" t="n">
        <v>6.38</v>
      </c>
    </row>
    <row r="958" customFormat="false" ht="15" hidden="false" customHeight="false" outlineLevel="0" collapsed="false">
      <c r="A958" s="0" t="n">
        <v>3</v>
      </c>
      <c r="B958" s="59" t="n">
        <v>46216</v>
      </c>
      <c r="C958" s="0" t="n">
        <v>100</v>
      </c>
      <c r="D958" s="0" t="s">
        <v>2181</v>
      </c>
      <c r="E958" s="0" t="n">
        <v>42</v>
      </c>
      <c r="F958" s="0" t="s">
        <v>81</v>
      </c>
      <c r="I958" s="0" t="n">
        <v>1393508</v>
      </c>
      <c r="J958" s="0" t="n">
        <v>100520</v>
      </c>
      <c r="K958" s="0" t="n">
        <v>507</v>
      </c>
      <c r="L958" s="0" t="s">
        <v>2179</v>
      </c>
      <c r="N958" s="0" t="n">
        <v>8.048</v>
      </c>
      <c r="O958" s="60" t="n">
        <v>17.97</v>
      </c>
    </row>
    <row r="959" customFormat="false" ht="15" hidden="false" customHeight="false" outlineLevel="0" collapsed="false">
      <c r="A959" s="0" t="n">
        <v>3</v>
      </c>
      <c r="B959" s="59" t="n">
        <v>46216</v>
      </c>
      <c r="C959" s="0" t="n">
        <v>100</v>
      </c>
      <c r="D959" s="0" t="s">
        <v>2181</v>
      </c>
      <c r="E959" s="0" t="n">
        <v>42</v>
      </c>
      <c r="F959" s="0" t="s">
        <v>81</v>
      </c>
      <c r="I959" s="0" t="n">
        <v>1393508</v>
      </c>
      <c r="J959" s="0" t="n">
        <v>110455</v>
      </c>
      <c r="K959" s="0" t="n">
        <v>53212</v>
      </c>
      <c r="L959" s="0" t="s">
        <v>2180</v>
      </c>
      <c r="N959" s="0" t="n">
        <v>0.321</v>
      </c>
      <c r="O959" s="60" t="n">
        <v>0</v>
      </c>
    </row>
    <row r="960" customFormat="false" ht="15" hidden="false" customHeight="false" outlineLevel="0" collapsed="false">
      <c r="A960" s="0" t="n">
        <v>3</v>
      </c>
      <c r="B960" s="59" t="n">
        <v>46216</v>
      </c>
      <c r="C960" s="0" t="n">
        <v>171</v>
      </c>
      <c r="D960" s="0" t="s">
        <v>2182</v>
      </c>
      <c r="E960" s="0" t="n">
        <v>1136</v>
      </c>
      <c r="F960" s="0" t="s">
        <v>695</v>
      </c>
      <c r="I960" s="0" t="n">
        <v>51627</v>
      </c>
      <c r="J960" s="0" t="n">
        <v>102960</v>
      </c>
      <c r="K960" s="0" t="n">
        <v>7896221400087</v>
      </c>
      <c r="L960" s="0" t="s">
        <v>2622</v>
      </c>
      <c r="N960" s="0" t="n">
        <v>10</v>
      </c>
      <c r="O960" s="60" t="n">
        <v>50.76</v>
      </c>
    </row>
    <row r="961" customFormat="false" ht="15" hidden="false" customHeight="false" outlineLevel="0" collapsed="false">
      <c r="A961" s="0" t="n">
        <v>3</v>
      </c>
      <c r="B961" s="59" t="n">
        <v>46217</v>
      </c>
      <c r="C961" s="0" t="n">
        <v>1</v>
      </c>
      <c r="D961" s="0" t="s">
        <v>2118</v>
      </c>
      <c r="E961" s="0" t="n">
        <v>10043</v>
      </c>
      <c r="F961" s="0" t="s">
        <v>113</v>
      </c>
      <c r="I961" s="0" t="n">
        <v>774</v>
      </c>
      <c r="J961" s="0" t="n">
        <v>52096</v>
      </c>
      <c r="K961" s="0" t="n">
        <v>144315</v>
      </c>
      <c r="L961" s="0" t="s">
        <v>2415</v>
      </c>
      <c r="N961" s="0" t="n">
        <v>180</v>
      </c>
      <c r="O961" s="60" t="n">
        <v>270</v>
      </c>
    </row>
    <row r="962" customFormat="false" ht="15" hidden="false" customHeight="false" outlineLevel="0" collapsed="false">
      <c r="A962" s="0" t="n">
        <v>3</v>
      </c>
      <c r="B962" s="59" t="n">
        <v>46217</v>
      </c>
      <c r="C962" s="0" t="n">
        <v>6</v>
      </c>
      <c r="D962" s="0" t="s">
        <v>2125</v>
      </c>
      <c r="E962" s="0" t="n">
        <v>42</v>
      </c>
      <c r="F962" s="0" t="s">
        <v>81</v>
      </c>
      <c r="I962" s="0" t="n">
        <v>4382</v>
      </c>
      <c r="J962" s="0" t="n">
        <v>37359</v>
      </c>
      <c r="K962" s="0" t="n">
        <v>55526</v>
      </c>
      <c r="L962" s="0" t="s">
        <v>2194</v>
      </c>
      <c r="N962" s="0" t="n">
        <v>8</v>
      </c>
      <c r="O962" s="60" t="n">
        <v>48</v>
      </c>
    </row>
    <row r="963" customFormat="false" ht="15" hidden="false" customHeight="false" outlineLevel="0" collapsed="false">
      <c r="A963" s="0" t="n">
        <v>3</v>
      </c>
      <c r="B963" s="59" t="n">
        <v>46217</v>
      </c>
      <c r="C963" s="0" t="n">
        <v>6</v>
      </c>
      <c r="D963" s="0" t="s">
        <v>2125</v>
      </c>
      <c r="E963" s="0" t="n">
        <v>42</v>
      </c>
      <c r="F963" s="0" t="s">
        <v>81</v>
      </c>
      <c r="I963" s="0" t="n">
        <v>4382</v>
      </c>
      <c r="J963" s="0" t="n">
        <v>37361</v>
      </c>
      <c r="K963" s="0" t="n">
        <v>2240817</v>
      </c>
      <c r="L963" s="0" t="s">
        <v>2124</v>
      </c>
      <c r="N963" s="0" t="n">
        <v>50</v>
      </c>
      <c r="O963" s="60" t="n">
        <v>100</v>
      </c>
    </row>
    <row r="964" customFormat="false" ht="15" hidden="false" customHeight="false" outlineLevel="0" collapsed="false">
      <c r="A964" s="0" t="n">
        <v>3</v>
      </c>
      <c r="B964" s="59" t="n">
        <v>46217</v>
      </c>
      <c r="C964" s="0" t="n">
        <v>6</v>
      </c>
      <c r="D964" s="0" t="s">
        <v>2125</v>
      </c>
      <c r="E964" s="0" t="n">
        <v>42</v>
      </c>
      <c r="F964" s="0" t="s">
        <v>81</v>
      </c>
      <c r="I964" s="0" t="n">
        <v>4383</v>
      </c>
      <c r="J964" s="0" t="n">
        <v>100062</v>
      </c>
      <c r="K964" s="0" t="n">
        <v>63</v>
      </c>
      <c r="L964" s="0" t="s">
        <v>2259</v>
      </c>
      <c r="N964" s="0" t="n">
        <v>8.8</v>
      </c>
      <c r="O964" s="60" t="n">
        <v>105.5</v>
      </c>
    </row>
    <row r="965" customFormat="false" ht="15" hidden="false" customHeight="false" outlineLevel="0" collapsed="false">
      <c r="A965" s="0" t="n">
        <v>3</v>
      </c>
      <c r="B965" s="59" t="n">
        <v>46217</v>
      </c>
      <c r="C965" s="0" t="n">
        <v>6</v>
      </c>
      <c r="D965" s="0" t="s">
        <v>2125</v>
      </c>
      <c r="E965" s="0" t="n">
        <v>42</v>
      </c>
      <c r="F965" s="0" t="s">
        <v>81</v>
      </c>
      <c r="I965" s="0" t="n">
        <v>4383</v>
      </c>
      <c r="J965" s="0" t="n">
        <v>100105</v>
      </c>
      <c r="K965" s="0" t="n">
        <v>106</v>
      </c>
      <c r="L965" s="0" t="s">
        <v>2620</v>
      </c>
      <c r="N965" s="0" t="n">
        <v>24</v>
      </c>
      <c r="O965" s="60" t="n">
        <v>180</v>
      </c>
    </row>
    <row r="966" customFormat="false" ht="15" hidden="false" customHeight="false" outlineLevel="0" collapsed="false">
      <c r="A966" s="0" t="n">
        <v>3</v>
      </c>
      <c r="B966" s="59" t="n">
        <v>46217</v>
      </c>
      <c r="C966" s="0" t="n">
        <v>6</v>
      </c>
      <c r="D966" s="0" t="s">
        <v>2125</v>
      </c>
      <c r="E966" s="0" t="n">
        <v>42</v>
      </c>
      <c r="F966" s="0" t="s">
        <v>81</v>
      </c>
      <c r="I966" s="0" t="n">
        <v>4383</v>
      </c>
      <c r="J966" s="0" t="n">
        <v>100109</v>
      </c>
      <c r="K966" s="0" t="n">
        <v>110</v>
      </c>
      <c r="L966" s="0" t="s">
        <v>2261</v>
      </c>
      <c r="N966" s="0" t="n">
        <v>40</v>
      </c>
      <c r="O966" s="60" t="n">
        <v>280</v>
      </c>
    </row>
    <row r="967" customFormat="false" ht="15" hidden="false" customHeight="false" outlineLevel="0" collapsed="false">
      <c r="A967" s="0" t="n">
        <v>3</v>
      </c>
      <c r="B967" s="59" t="n">
        <v>46217</v>
      </c>
      <c r="C967" s="0" t="n">
        <v>6</v>
      </c>
      <c r="D967" s="0" t="s">
        <v>2125</v>
      </c>
      <c r="E967" s="0" t="n">
        <v>42</v>
      </c>
      <c r="F967" s="0" t="s">
        <v>81</v>
      </c>
      <c r="I967" s="0" t="n">
        <v>4383</v>
      </c>
      <c r="J967" s="0" t="n">
        <v>100113</v>
      </c>
      <c r="K967" s="0" t="n">
        <v>114</v>
      </c>
      <c r="L967" s="0" t="s">
        <v>2264</v>
      </c>
      <c r="N967" s="0" t="n">
        <v>20</v>
      </c>
      <c r="O967" s="60" t="n">
        <v>65</v>
      </c>
    </row>
    <row r="968" customFormat="false" ht="15" hidden="false" customHeight="false" outlineLevel="0" collapsed="false">
      <c r="A968" s="0" t="n">
        <v>3</v>
      </c>
      <c r="B968" s="59" t="n">
        <v>46217</v>
      </c>
      <c r="C968" s="0" t="n">
        <v>6</v>
      </c>
      <c r="D968" s="0" t="s">
        <v>2125</v>
      </c>
      <c r="E968" s="0" t="n">
        <v>42</v>
      </c>
      <c r="F968" s="0" t="s">
        <v>81</v>
      </c>
      <c r="I968" s="0" t="n">
        <v>4383</v>
      </c>
      <c r="J968" s="0" t="n">
        <v>100115</v>
      </c>
      <c r="K968" s="0" t="n">
        <v>116</v>
      </c>
      <c r="L968" s="0" t="s">
        <v>2265</v>
      </c>
      <c r="N968" s="0" t="n">
        <v>15</v>
      </c>
      <c r="O968" s="60" t="n">
        <v>120</v>
      </c>
    </row>
    <row r="969" customFormat="false" ht="15" hidden="false" customHeight="false" outlineLevel="0" collapsed="false">
      <c r="A969" s="0" t="n">
        <v>3</v>
      </c>
      <c r="B969" s="59" t="n">
        <v>46217</v>
      </c>
      <c r="C969" s="0" t="n">
        <v>6</v>
      </c>
      <c r="D969" s="0" t="s">
        <v>2125</v>
      </c>
      <c r="E969" s="0" t="n">
        <v>42</v>
      </c>
      <c r="F969" s="0" t="s">
        <v>81</v>
      </c>
      <c r="I969" s="0" t="n">
        <v>4383</v>
      </c>
      <c r="J969" s="0" t="n">
        <v>100116</v>
      </c>
      <c r="K969" s="0" t="n">
        <v>117</v>
      </c>
      <c r="L969" s="0" t="s">
        <v>2266</v>
      </c>
      <c r="N969" s="0" t="n">
        <v>4</v>
      </c>
      <c r="O969" s="60" t="n">
        <v>40</v>
      </c>
    </row>
    <row r="970" customFormat="false" ht="15" hidden="false" customHeight="false" outlineLevel="0" collapsed="false">
      <c r="A970" s="0" t="n">
        <v>3</v>
      </c>
      <c r="B970" s="59" t="n">
        <v>46217</v>
      </c>
      <c r="C970" s="0" t="n">
        <v>6</v>
      </c>
      <c r="D970" s="0" t="s">
        <v>2125</v>
      </c>
      <c r="E970" s="0" t="n">
        <v>42</v>
      </c>
      <c r="F970" s="0" t="s">
        <v>81</v>
      </c>
      <c r="I970" s="0" t="n">
        <v>4383</v>
      </c>
      <c r="J970" s="0" t="n">
        <v>100121</v>
      </c>
      <c r="K970" s="0" t="n">
        <v>122</v>
      </c>
      <c r="L970" s="0" t="s">
        <v>2422</v>
      </c>
      <c r="N970" s="0" t="n">
        <v>10</v>
      </c>
      <c r="O970" s="60" t="n">
        <v>180</v>
      </c>
    </row>
    <row r="971" customFormat="false" ht="15" hidden="false" customHeight="false" outlineLevel="0" collapsed="false">
      <c r="A971" s="0" t="n">
        <v>3</v>
      </c>
      <c r="B971" s="59" t="n">
        <v>46217</v>
      </c>
      <c r="C971" s="0" t="n">
        <v>6</v>
      </c>
      <c r="D971" s="0" t="s">
        <v>2125</v>
      </c>
      <c r="E971" s="0" t="n">
        <v>42</v>
      </c>
      <c r="F971" s="0" t="s">
        <v>81</v>
      </c>
      <c r="I971" s="0" t="n">
        <v>4383</v>
      </c>
      <c r="J971" s="0" t="n">
        <v>100122</v>
      </c>
      <c r="K971" s="0" t="n">
        <v>123</v>
      </c>
      <c r="L971" s="0" t="s">
        <v>2423</v>
      </c>
      <c r="N971" s="0" t="n">
        <v>10</v>
      </c>
      <c r="O971" s="60" t="n">
        <v>110</v>
      </c>
    </row>
    <row r="972" customFormat="false" ht="15" hidden="false" customHeight="false" outlineLevel="0" collapsed="false">
      <c r="A972" s="0" t="n">
        <v>3</v>
      </c>
      <c r="B972" s="59" t="n">
        <v>46217</v>
      </c>
      <c r="C972" s="0" t="n">
        <v>6</v>
      </c>
      <c r="D972" s="0" t="s">
        <v>2125</v>
      </c>
      <c r="E972" s="0" t="n">
        <v>42</v>
      </c>
      <c r="F972" s="0" t="s">
        <v>81</v>
      </c>
      <c r="I972" s="0" t="n">
        <v>4383</v>
      </c>
      <c r="J972" s="0" t="n">
        <v>100123</v>
      </c>
      <c r="K972" s="0" t="n">
        <v>124</v>
      </c>
      <c r="L972" s="0" t="s">
        <v>2268</v>
      </c>
      <c r="N972" s="0" t="n">
        <v>2</v>
      </c>
      <c r="O972" s="60" t="n">
        <v>18</v>
      </c>
    </row>
    <row r="973" customFormat="false" ht="15" hidden="false" customHeight="false" outlineLevel="0" collapsed="false">
      <c r="A973" s="0" t="n">
        <v>3</v>
      </c>
      <c r="B973" s="59" t="n">
        <v>46217</v>
      </c>
      <c r="C973" s="0" t="n">
        <v>6</v>
      </c>
      <c r="D973" s="0" t="s">
        <v>2125</v>
      </c>
      <c r="E973" s="0" t="n">
        <v>42</v>
      </c>
      <c r="F973" s="0" t="s">
        <v>81</v>
      </c>
      <c r="I973" s="0" t="n">
        <v>4383</v>
      </c>
      <c r="J973" s="0" t="n">
        <v>100125</v>
      </c>
      <c r="K973" s="0" t="n">
        <v>126</v>
      </c>
      <c r="L973" s="0" t="s">
        <v>2424</v>
      </c>
      <c r="N973" s="0" t="n">
        <v>20</v>
      </c>
      <c r="O973" s="60" t="n">
        <v>120</v>
      </c>
    </row>
    <row r="974" customFormat="false" ht="15" hidden="false" customHeight="false" outlineLevel="0" collapsed="false">
      <c r="A974" s="0" t="n">
        <v>3</v>
      </c>
      <c r="B974" s="59" t="n">
        <v>46217</v>
      </c>
      <c r="C974" s="0" t="n">
        <v>6</v>
      </c>
      <c r="D974" s="0" t="s">
        <v>2125</v>
      </c>
      <c r="E974" s="0" t="n">
        <v>42</v>
      </c>
      <c r="F974" s="0" t="s">
        <v>81</v>
      </c>
      <c r="I974" s="0" t="n">
        <v>4383</v>
      </c>
      <c r="J974" s="0" t="n">
        <v>100130</v>
      </c>
      <c r="K974" s="0" t="n">
        <v>131</v>
      </c>
      <c r="L974" s="0" t="s">
        <v>2621</v>
      </c>
      <c r="N974" s="0" t="n">
        <v>10</v>
      </c>
      <c r="O974" s="60" t="n">
        <v>70</v>
      </c>
    </row>
    <row r="975" customFormat="false" ht="15" hidden="false" customHeight="false" outlineLevel="0" collapsed="false">
      <c r="A975" s="0" t="n">
        <v>3</v>
      </c>
      <c r="B975" s="59" t="n">
        <v>46217</v>
      </c>
      <c r="C975" s="0" t="n">
        <v>6</v>
      </c>
      <c r="D975" s="0" t="s">
        <v>2125</v>
      </c>
      <c r="E975" s="0" t="n">
        <v>42</v>
      </c>
      <c r="F975" s="0" t="s">
        <v>81</v>
      </c>
      <c r="I975" s="0" t="n">
        <v>4383</v>
      </c>
      <c r="J975" s="0" t="n">
        <v>100131</v>
      </c>
      <c r="K975" s="0" t="n">
        <v>132</v>
      </c>
      <c r="L975" s="0" t="s">
        <v>2425</v>
      </c>
      <c r="N975" s="0" t="n">
        <v>1</v>
      </c>
      <c r="O975" s="60" t="n">
        <v>35</v>
      </c>
    </row>
    <row r="976" customFormat="false" ht="15" hidden="false" customHeight="false" outlineLevel="0" collapsed="false">
      <c r="A976" s="0" t="n">
        <v>3</v>
      </c>
      <c r="B976" s="59" t="n">
        <v>46217</v>
      </c>
      <c r="C976" s="0" t="n">
        <v>6</v>
      </c>
      <c r="D976" s="0" t="s">
        <v>2125</v>
      </c>
      <c r="E976" s="0" t="n">
        <v>42</v>
      </c>
      <c r="F976" s="0" t="s">
        <v>81</v>
      </c>
      <c r="I976" s="0" t="n">
        <v>4383</v>
      </c>
      <c r="J976" s="0" t="n">
        <v>100132</v>
      </c>
      <c r="K976" s="0" t="n">
        <v>133</v>
      </c>
      <c r="L976" s="0" t="s">
        <v>2270</v>
      </c>
      <c r="N976" s="0" t="n">
        <v>53</v>
      </c>
      <c r="O976" s="60" t="n">
        <v>168</v>
      </c>
    </row>
    <row r="977" customFormat="false" ht="15" hidden="false" customHeight="false" outlineLevel="0" collapsed="false">
      <c r="A977" s="0" t="n">
        <v>3</v>
      </c>
      <c r="B977" s="59" t="n">
        <v>46217</v>
      </c>
      <c r="C977" s="0" t="n">
        <v>6</v>
      </c>
      <c r="D977" s="0" t="s">
        <v>2125</v>
      </c>
      <c r="E977" s="0" t="n">
        <v>42</v>
      </c>
      <c r="F977" s="0" t="s">
        <v>81</v>
      </c>
      <c r="I977" s="0" t="n">
        <v>4383</v>
      </c>
      <c r="J977" s="0" t="n">
        <v>100133</v>
      </c>
      <c r="K977" s="0" t="n">
        <v>134</v>
      </c>
      <c r="L977" s="0" t="s">
        <v>2271</v>
      </c>
      <c r="N977" s="0" t="n">
        <v>10</v>
      </c>
      <c r="O977" s="60" t="n">
        <v>60</v>
      </c>
    </row>
    <row r="978" customFormat="false" ht="15" hidden="false" customHeight="false" outlineLevel="0" collapsed="false">
      <c r="A978" s="0" t="n">
        <v>3</v>
      </c>
      <c r="B978" s="59" t="n">
        <v>46217</v>
      </c>
      <c r="C978" s="0" t="n">
        <v>6</v>
      </c>
      <c r="D978" s="0" t="s">
        <v>2125</v>
      </c>
      <c r="E978" s="0" t="n">
        <v>42</v>
      </c>
      <c r="F978" s="0" t="s">
        <v>81</v>
      </c>
      <c r="I978" s="0" t="n">
        <v>4383</v>
      </c>
      <c r="J978" s="0" t="n">
        <v>100148</v>
      </c>
      <c r="K978" s="0" t="n">
        <v>149</v>
      </c>
      <c r="L978" s="0" t="s">
        <v>2272</v>
      </c>
      <c r="N978" s="0" t="n">
        <v>5.6</v>
      </c>
      <c r="O978" s="60" t="n">
        <v>67</v>
      </c>
    </row>
    <row r="979" customFormat="false" ht="15" hidden="false" customHeight="false" outlineLevel="0" collapsed="false">
      <c r="A979" s="0" t="n">
        <v>3</v>
      </c>
      <c r="B979" s="59" t="n">
        <v>46217</v>
      </c>
      <c r="C979" s="0" t="n">
        <v>6</v>
      </c>
      <c r="D979" s="0" t="s">
        <v>2125</v>
      </c>
      <c r="E979" s="0" t="n">
        <v>42</v>
      </c>
      <c r="F979" s="0" t="s">
        <v>81</v>
      </c>
      <c r="I979" s="0" t="n">
        <v>4383</v>
      </c>
      <c r="J979" s="0" t="n">
        <v>110142</v>
      </c>
      <c r="K979" s="0" t="n">
        <v>16699</v>
      </c>
      <c r="L979" s="0" t="s">
        <v>2273</v>
      </c>
      <c r="N979" s="0" t="n">
        <v>20</v>
      </c>
      <c r="O979" s="60" t="n">
        <v>120</v>
      </c>
    </row>
    <row r="980" customFormat="false" ht="15" hidden="false" customHeight="false" outlineLevel="0" collapsed="false">
      <c r="A980" s="0" t="n">
        <v>3</v>
      </c>
      <c r="B980" s="59" t="n">
        <v>46217</v>
      </c>
      <c r="C980" s="0" t="n">
        <v>171</v>
      </c>
      <c r="D980" s="0" t="s">
        <v>2182</v>
      </c>
      <c r="E980" s="0" t="n">
        <v>1636</v>
      </c>
      <c r="F980" s="0" t="s">
        <v>50</v>
      </c>
      <c r="I980" s="0" t="n">
        <v>3213547</v>
      </c>
      <c r="J980" s="0" t="n">
        <v>30291</v>
      </c>
      <c r="K980" s="0" t="n">
        <v>7891150059887</v>
      </c>
      <c r="L980" s="0" t="s">
        <v>2679</v>
      </c>
      <c r="N980" s="0" t="n">
        <v>6</v>
      </c>
      <c r="O980" s="60" t="n">
        <v>15.54</v>
      </c>
    </row>
    <row r="981" customFormat="false" ht="15" hidden="false" customHeight="false" outlineLevel="0" collapsed="false">
      <c r="A981" s="0" t="n">
        <v>3</v>
      </c>
      <c r="B981" s="59" t="n">
        <v>46217</v>
      </c>
      <c r="C981" s="0" t="n">
        <v>171</v>
      </c>
      <c r="D981" s="0" t="s">
        <v>2182</v>
      </c>
      <c r="E981" s="0" t="n">
        <v>1636</v>
      </c>
      <c r="F981" s="0" t="s">
        <v>50</v>
      </c>
      <c r="I981" s="0" t="n">
        <v>3213547</v>
      </c>
      <c r="J981" s="0" t="n">
        <v>76591</v>
      </c>
      <c r="K981" s="0" t="n">
        <v>7891150101616</v>
      </c>
      <c r="L981" s="0" t="s">
        <v>2680</v>
      </c>
      <c r="N981" s="0" t="n">
        <v>1</v>
      </c>
      <c r="O981" s="60" t="n">
        <v>11.35</v>
      </c>
    </row>
    <row r="982" customFormat="false" ht="15" hidden="false" customHeight="false" outlineLevel="0" collapsed="false">
      <c r="A982" s="0" t="n">
        <v>3</v>
      </c>
      <c r="B982" s="59" t="n">
        <v>46218</v>
      </c>
      <c r="C982" s="0" t="n">
        <v>6</v>
      </c>
      <c r="D982" s="0" t="s">
        <v>2125</v>
      </c>
      <c r="E982" s="0" t="n">
        <v>42</v>
      </c>
      <c r="F982" s="0" t="s">
        <v>81</v>
      </c>
      <c r="I982" s="0" t="n">
        <v>4384</v>
      </c>
      <c r="J982" s="0" t="n">
        <v>37361</v>
      </c>
      <c r="K982" s="0" t="n">
        <v>2240817</v>
      </c>
      <c r="L982" s="0" t="s">
        <v>2124</v>
      </c>
      <c r="N982" s="0" t="n">
        <v>50</v>
      </c>
      <c r="O982" s="60" t="n">
        <v>100</v>
      </c>
    </row>
    <row r="983" customFormat="false" ht="15" hidden="false" customHeight="false" outlineLevel="0" collapsed="false">
      <c r="A983" s="0" t="n">
        <v>3</v>
      </c>
      <c r="B983" s="59" t="n">
        <v>46218</v>
      </c>
      <c r="C983" s="0" t="n">
        <v>6</v>
      </c>
      <c r="D983" s="0" t="s">
        <v>2125</v>
      </c>
      <c r="E983" s="0" t="n">
        <v>42</v>
      </c>
      <c r="F983" s="0" t="s">
        <v>81</v>
      </c>
      <c r="I983" s="0" t="n">
        <v>4385</v>
      </c>
      <c r="J983" s="0" t="n">
        <v>100103</v>
      </c>
      <c r="K983" s="0" t="n">
        <v>104</v>
      </c>
      <c r="L983" s="0" t="s">
        <v>2193</v>
      </c>
      <c r="N983" s="0" t="n">
        <v>20</v>
      </c>
      <c r="O983" s="60" t="n">
        <v>120</v>
      </c>
    </row>
    <row r="984" customFormat="false" ht="15" hidden="false" customHeight="false" outlineLevel="0" collapsed="false">
      <c r="A984" s="0" t="n">
        <v>3</v>
      </c>
      <c r="B984" s="59" t="n">
        <v>46218</v>
      </c>
      <c r="C984" s="0" t="n">
        <v>11</v>
      </c>
      <c r="D984" s="0" t="s">
        <v>2126</v>
      </c>
      <c r="E984" s="0" t="n">
        <v>1457</v>
      </c>
      <c r="F984" s="0" t="s">
        <v>180</v>
      </c>
      <c r="I984" s="0" t="n">
        <v>13083</v>
      </c>
      <c r="J984" s="0" t="n">
        <v>59521</v>
      </c>
      <c r="K984" s="0" t="n">
        <v>7896862002664</v>
      </c>
      <c r="L984" s="0" t="s">
        <v>2127</v>
      </c>
      <c r="N984" s="0" t="n">
        <v>10</v>
      </c>
      <c r="O984" s="60" t="n">
        <v>54.9</v>
      </c>
    </row>
    <row r="985" customFormat="false" ht="15" hidden="false" customHeight="false" outlineLevel="0" collapsed="false">
      <c r="A985" s="0" t="n">
        <v>3</v>
      </c>
      <c r="B985" s="59" t="n">
        <v>46218</v>
      </c>
      <c r="C985" s="0" t="n">
        <v>11</v>
      </c>
      <c r="D985" s="0" t="s">
        <v>2126</v>
      </c>
      <c r="E985" s="0" t="n">
        <v>1457</v>
      </c>
      <c r="F985" s="0" t="s">
        <v>180</v>
      </c>
      <c r="I985" s="0" t="n">
        <v>13083</v>
      </c>
      <c r="J985" s="0" t="n">
        <v>59522</v>
      </c>
      <c r="K985" s="0" t="n">
        <v>7896862002794</v>
      </c>
      <c r="L985" s="0" t="s">
        <v>2128</v>
      </c>
      <c r="N985" s="0" t="n">
        <v>10</v>
      </c>
      <c r="O985" s="60" t="n">
        <v>54.9</v>
      </c>
    </row>
    <row r="986" customFormat="false" ht="15" hidden="false" customHeight="false" outlineLevel="0" collapsed="false">
      <c r="A986" s="0" t="n">
        <v>3</v>
      </c>
      <c r="B986" s="59" t="n">
        <v>46218</v>
      </c>
      <c r="C986" s="0" t="n">
        <v>11</v>
      </c>
      <c r="D986" s="0" t="s">
        <v>2126</v>
      </c>
      <c r="E986" s="0" t="n">
        <v>1457</v>
      </c>
      <c r="F986" s="0" t="s">
        <v>180</v>
      </c>
      <c r="I986" s="0" t="n">
        <v>13083</v>
      </c>
      <c r="J986" s="0" t="n">
        <v>59542</v>
      </c>
      <c r="K986" s="0" t="n">
        <v>7896862000776</v>
      </c>
      <c r="L986" s="0" t="s">
        <v>2476</v>
      </c>
      <c r="N986" s="0" t="n">
        <v>3</v>
      </c>
      <c r="O986" s="60" t="n">
        <v>32.64</v>
      </c>
    </row>
    <row r="987" customFormat="false" ht="15" hidden="false" customHeight="false" outlineLevel="0" collapsed="false">
      <c r="A987" s="0" t="n">
        <v>3</v>
      </c>
      <c r="B987" s="59" t="n">
        <v>46218</v>
      </c>
      <c r="C987" s="0" t="n">
        <v>11</v>
      </c>
      <c r="D987" s="0" t="s">
        <v>2126</v>
      </c>
      <c r="E987" s="0" t="n">
        <v>1457</v>
      </c>
      <c r="F987" s="0" t="s">
        <v>180</v>
      </c>
      <c r="I987" s="0" t="n">
        <v>13083</v>
      </c>
      <c r="J987" s="0" t="n">
        <v>59720</v>
      </c>
      <c r="K987" s="0" t="n">
        <v>7896862002329</v>
      </c>
      <c r="L987" s="0" t="s">
        <v>2131</v>
      </c>
      <c r="N987" s="0" t="n">
        <v>3</v>
      </c>
      <c r="O987" s="60" t="n">
        <v>13.17</v>
      </c>
    </row>
    <row r="988" customFormat="false" ht="15" hidden="false" customHeight="false" outlineLevel="0" collapsed="false">
      <c r="A988" s="0" t="n">
        <v>3</v>
      </c>
      <c r="B988" s="59" t="n">
        <v>46218</v>
      </c>
      <c r="C988" s="0" t="n">
        <v>11</v>
      </c>
      <c r="D988" s="0" t="s">
        <v>2126</v>
      </c>
      <c r="E988" s="0" t="n">
        <v>1457</v>
      </c>
      <c r="F988" s="0" t="s">
        <v>180</v>
      </c>
      <c r="I988" s="0" t="n">
        <v>13083</v>
      </c>
      <c r="J988" s="0" t="n">
        <v>59722</v>
      </c>
      <c r="K988" s="0" t="n">
        <v>7896862001889</v>
      </c>
      <c r="L988" s="0" t="s">
        <v>2132</v>
      </c>
      <c r="N988" s="0" t="n">
        <v>3</v>
      </c>
      <c r="O988" s="60" t="n">
        <v>13.17</v>
      </c>
    </row>
    <row r="989" customFormat="false" ht="15" hidden="false" customHeight="false" outlineLevel="0" collapsed="false">
      <c r="A989" s="0" t="n">
        <v>3</v>
      </c>
      <c r="B989" s="59" t="n">
        <v>46218</v>
      </c>
      <c r="C989" s="0" t="n">
        <v>11</v>
      </c>
      <c r="D989" s="0" t="s">
        <v>2126</v>
      </c>
      <c r="E989" s="0" t="n">
        <v>1457</v>
      </c>
      <c r="F989" s="0" t="s">
        <v>180</v>
      </c>
      <c r="I989" s="0" t="n">
        <v>13083</v>
      </c>
      <c r="J989" s="0" t="n">
        <v>59724</v>
      </c>
      <c r="K989" s="0" t="n">
        <v>7896862001865</v>
      </c>
      <c r="L989" s="0" t="s">
        <v>2133</v>
      </c>
      <c r="N989" s="0" t="n">
        <v>3</v>
      </c>
      <c r="O989" s="60" t="n">
        <v>13.17</v>
      </c>
    </row>
    <row r="990" customFormat="false" ht="15" hidden="false" customHeight="false" outlineLevel="0" collapsed="false">
      <c r="A990" s="0" t="n">
        <v>3</v>
      </c>
      <c r="B990" s="59" t="n">
        <v>46218</v>
      </c>
      <c r="C990" s="0" t="n">
        <v>11</v>
      </c>
      <c r="D990" s="0" t="s">
        <v>2126</v>
      </c>
      <c r="E990" s="0" t="n">
        <v>1457</v>
      </c>
      <c r="F990" s="0" t="s">
        <v>180</v>
      </c>
      <c r="I990" s="0" t="n">
        <v>13083</v>
      </c>
      <c r="J990" s="0" t="n">
        <v>59736</v>
      </c>
      <c r="K990" s="0" t="n">
        <v>7896862002657</v>
      </c>
      <c r="L990" s="0" t="s">
        <v>2135</v>
      </c>
      <c r="N990" s="0" t="n">
        <v>10</v>
      </c>
      <c r="O990" s="60" t="n">
        <v>54.9</v>
      </c>
    </row>
    <row r="991" customFormat="false" ht="15" hidden="false" customHeight="false" outlineLevel="0" collapsed="false">
      <c r="A991" s="0" t="n">
        <v>3</v>
      </c>
      <c r="B991" s="59" t="n">
        <v>46218</v>
      </c>
      <c r="C991" s="0" t="n">
        <v>11</v>
      </c>
      <c r="D991" s="0" t="s">
        <v>2126</v>
      </c>
      <c r="E991" s="0" t="n">
        <v>1457</v>
      </c>
      <c r="F991" s="0" t="s">
        <v>180</v>
      </c>
      <c r="I991" s="0" t="n">
        <v>13083</v>
      </c>
      <c r="J991" s="0" t="n">
        <v>61844</v>
      </c>
      <c r="K991" s="0" t="n">
        <v>7896862003012</v>
      </c>
      <c r="L991" s="0" t="s">
        <v>2681</v>
      </c>
      <c r="N991" s="0" t="n">
        <v>3</v>
      </c>
      <c r="O991" s="60" t="n">
        <v>32.64</v>
      </c>
    </row>
    <row r="992" customFormat="false" ht="15" hidden="false" customHeight="false" outlineLevel="0" collapsed="false">
      <c r="A992" s="0" t="n">
        <v>3</v>
      </c>
      <c r="B992" s="59" t="n">
        <v>46218</v>
      </c>
      <c r="C992" s="0" t="n">
        <v>11</v>
      </c>
      <c r="D992" s="0" t="s">
        <v>2126</v>
      </c>
      <c r="E992" s="0" t="n">
        <v>1378</v>
      </c>
      <c r="F992" s="0" t="s">
        <v>121</v>
      </c>
      <c r="I992" s="0" t="n">
        <v>18208</v>
      </c>
      <c r="J992" s="0" t="n">
        <v>74061</v>
      </c>
      <c r="K992" s="0" t="n">
        <v>42882264255</v>
      </c>
      <c r="L992" s="0" t="s">
        <v>2297</v>
      </c>
      <c r="N992" s="0" t="n">
        <v>6</v>
      </c>
      <c r="O992" s="60" t="n">
        <v>30.6</v>
      </c>
    </row>
    <row r="993" customFormat="false" ht="15" hidden="false" customHeight="false" outlineLevel="0" collapsed="false">
      <c r="A993" s="0" t="n">
        <v>3</v>
      </c>
      <c r="B993" s="59" t="n">
        <v>46218</v>
      </c>
      <c r="C993" s="0" t="n">
        <v>11</v>
      </c>
      <c r="D993" s="0" t="s">
        <v>2126</v>
      </c>
      <c r="E993" s="0" t="n">
        <v>1378</v>
      </c>
      <c r="F993" s="0" t="s">
        <v>121</v>
      </c>
      <c r="I993" s="0" t="n">
        <v>18208</v>
      </c>
      <c r="J993" s="0" t="n">
        <v>74063</v>
      </c>
      <c r="K993" s="0" t="n">
        <v>42882264262</v>
      </c>
      <c r="L993" s="0" t="s">
        <v>2298</v>
      </c>
      <c r="N993" s="0" t="n">
        <v>7</v>
      </c>
      <c r="O993" s="60" t="n">
        <v>31.5</v>
      </c>
    </row>
    <row r="994" customFormat="false" ht="15" hidden="false" customHeight="false" outlineLevel="0" collapsed="false">
      <c r="A994" s="0" t="n">
        <v>3</v>
      </c>
      <c r="B994" s="59" t="n">
        <v>46218</v>
      </c>
      <c r="C994" s="0" t="n">
        <v>11</v>
      </c>
      <c r="D994" s="0" t="s">
        <v>2126</v>
      </c>
      <c r="E994" s="0" t="n">
        <v>1378</v>
      </c>
      <c r="F994" s="0" t="s">
        <v>121</v>
      </c>
      <c r="I994" s="0" t="n">
        <v>18208</v>
      </c>
      <c r="J994" s="0" t="n">
        <v>74064</v>
      </c>
      <c r="K994" s="0" t="n">
        <v>42882264279</v>
      </c>
      <c r="L994" s="0" t="s">
        <v>2299</v>
      </c>
      <c r="N994" s="0" t="n">
        <v>7</v>
      </c>
      <c r="O994" s="60" t="n">
        <v>33.6</v>
      </c>
    </row>
    <row r="995" customFormat="false" ht="15" hidden="false" customHeight="false" outlineLevel="0" collapsed="false">
      <c r="A995" s="0" t="n">
        <v>3</v>
      </c>
      <c r="B995" s="59" t="n">
        <v>46218</v>
      </c>
      <c r="C995" s="0" t="n">
        <v>11</v>
      </c>
      <c r="D995" s="0" t="s">
        <v>2126</v>
      </c>
      <c r="E995" s="0" t="n">
        <v>1378</v>
      </c>
      <c r="F995" s="0" t="s">
        <v>121</v>
      </c>
      <c r="I995" s="0" t="n">
        <v>18208</v>
      </c>
      <c r="J995" s="0" t="n">
        <v>77994</v>
      </c>
      <c r="K995" s="0" t="n">
        <v>780117</v>
      </c>
      <c r="L995" s="0" t="s">
        <v>2301</v>
      </c>
      <c r="N995" s="0" t="n">
        <v>22</v>
      </c>
      <c r="O995" s="60" t="n">
        <v>127.6</v>
      </c>
    </row>
    <row r="996" customFormat="false" ht="15" hidden="false" customHeight="false" outlineLevel="0" collapsed="false">
      <c r="A996" s="0" t="n">
        <v>3</v>
      </c>
      <c r="B996" s="59" t="n">
        <v>46218</v>
      </c>
      <c r="C996" s="0" t="n">
        <v>11</v>
      </c>
      <c r="D996" s="0" t="s">
        <v>2126</v>
      </c>
      <c r="E996" s="0" t="n">
        <v>1740</v>
      </c>
      <c r="F996" s="0" t="s">
        <v>171</v>
      </c>
      <c r="I996" s="0" t="n">
        <v>1247916</v>
      </c>
      <c r="J996" s="0" t="n">
        <v>106130</v>
      </c>
      <c r="K996" s="0" t="n">
        <v>7891000340004</v>
      </c>
      <c r="L996" s="0" t="s">
        <v>2158</v>
      </c>
      <c r="N996" s="0" t="n">
        <v>3</v>
      </c>
      <c r="O996" s="60" t="n">
        <v>11.34</v>
      </c>
    </row>
    <row r="997" customFormat="false" ht="15" hidden="false" customHeight="false" outlineLevel="0" collapsed="false">
      <c r="A997" s="0" t="n">
        <v>3</v>
      </c>
      <c r="B997" s="59" t="n">
        <v>46218</v>
      </c>
      <c r="C997" s="0" t="n">
        <v>11</v>
      </c>
      <c r="D997" s="0" t="s">
        <v>2126</v>
      </c>
      <c r="E997" s="0" t="n">
        <v>1740</v>
      </c>
      <c r="F997" s="0" t="s">
        <v>171</v>
      </c>
      <c r="I997" s="0" t="n">
        <v>1247916</v>
      </c>
      <c r="J997" s="0" t="n">
        <v>16602</v>
      </c>
      <c r="K997" s="0" t="n">
        <v>7891000084649</v>
      </c>
      <c r="L997" s="0" t="s">
        <v>2159</v>
      </c>
      <c r="N997" s="0" t="n">
        <v>6</v>
      </c>
      <c r="O997" s="60" t="n">
        <v>65.94</v>
      </c>
    </row>
    <row r="998" customFormat="false" ht="15" hidden="false" customHeight="false" outlineLevel="0" collapsed="false">
      <c r="A998" s="0" t="n">
        <v>3</v>
      </c>
      <c r="B998" s="59" t="n">
        <v>46218</v>
      </c>
      <c r="C998" s="0" t="n">
        <v>11</v>
      </c>
      <c r="D998" s="0" t="s">
        <v>2126</v>
      </c>
      <c r="E998" s="0" t="n">
        <v>1740</v>
      </c>
      <c r="F998" s="0" t="s">
        <v>171</v>
      </c>
      <c r="I998" s="0" t="n">
        <v>1247916</v>
      </c>
      <c r="J998" s="0" t="n">
        <v>16644</v>
      </c>
      <c r="K998" s="0" t="n">
        <v>7891000084663</v>
      </c>
      <c r="L998" s="0" t="s">
        <v>2160</v>
      </c>
      <c r="N998" s="0" t="n">
        <v>3</v>
      </c>
      <c r="O998" s="60" t="n">
        <v>32.97</v>
      </c>
    </row>
    <row r="999" customFormat="false" ht="15" hidden="false" customHeight="false" outlineLevel="0" collapsed="false">
      <c r="A999" s="0" t="n">
        <v>3</v>
      </c>
      <c r="B999" s="59" t="n">
        <v>46218</v>
      </c>
      <c r="C999" s="0" t="n">
        <v>11</v>
      </c>
      <c r="D999" s="0" t="s">
        <v>2126</v>
      </c>
      <c r="E999" s="0" t="n">
        <v>1740</v>
      </c>
      <c r="F999" s="0" t="s">
        <v>171</v>
      </c>
      <c r="I999" s="0" t="n">
        <v>1247916</v>
      </c>
      <c r="J999" s="0" t="n">
        <v>20021</v>
      </c>
      <c r="K999" s="0" t="n">
        <v>7891000103937</v>
      </c>
      <c r="L999" s="0" t="s">
        <v>2682</v>
      </c>
      <c r="N999" s="0" t="n">
        <v>3</v>
      </c>
      <c r="O999" s="60" t="n">
        <v>27.75</v>
      </c>
    </row>
    <row r="1000" customFormat="false" ht="15" hidden="false" customHeight="false" outlineLevel="0" collapsed="false">
      <c r="A1000" s="0" t="n">
        <v>3</v>
      </c>
      <c r="B1000" s="59" t="n">
        <v>46218</v>
      </c>
      <c r="C1000" s="0" t="n">
        <v>11</v>
      </c>
      <c r="D1000" s="0" t="s">
        <v>2126</v>
      </c>
      <c r="E1000" s="0" t="n">
        <v>1740</v>
      </c>
      <c r="F1000" s="0" t="s">
        <v>171</v>
      </c>
      <c r="I1000" s="0" t="n">
        <v>1247916</v>
      </c>
      <c r="J1000" s="0" t="n">
        <v>20583</v>
      </c>
      <c r="K1000" s="0" t="n">
        <v>7891000103852</v>
      </c>
      <c r="L1000" s="0" t="s">
        <v>2683</v>
      </c>
      <c r="N1000" s="0" t="n">
        <v>4</v>
      </c>
      <c r="O1000" s="60" t="n">
        <v>13.68</v>
      </c>
    </row>
    <row r="1001" customFormat="false" ht="15" hidden="false" customHeight="false" outlineLevel="0" collapsed="false">
      <c r="A1001" s="0" t="n">
        <v>3</v>
      </c>
      <c r="B1001" s="59" t="n">
        <v>46218</v>
      </c>
      <c r="C1001" s="0" t="n">
        <v>11</v>
      </c>
      <c r="D1001" s="0" t="s">
        <v>2126</v>
      </c>
      <c r="E1001" s="0" t="n">
        <v>1740</v>
      </c>
      <c r="F1001" s="0" t="s">
        <v>171</v>
      </c>
      <c r="I1001" s="0" t="n">
        <v>1247916</v>
      </c>
      <c r="J1001" s="0" t="n">
        <v>20584</v>
      </c>
      <c r="K1001" s="0" t="n">
        <v>7891000103876</v>
      </c>
      <c r="L1001" s="0" t="s">
        <v>2684</v>
      </c>
      <c r="N1001" s="0" t="n">
        <v>4</v>
      </c>
      <c r="O1001" s="60" t="n">
        <v>13.68</v>
      </c>
    </row>
    <row r="1002" customFormat="false" ht="15" hidden="false" customHeight="false" outlineLevel="0" collapsed="false">
      <c r="A1002" s="0" t="n">
        <v>3</v>
      </c>
      <c r="B1002" s="59" t="n">
        <v>46218</v>
      </c>
      <c r="C1002" s="0" t="n">
        <v>11</v>
      </c>
      <c r="D1002" s="0" t="s">
        <v>2126</v>
      </c>
      <c r="E1002" s="0" t="n">
        <v>1740</v>
      </c>
      <c r="F1002" s="0" t="s">
        <v>171</v>
      </c>
      <c r="I1002" s="0" t="n">
        <v>1247916</v>
      </c>
      <c r="J1002" s="0" t="n">
        <v>25112</v>
      </c>
      <c r="K1002" s="0" t="n">
        <v>7891000244425</v>
      </c>
      <c r="L1002" s="0" t="s">
        <v>2685</v>
      </c>
      <c r="N1002" s="0" t="n">
        <v>2</v>
      </c>
      <c r="O1002" s="60" t="n">
        <v>24.58</v>
      </c>
    </row>
    <row r="1003" customFormat="false" ht="15" hidden="false" customHeight="false" outlineLevel="0" collapsed="false">
      <c r="A1003" s="0" t="n">
        <v>3</v>
      </c>
      <c r="B1003" s="59" t="n">
        <v>46218</v>
      </c>
      <c r="C1003" s="0" t="n">
        <v>11</v>
      </c>
      <c r="D1003" s="0" t="s">
        <v>2126</v>
      </c>
      <c r="E1003" s="0" t="n">
        <v>1740</v>
      </c>
      <c r="F1003" s="0" t="s">
        <v>171</v>
      </c>
      <c r="I1003" s="0" t="n">
        <v>1247916</v>
      </c>
      <c r="J1003" s="0" t="n">
        <v>25413</v>
      </c>
      <c r="K1003" s="0" t="n">
        <v>7891000241417</v>
      </c>
      <c r="L1003" s="0" t="s">
        <v>2161</v>
      </c>
      <c r="N1003" s="0" t="n">
        <v>2</v>
      </c>
      <c r="O1003" s="60" t="n">
        <v>24.58</v>
      </c>
    </row>
    <row r="1004" customFormat="false" ht="15" hidden="false" customHeight="false" outlineLevel="0" collapsed="false">
      <c r="A1004" s="0" t="n">
        <v>3</v>
      </c>
      <c r="B1004" s="59" t="n">
        <v>46218</v>
      </c>
      <c r="C1004" s="0" t="n">
        <v>11</v>
      </c>
      <c r="D1004" s="0" t="s">
        <v>2126</v>
      </c>
      <c r="E1004" s="0" t="n">
        <v>1740</v>
      </c>
      <c r="F1004" s="0" t="s">
        <v>171</v>
      </c>
      <c r="I1004" s="0" t="n">
        <v>1247916</v>
      </c>
      <c r="J1004" s="0" t="n">
        <v>27878</v>
      </c>
      <c r="K1004" s="0" t="n">
        <v>7891000261026</v>
      </c>
      <c r="L1004" s="0" t="s">
        <v>2162</v>
      </c>
      <c r="N1004" s="0" t="n">
        <v>6</v>
      </c>
      <c r="O1004" s="60" t="n">
        <v>53.1</v>
      </c>
    </row>
    <row r="1005" customFormat="false" ht="15" hidden="false" customHeight="false" outlineLevel="0" collapsed="false">
      <c r="A1005" s="0" t="n">
        <v>3</v>
      </c>
      <c r="B1005" s="59" t="n">
        <v>46218</v>
      </c>
      <c r="C1005" s="0" t="n">
        <v>11</v>
      </c>
      <c r="D1005" s="0" t="s">
        <v>2126</v>
      </c>
      <c r="E1005" s="0" t="n">
        <v>1740</v>
      </c>
      <c r="F1005" s="0" t="s">
        <v>171</v>
      </c>
      <c r="I1005" s="0" t="n">
        <v>1247916</v>
      </c>
      <c r="J1005" s="0" t="n">
        <v>28388</v>
      </c>
      <c r="K1005" s="0" t="n">
        <v>7891000260166</v>
      </c>
      <c r="L1005" s="0" t="s">
        <v>2163</v>
      </c>
      <c r="N1005" s="0" t="n">
        <v>5</v>
      </c>
      <c r="O1005" s="60" t="n">
        <v>23.65</v>
      </c>
    </row>
    <row r="1006" customFormat="false" ht="15" hidden="false" customHeight="false" outlineLevel="0" collapsed="false">
      <c r="A1006" s="0" t="n">
        <v>3</v>
      </c>
      <c r="B1006" s="59" t="n">
        <v>46218</v>
      </c>
      <c r="C1006" s="0" t="n">
        <v>11</v>
      </c>
      <c r="D1006" s="0" t="s">
        <v>2126</v>
      </c>
      <c r="E1006" s="0" t="n">
        <v>1740</v>
      </c>
      <c r="F1006" s="0" t="s">
        <v>171</v>
      </c>
      <c r="I1006" s="0" t="n">
        <v>1247916</v>
      </c>
      <c r="J1006" s="0" t="n">
        <v>28389</v>
      </c>
      <c r="K1006" s="0" t="n">
        <v>7891000261460</v>
      </c>
      <c r="L1006" s="0" t="s">
        <v>2164</v>
      </c>
      <c r="N1006" s="0" t="n">
        <v>5</v>
      </c>
      <c r="O1006" s="60" t="n">
        <v>23.65</v>
      </c>
    </row>
    <row r="1007" customFormat="false" ht="15" hidden="false" customHeight="false" outlineLevel="0" collapsed="false">
      <c r="A1007" s="0" t="n">
        <v>3</v>
      </c>
      <c r="B1007" s="59" t="n">
        <v>46218</v>
      </c>
      <c r="C1007" s="0" t="n">
        <v>11</v>
      </c>
      <c r="D1007" s="0" t="s">
        <v>2126</v>
      </c>
      <c r="E1007" s="0" t="n">
        <v>1740</v>
      </c>
      <c r="F1007" s="0" t="s">
        <v>171</v>
      </c>
      <c r="I1007" s="0" t="n">
        <v>1247916</v>
      </c>
      <c r="J1007" s="0" t="n">
        <v>38519</v>
      </c>
      <c r="K1007" s="0" t="n">
        <v>7891000261002</v>
      </c>
      <c r="L1007" s="0" t="s">
        <v>2686</v>
      </c>
      <c r="N1007" s="0" t="n">
        <v>2</v>
      </c>
      <c r="O1007" s="60" t="n">
        <v>27.96</v>
      </c>
    </row>
    <row r="1008" customFormat="false" ht="15" hidden="false" customHeight="false" outlineLevel="0" collapsed="false">
      <c r="A1008" s="0" t="n">
        <v>3</v>
      </c>
      <c r="B1008" s="59" t="n">
        <v>46218</v>
      </c>
      <c r="C1008" s="0" t="n">
        <v>11</v>
      </c>
      <c r="D1008" s="0" t="s">
        <v>2126</v>
      </c>
      <c r="E1008" s="0" t="n">
        <v>1740</v>
      </c>
      <c r="F1008" s="0" t="s">
        <v>171</v>
      </c>
      <c r="I1008" s="0" t="n">
        <v>1247916</v>
      </c>
      <c r="J1008" s="0" t="n">
        <v>47789</v>
      </c>
      <c r="K1008" s="0" t="n">
        <v>7891000362037</v>
      </c>
      <c r="L1008" s="0" t="s">
        <v>2165</v>
      </c>
      <c r="N1008" s="0" t="n">
        <v>3</v>
      </c>
      <c r="O1008" s="60" t="n">
        <v>24.57</v>
      </c>
    </row>
    <row r="1009" customFormat="false" ht="15" hidden="false" customHeight="false" outlineLevel="0" collapsed="false">
      <c r="A1009" s="0" t="n">
        <v>3</v>
      </c>
      <c r="B1009" s="59" t="n">
        <v>46218</v>
      </c>
      <c r="C1009" s="0" t="n">
        <v>11</v>
      </c>
      <c r="D1009" s="0" t="s">
        <v>2126</v>
      </c>
      <c r="E1009" s="0" t="n">
        <v>1740</v>
      </c>
      <c r="F1009" s="0" t="s">
        <v>171</v>
      </c>
      <c r="I1009" s="0" t="n">
        <v>1247916</v>
      </c>
      <c r="J1009" s="0" t="n">
        <v>50424</v>
      </c>
      <c r="K1009" s="0" t="n">
        <v>7898953148169</v>
      </c>
      <c r="L1009" s="0" t="s">
        <v>2166</v>
      </c>
      <c r="N1009" s="0" t="n">
        <v>6</v>
      </c>
      <c r="O1009" s="60" t="n">
        <v>59.88</v>
      </c>
    </row>
    <row r="1010" customFormat="false" ht="15" hidden="false" customHeight="false" outlineLevel="0" collapsed="false">
      <c r="A1010" s="0" t="n">
        <v>3</v>
      </c>
      <c r="B1010" s="59" t="n">
        <v>46218</v>
      </c>
      <c r="C1010" s="0" t="n">
        <v>11</v>
      </c>
      <c r="D1010" s="0" t="s">
        <v>2126</v>
      </c>
      <c r="E1010" s="0" t="n">
        <v>1740</v>
      </c>
      <c r="F1010" s="0" t="s">
        <v>171</v>
      </c>
      <c r="I1010" s="0" t="n">
        <v>1247916</v>
      </c>
      <c r="J1010" s="0" t="n">
        <v>64099</v>
      </c>
      <c r="K1010" s="0" t="n">
        <v>7898953148619</v>
      </c>
      <c r="L1010" s="0" t="s">
        <v>2168</v>
      </c>
      <c r="N1010" s="0" t="n">
        <v>6</v>
      </c>
      <c r="O1010" s="60" t="n">
        <v>73.8</v>
      </c>
    </row>
    <row r="1011" customFormat="false" ht="15" hidden="false" customHeight="false" outlineLevel="0" collapsed="false">
      <c r="A1011" s="0" t="n">
        <v>3</v>
      </c>
      <c r="B1011" s="59" t="n">
        <v>46218</v>
      </c>
      <c r="C1011" s="0" t="n">
        <v>11</v>
      </c>
      <c r="D1011" s="0" t="s">
        <v>2126</v>
      </c>
      <c r="E1011" s="0" t="n">
        <v>1740</v>
      </c>
      <c r="F1011" s="0" t="s">
        <v>171</v>
      </c>
      <c r="I1011" s="0" t="n">
        <v>1247916</v>
      </c>
      <c r="J1011" s="0" t="n">
        <v>64795</v>
      </c>
      <c r="K1011" s="0" t="n">
        <v>7891097105739</v>
      </c>
      <c r="L1011" s="0" t="s">
        <v>2687</v>
      </c>
      <c r="N1011" s="0" t="n">
        <v>10</v>
      </c>
      <c r="O1011" s="60" t="n">
        <v>83.3</v>
      </c>
    </row>
    <row r="1012" customFormat="false" ht="15" hidden="false" customHeight="false" outlineLevel="0" collapsed="false">
      <c r="A1012" s="0" t="n">
        <v>3</v>
      </c>
      <c r="B1012" s="59" t="n">
        <v>46218</v>
      </c>
      <c r="C1012" s="0" t="n">
        <v>11</v>
      </c>
      <c r="D1012" s="0" t="s">
        <v>2126</v>
      </c>
      <c r="E1012" s="0" t="n">
        <v>1740</v>
      </c>
      <c r="F1012" s="0" t="s">
        <v>171</v>
      </c>
      <c r="I1012" s="0" t="n">
        <v>1247916</v>
      </c>
      <c r="J1012" s="0" t="n">
        <v>69214</v>
      </c>
      <c r="K1012" s="0" t="n">
        <v>7898755200041</v>
      </c>
      <c r="L1012" s="0" t="s">
        <v>2688</v>
      </c>
      <c r="N1012" s="0" t="n">
        <v>4</v>
      </c>
      <c r="O1012" s="60" t="n">
        <v>13.76</v>
      </c>
    </row>
    <row r="1013" customFormat="false" ht="15" hidden="false" customHeight="false" outlineLevel="0" collapsed="false">
      <c r="A1013" s="0" t="n">
        <v>3</v>
      </c>
      <c r="B1013" s="59" t="n">
        <v>46218</v>
      </c>
      <c r="C1013" s="0" t="n">
        <v>11</v>
      </c>
      <c r="D1013" s="0" t="s">
        <v>2126</v>
      </c>
      <c r="E1013" s="0" t="n">
        <v>1740</v>
      </c>
      <c r="F1013" s="0" t="s">
        <v>171</v>
      </c>
      <c r="I1013" s="0" t="n">
        <v>1247916</v>
      </c>
      <c r="J1013" s="0" t="n">
        <v>70021</v>
      </c>
      <c r="K1013" s="0" t="n">
        <v>7898755200065</v>
      </c>
      <c r="L1013" s="0" t="s">
        <v>2689</v>
      </c>
      <c r="N1013" s="0" t="n">
        <v>5</v>
      </c>
      <c r="O1013" s="60" t="n">
        <v>10.2</v>
      </c>
    </row>
    <row r="1014" customFormat="false" ht="15" hidden="false" customHeight="false" outlineLevel="0" collapsed="false">
      <c r="A1014" s="0" t="n">
        <v>3</v>
      </c>
      <c r="B1014" s="59" t="n">
        <v>46218</v>
      </c>
      <c r="C1014" s="0" t="n">
        <v>11</v>
      </c>
      <c r="D1014" s="0" t="s">
        <v>2126</v>
      </c>
      <c r="E1014" s="0" t="n">
        <v>1740</v>
      </c>
      <c r="F1014" s="0" t="s">
        <v>171</v>
      </c>
      <c r="I1014" s="0" t="n">
        <v>1247916</v>
      </c>
      <c r="J1014" s="0" t="n">
        <v>70023</v>
      </c>
      <c r="K1014" s="0" t="n">
        <v>7898953148275</v>
      </c>
      <c r="L1014" s="0" t="s">
        <v>2169</v>
      </c>
      <c r="N1014" s="0" t="n">
        <v>2</v>
      </c>
      <c r="O1014" s="60" t="n">
        <v>14.68</v>
      </c>
    </row>
    <row r="1015" customFormat="false" ht="15" hidden="false" customHeight="false" outlineLevel="0" collapsed="false">
      <c r="A1015" s="0" t="n">
        <v>3</v>
      </c>
      <c r="B1015" s="59" t="n">
        <v>46218</v>
      </c>
      <c r="C1015" s="0" t="n">
        <v>11</v>
      </c>
      <c r="D1015" s="0" t="s">
        <v>2126</v>
      </c>
      <c r="E1015" s="0" t="n">
        <v>1740</v>
      </c>
      <c r="F1015" s="0" t="s">
        <v>171</v>
      </c>
      <c r="I1015" s="0" t="n">
        <v>1247917</v>
      </c>
      <c r="J1015" s="0" t="n">
        <v>103803</v>
      </c>
      <c r="K1015" s="0" t="n">
        <v>7891164018399</v>
      </c>
      <c r="L1015" s="0" t="s">
        <v>2690</v>
      </c>
      <c r="N1015" s="0" t="n">
        <v>12</v>
      </c>
      <c r="O1015" s="60" t="n">
        <v>167.76</v>
      </c>
    </row>
    <row r="1016" customFormat="false" ht="15" hidden="false" customHeight="false" outlineLevel="0" collapsed="false">
      <c r="A1016" s="0" t="n">
        <v>3</v>
      </c>
      <c r="B1016" s="59" t="n">
        <v>46218</v>
      </c>
      <c r="C1016" s="0" t="n">
        <v>11</v>
      </c>
      <c r="D1016" s="0" t="s">
        <v>2126</v>
      </c>
      <c r="E1016" s="0" t="n">
        <v>1740</v>
      </c>
      <c r="F1016" s="0" t="s">
        <v>171</v>
      </c>
      <c r="I1016" s="0" t="n">
        <v>1247917</v>
      </c>
      <c r="J1016" s="0" t="n">
        <v>15459</v>
      </c>
      <c r="K1016" s="0" t="n">
        <v>7891164018214</v>
      </c>
      <c r="L1016" s="0" t="s">
        <v>2691</v>
      </c>
      <c r="N1016" s="0" t="n">
        <v>12</v>
      </c>
      <c r="O1016" s="60" t="n">
        <v>227.76</v>
      </c>
    </row>
    <row r="1017" customFormat="false" ht="15" hidden="false" customHeight="false" outlineLevel="0" collapsed="false">
      <c r="A1017" s="0" t="n">
        <v>3</v>
      </c>
      <c r="B1017" s="59" t="n">
        <v>46218</v>
      </c>
      <c r="C1017" s="0" t="n">
        <v>11</v>
      </c>
      <c r="D1017" s="0" t="s">
        <v>2126</v>
      </c>
      <c r="E1017" s="0" t="n">
        <v>1740</v>
      </c>
      <c r="F1017" s="0" t="s">
        <v>171</v>
      </c>
      <c r="I1017" s="0" t="n">
        <v>1247917</v>
      </c>
      <c r="J1017" s="0" t="n">
        <v>55039</v>
      </c>
      <c r="K1017" s="0" t="n">
        <v>7891164027117</v>
      </c>
      <c r="L1017" s="0" t="s">
        <v>2433</v>
      </c>
      <c r="N1017" s="0" t="n">
        <v>20</v>
      </c>
      <c r="O1017" s="60" t="n">
        <v>189.8</v>
      </c>
    </row>
    <row r="1018" customFormat="false" ht="15" hidden="false" customHeight="false" outlineLevel="0" collapsed="false">
      <c r="A1018" s="0" t="n">
        <v>3</v>
      </c>
      <c r="B1018" s="59" t="n">
        <v>46218</v>
      </c>
      <c r="C1018" s="0" t="n">
        <v>11</v>
      </c>
      <c r="D1018" s="0" t="s">
        <v>2126</v>
      </c>
      <c r="E1018" s="0" t="n">
        <v>1740</v>
      </c>
      <c r="F1018" s="0" t="s">
        <v>171</v>
      </c>
      <c r="I1018" s="0" t="n">
        <v>1247917</v>
      </c>
      <c r="J1018" s="0" t="n">
        <v>110530</v>
      </c>
      <c r="K1018" s="0" t="n">
        <v>57638</v>
      </c>
      <c r="L1018" s="0" t="s">
        <v>2576</v>
      </c>
      <c r="N1018" s="0" t="n">
        <v>25</v>
      </c>
      <c r="O1018" s="60" t="n">
        <v>574.5</v>
      </c>
    </row>
    <row r="1019" customFormat="false" ht="15" hidden="false" customHeight="false" outlineLevel="0" collapsed="false">
      <c r="A1019" s="0" t="n">
        <v>3</v>
      </c>
      <c r="B1019" s="59" t="n">
        <v>46218</v>
      </c>
      <c r="C1019" s="0" t="n">
        <v>11</v>
      </c>
      <c r="D1019" s="0" t="s">
        <v>2126</v>
      </c>
      <c r="E1019" s="0" t="n">
        <v>1740</v>
      </c>
      <c r="F1019" s="0" t="s">
        <v>171</v>
      </c>
      <c r="I1019" s="0" t="n">
        <v>1247917</v>
      </c>
      <c r="J1019" s="0" t="n">
        <v>63511</v>
      </c>
      <c r="K1019" s="0" t="n">
        <v>7891164027124</v>
      </c>
      <c r="L1019" s="0" t="s">
        <v>2692</v>
      </c>
      <c r="N1019" s="0" t="n">
        <v>20</v>
      </c>
      <c r="O1019" s="60" t="n">
        <v>189.8</v>
      </c>
    </row>
    <row r="1020" customFormat="false" ht="15" hidden="false" customHeight="false" outlineLevel="0" collapsed="false">
      <c r="A1020" s="0" t="n">
        <v>3</v>
      </c>
      <c r="B1020" s="59" t="n">
        <v>46218</v>
      </c>
      <c r="C1020" s="0" t="n">
        <v>11</v>
      </c>
      <c r="D1020" s="0" t="s">
        <v>2126</v>
      </c>
      <c r="E1020" s="0" t="n">
        <v>1740</v>
      </c>
      <c r="F1020" s="0" t="s">
        <v>171</v>
      </c>
      <c r="I1020" s="0" t="n">
        <v>1247917</v>
      </c>
      <c r="J1020" s="0" t="n">
        <v>65295</v>
      </c>
      <c r="K1020" s="0" t="n">
        <v>7891164110635</v>
      </c>
      <c r="L1020" s="0" t="s">
        <v>2578</v>
      </c>
      <c r="N1020" s="0" t="n">
        <v>16</v>
      </c>
      <c r="O1020" s="60" t="n">
        <v>113.25</v>
      </c>
    </row>
    <row r="1021" customFormat="false" ht="15" hidden="false" customHeight="false" outlineLevel="0" collapsed="false">
      <c r="A1021" s="0" t="n">
        <v>3</v>
      </c>
      <c r="B1021" s="59" t="n">
        <v>46218</v>
      </c>
      <c r="C1021" s="0" t="n">
        <v>11</v>
      </c>
      <c r="D1021" s="0" t="s">
        <v>2126</v>
      </c>
      <c r="E1021" s="0" t="n">
        <v>1740</v>
      </c>
      <c r="F1021" s="0" t="s">
        <v>171</v>
      </c>
      <c r="I1021" s="0" t="n">
        <v>1247917</v>
      </c>
      <c r="J1021" s="0" t="n">
        <v>67267</v>
      </c>
      <c r="K1021" s="0" t="n">
        <v>7891164110642</v>
      </c>
      <c r="L1021" s="0" t="s">
        <v>2693</v>
      </c>
      <c r="N1021" s="0" t="n">
        <v>16</v>
      </c>
      <c r="O1021" s="60" t="n">
        <v>104.03</v>
      </c>
    </row>
    <row r="1022" customFormat="false" ht="15" hidden="false" customHeight="false" outlineLevel="0" collapsed="false">
      <c r="A1022" s="0" t="n">
        <v>3</v>
      </c>
      <c r="B1022" s="59" t="n">
        <v>46218</v>
      </c>
      <c r="C1022" s="0" t="n">
        <v>11</v>
      </c>
      <c r="D1022" s="0" t="s">
        <v>2126</v>
      </c>
      <c r="E1022" s="0" t="n">
        <v>1740</v>
      </c>
      <c r="F1022" s="0" t="s">
        <v>171</v>
      </c>
      <c r="I1022" s="0" t="n">
        <v>1247917</v>
      </c>
      <c r="J1022" s="0" t="n">
        <v>79194</v>
      </c>
      <c r="K1022" s="0" t="n">
        <v>7891164006846</v>
      </c>
      <c r="L1022" s="0" t="s">
        <v>2694</v>
      </c>
      <c r="N1022" s="0" t="n">
        <v>15</v>
      </c>
      <c r="O1022" s="60" t="n">
        <v>114.95</v>
      </c>
    </row>
    <row r="1023" customFormat="false" ht="15" hidden="false" customHeight="false" outlineLevel="0" collapsed="false">
      <c r="A1023" s="0" t="n">
        <v>3</v>
      </c>
      <c r="B1023" s="59" t="n">
        <v>46218</v>
      </c>
      <c r="C1023" s="0" t="n">
        <v>11</v>
      </c>
      <c r="D1023" s="0" t="s">
        <v>2126</v>
      </c>
      <c r="E1023" s="0" t="n">
        <v>10009</v>
      </c>
      <c r="F1023" s="0" t="s">
        <v>375</v>
      </c>
      <c r="I1023" s="0" t="n">
        <v>1426526</v>
      </c>
      <c r="J1023" s="0" t="n">
        <v>102412</v>
      </c>
      <c r="K1023" s="0" t="n">
        <v>78912359</v>
      </c>
      <c r="L1023" s="0" t="s">
        <v>2695</v>
      </c>
      <c r="N1023" s="0" t="n">
        <v>150</v>
      </c>
      <c r="O1023" s="60" t="n">
        <v>221.77</v>
      </c>
    </row>
    <row r="1024" customFormat="false" ht="15" hidden="false" customHeight="false" outlineLevel="0" collapsed="false">
      <c r="A1024" s="0" t="n">
        <v>3</v>
      </c>
      <c r="B1024" s="59" t="n">
        <v>46218</v>
      </c>
      <c r="C1024" s="0" t="n">
        <v>11</v>
      </c>
      <c r="D1024" s="0" t="s">
        <v>2126</v>
      </c>
      <c r="E1024" s="0" t="n">
        <v>10009</v>
      </c>
      <c r="F1024" s="0" t="s">
        <v>375</v>
      </c>
      <c r="I1024" s="0" t="n">
        <v>1426526</v>
      </c>
      <c r="J1024" s="0" t="n">
        <v>103586</v>
      </c>
      <c r="K1024" s="0" t="n">
        <v>78907461</v>
      </c>
      <c r="L1024" s="0" t="s">
        <v>2696</v>
      </c>
      <c r="N1024" s="0" t="n">
        <v>15</v>
      </c>
      <c r="O1024" s="60" t="n">
        <v>43.78</v>
      </c>
    </row>
    <row r="1025" customFormat="false" ht="15" hidden="false" customHeight="false" outlineLevel="0" collapsed="false">
      <c r="A1025" s="0" t="n">
        <v>3</v>
      </c>
      <c r="B1025" s="59" t="n">
        <v>46218</v>
      </c>
      <c r="C1025" s="0" t="n">
        <v>11</v>
      </c>
      <c r="D1025" s="0" t="s">
        <v>2126</v>
      </c>
      <c r="E1025" s="0" t="n">
        <v>10009</v>
      </c>
      <c r="F1025" s="0" t="s">
        <v>375</v>
      </c>
      <c r="I1025" s="0" t="n">
        <v>1426526</v>
      </c>
      <c r="J1025" s="0" t="n">
        <v>103587</v>
      </c>
      <c r="K1025" s="0" t="n">
        <v>78907492</v>
      </c>
      <c r="L1025" s="0" t="s">
        <v>2697</v>
      </c>
      <c r="N1025" s="0" t="n">
        <v>15</v>
      </c>
      <c r="O1025" s="60" t="n">
        <v>43.78</v>
      </c>
    </row>
    <row r="1026" customFormat="false" ht="15" hidden="false" customHeight="false" outlineLevel="0" collapsed="false">
      <c r="A1026" s="0" t="n">
        <v>3</v>
      </c>
      <c r="B1026" s="59" t="n">
        <v>46218</v>
      </c>
      <c r="C1026" s="0" t="n">
        <v>11</v>
      </c>
      <c r="D1026" s="0" t="s">
        <v>2126</v>
      </c>
      <c r="E1026" s="0" t="n">
        <v>10009</v>
      </c>
      <c r="F1026" s="0" t="s">
        <v>375</v>
      </c>
      <c r="I1026" s="0" t="n">
        <v>1426526</v>
      </c>
      <c r="J1026" s="0" t="n">
        <v>104691</v>
      </c>
      <c r="K1026" s="0" t="n">
        <v>78907478</v>
      </c>
      <c r="L1026" s="0" t="s">
        <v>2698</v>
      </c>
      <c r="N1026" s="0" t="n">
        <v>15</v>
      </c>
      <c r="O1026" s="60" t="n">
        <v>43.78</v>
      </c>
    </row>
    <row r="1027" customFormat="false" ht="15" hidden="false" customHeight="false" outlineLevel="0" collapsed="false">
      <c r="A1027" s="0" t="n">
        <v>3</v>
      </c>
      <c r="B1027" s="59" t="n">
        <v>46218</v>
      </c>
      <c r="C1027" s="0" t="n">
        <v>11</v>
      </c>
      <c r="D1027" s="0" t="s">
        <v>2126</v>
      </c>
      <c r="E1027" s="0" t="n">
        <v>10009</v>
      </c>
      <c r="F1027" s="0" t="s">
        <v>375</v>
      </c>
      <c r="I1027" s="0" t="n">
        <v>1426526</v>
      </c>
      <c r="J1027" s="0" t="n">
        <v>18833</v>
      </c>
      <c r="K1027" s="0" t="n">
        <v>7891000098950</v>
      </c>
      <c r="L1027" s="0" t="s">
        <v>2699</v>
      </c>
      <c r="N1027" s="0" t="n">
        <v>12</v>
      </c>
      <c r="O1027" s="60" t="n">
        <v>71.21</v>
      </c>
    </row>
    <row r="1028" customFormat="false" ht="15" hidden="false" customHeight="false" outlineLevel="0" collapsed="false">
      <c r="A1028" s="0" t="n">
        <v>3</v>
      </c>
      <c r="B1028" s="59" t="n">
        <v>46218</v>
      </c>
      <c r="C1028" s="0" t="n">
        <v>11</v>
      </c>
      <c r="D1028" s="0" t="s">
        <v>2126</v>
      </c>
      <c r="E1028" s="0" t="n">
        <v>10009</v>
      </c>
      <c r="F1028" s="0" t="s">
        <v>375</v>
      </c>
      <c r="I1028" s="0" t="n">
        <v>1426526</v>
      </c>
      <c r="J1028" s="0" t="n">
        <v>24768</v>
      </c>
      <c r="K1028" s="0" t="n">
        <v>78912366</v>
      </c>
      <c r="L1028" s="0" t="s">
        <v>2700</v>
      </c>
      <c r="N1028" s="0" t="n">
        <v>60</v>
      </c>
      <c r="O1028" s="60" t="n">
        <v>88.7</v>
      </c>
    </row>
    <row r="1029" customFormat="false" ht="15" hidden="false" customHeight="false" outlineLevel="0" collapsed="false">
      <c r="A1029" s="0" t="n">
        <v>3</v>
      </c>
      <c r="B1029" s="59" t="n">
        <v>46218</v>
      </c>
      <c r="C1029" s="0" t="n">
        <v>11</v>
      </c>
      <c r="D1029" s="0" t="s">
        <v>2126</v>
      </c>
      <c r="E1029" s="0" t="n">
        <v>10009</v>
      </c>
      <c r="F1029" s="0" t="s">
        <v>375</v>
      </c>
      <c r="I1029" s="0" t="n">
        <v>1426526</v>
      </c>
      <c r="J1029" s="0" t="n">
        <v>24776</v>
      </c>
      <c r="K1029" s="0" t="n">
        <v>78930230</v>
      </c>
      <c r="L1029" s="0" t="s">
        <v>2701</v>
      </c>
      <c r="N1029" s="0" t="n">
        <v>60</v>
      </c>
      <c r="O1029" s="60" t="n">
        <v>88.71</v>
      </c>
    </row>
    <row r="1030" customFormat="false" ht="15" hidden="false" customHeight="false" outlineLevel="0" collapsed="false">
      <c r="A1030" s="0" t="n">
        <v>3</v>
      </c>
      <c r="B1030" s="59" t="n">
        <v>46218</v>
      </c>
      <c r="C1030" s="0" t="n">
        <v>11</v>
      </c>
      <c r="D1030" s="0" t="s">
        <v>2126</v>
      </c>
      <c r="E1030" s="0" t="n">
        <v>10009</v>
      </c>
      <c r="F1030" s="0" t="s">
        <v>375</v>
      </c>
      <c r="I1030" s="0" t="n">
        <v>1426526</v>
      </c>
      <c r="J1030" s="0" t="n">
        <v>38797</v>
      </c>
      <c r="K1030" s="0" t="n">
        <v>78930193</v>
      </c>
      <c r="L1030" s="0" t="s">
        <v>2702</v>
      </c>
      <c r="N1030" s="0" t="n">
        <v>60</v>
      </c>
      <c r="O1030" s="60" t="n">
        <v>88.71</v>
      </c>
    </row>
    <row r="1031" customFormat="false" ht="15" hidden="false" customHeight="false" outlineLevel="0" collapsed="false">
      <c r="A1031" s="0" t="n">
        <v>3</v>
      </c>
      <c r="B1031" s="59" t="n">
        <v>46218</v>
      </c>
      <c r="C1031" s="0" t="n">
        <v>11</v>
      </c>
      <c r="D1031" s="0" t="s">
        <v>2126</v>
      </c>
      <c r="E1031" s="0" t="n">
        <v>10009</v>
      </c>
      <c r="F1031" s="0" t="s">
        <v>375</v>
      </c>
      <c r="I1031" s="0" t="n">
        <v>1426526</v>
      </c>
      <c r="J1031" s="0" t="n">
        <v>47560</v>
      </c>
      <c r="K1031" s="0" t="n">
        <v>7891000319505</v>
      </c>
      <c r="L1031" s="0" t="s">
        <v>2703</v>
      </c>
      <c r="N1031" s="0" t="n">
        <v>24</v>
      </c>
      <c r="O1031" s="60" t="n">
        <v>141.03</v>
      </c>
    </row>
    <row r="1032" customFormat="false" ht="15" hidden="false" customHeight="false" outlineLevel="0" collapsed="false">
      <c r="A1032" s="0" t="n">
        <v>3</v>
      </c>
      <c r="B1032" s="59" t="n">
        <v>46218</v>
      </c>
      <c r="C1032" s="0" t="n">
        <v>11</v>
      </c>
      <c r="D1032" s="0" t="s">
        <v>2126</v>
      </c>
      <c r="E1032" s="0" t="n">
        <v>10009</v>
      </c>
      <c r="F1032" s="0" t="s">
        <v>375</v>
      </c>
      <c r="I1032" s="0" t="n">
        <v>1426526</v>
      </c>
      <c r="J1032" s="0" t="n">
        <v>47563</v>
      </c>
      <c r="K1032" s="0" t="n">
        <v>7891000319543</v>
      </c>
      <c r="L1032" s="0" t="s">
        <v>2704</v>
      </c>
      <c r="N1032" s="0" t="n">
        <v>24</v>
      </c>
      <c r="O1032" s="60" t="n">
        <v>141.03</v>
      </c>
    </row>
    <row r="1033" customFormat="false" ht="15" hidden="false" customHeight="false" outlineLevel="0" collapsed="false">
      <c r="A1033" s="0" t="n">
        <v>3</v>
      </c>
      <c r="B1033" s="59" t="n">
        <v>46218</v>
      </c>
      <c r="C1033" s="0" t="n">
        <v>11</v>
      </c>
      <c r="D1033" s="0" t="s">
        <v>2126</v>
      </c>
      <c r="E1033" s="0" t="n">
        <v>10009</v>
      </c>
      <c r="F1033" s="0" t="s">
        <v>375</v>
      </c>
      <c r="I1033" s="0" t="n">
        <v>1426526</v>
      </c>
      <c r="J1033" s="0" t="n">
        <v>47564</v>
      </c>
      <c r="K1033" s="0" t="n">
        <v>7891000319628</v>
      </c>
      <c r="L1033" s="0" t="s">
        <v>2705</v>
      </c>
      <c r="N1033" s="0" t="n">
        <v>24</v>
      </c>
      <c r="O1033" s="60" t="n">
        <v>141.03</v>
      </c>
    </row>
    <row r="1034" customFormat="false" ht="15" hidden="false" customHeight="false" outlineLevel="0" collapsed="false">
      <c r="A1034" s="0" t="n">
        <v>3</v>
      </c>
      <c r="B1034" s="59" t="n">
        <v>46218</v>
      </c>
      <c r="C1034" s="0" t="n">
        <v>11</v>
      </c>
      <c r="D1034" s="0" t="s">
        <v>2126</v>
      </c>
      <c r="E1034" s="0" t="n">
        <v>10009</v>
      </c>
      <c r="F1034" s="0" t="s">
        <v>375</v>
      </c>
      <c r="I1034" s="0" t="n">
        <v>1426592</v>
      </c>
      <c r="J1034" s="0" t="n">
        <v>40074</v>
      </c>
      <c r="K1034" s="0" t="n">
        <v>7891008121773</v>
      </c>
      <c r="L1034" s="0" t="s">
        <v>2706</v>
      </c>
      <c r="N1034" s="0" t="n">
        <v>12</v>
      </c>
      <c r="O1034" s="60" t="n">
        <v>95.28</v>
      </c>
    </row>
    <row r="1035" customFormat="false" ht="15" hidden="false" customHeight="false" outlineLevel="0" collapsed="false">
      <c r="A1035" s="0" t="n">
        <v>3</v>
      </c>
      <c r="B1035" s="59" t="n">
        <v>46218</v>
      </c>
      <c r="C1035" s="0" t="n">
        <v>11</v>
      </c>
      <c r="D1035" s="0" t="s">
        <v>2126</v>
      </c>
      <c r="E1035" s="0" t="n">
        <v>10009</v>
      </c>
      <c r="F1035" s="0" t="s">
        <v>375</v>
      </c>
      <c r="I1035" s="0" t="n">
        <v>1426592</v>
      </c>
      <c r="J1035" s="0" t="n">
        <v>40081</v>
      </c>
      <c r="K1035" s="0" t="n">
        <v>7891008121728</v>
      </c>
      <c r="L1035" s="0" t="s">
        <v>2707</v>
      </c>
      <c r="N1035" s="0" t="n">
        <v>12</v>
      </c>
      <c r="O1035" s="60" t="n">
        <v>95.28</v>
      </c>
    </row>
    <row r="1036" customFormat="false" ht="15" hidden="false" customHeight="false" outlineLevel="0" collapsed="false">
      <c r="A1036" s="0" t="n">
        <v>3</v>
      </c>
      <c r="B1036" s="59" t="n">
        <v>46218</v>
      </c>
      <c r="C1036" s="0" t="n">
        <v>11</v>
      </c>
      <c r="D1036" s="0" t="s">
        <v>2126</v>
      </c>
      <c r="E1036" s="0" t="n">
        <v>10009</v>
      </c>
      <c r="F1036" s="0" t="s">
        <v>375</v>
      </c>
      <c r="I1036" s="0" t="n">
        <v>1426592</v>
      </c>
      <c r="J1036" s="0" t="n">
        <v>40217</v>
      </c>
      <c r="K1036" s="0" t="n">
        <v>7891008121827</v>
      </c>
      <c r="L1036" s="0" t="s">
        <v>2708</v>
      </c>
      <c r="N1036" s="0" t="n">
        <v>12</v>
      </c>
      <c r="O1036" s="60" t="n">
        <v>95.28</v>
      </c>
    </row>
    <row r="1037" customFormat="false" ht="15" hidden="false" customHeight="false" outlineLevel="0" collapsed="false">
      <c r="A1037" s="0" t="n">
        <v>3</v>
      </c>
      <c r="B1037" s="59" t="n">
        <v>46218</v>
      </c>
      <c r="C1037" s="0" t="n">
        <v>11</v>
      </c>
      <c r="D1037" s="0" t="s">
        <v>2126</v>
      </c>
      <c r="E1037" s="0" t="n">
        <v>10009</v>
      </c>
      <c r="F1037" s="0" t="s">
        <v>375</v>
      </c>
      <c r="I1037" s="0" t="n">
        <v>1426592</v>
      </c>
      <c r="J1037" s="0" t="n">
        <v>50552</v>
      </c>
      <c r="K1037" s="0" t="n">
        <v>7891000369340</v>
      </c>
      <c r="L1037" s="0" t="s">
        <v>2709</v>
      </c>
      <c r="N1037" s="0" t="n">
        <v>24</v>
      </c>
      <c r="O1037" s="60" t="n">
        <v>123.71</v>
      </c>
    </row>
    <row r="1038" customFormat="false" ht="15" hidden="false" customHeight="false" outlineLevel="0" collapsed="false">
      <c r="A1038" s="0" t="n">
        <v>3</v>
      </c>
      <c r="B1038" s="59" t="n">
        <v>46218</v>
      </c>
      <c r="C1038" s="0" t="n">
        <v>11</v>
      </c>
      <c r="D1038" s="0" t="s">
        <v>2126</v>
      </c>
      <c r="E1038" s="0" t="n">
        <v>10009</v>
      </c>
      <c r="F1038" s="0" t="s">
        <v>375</v>
      </c>
      <c r="I1038" s="0" t="n">
        <v>1426592</v>
      </c>
      <c r="J1038" s="0" t="n">
        <v>51145</v>
      </c>
      <c r="K1038" s="0" t="n">
        <v>7891008124828</v>
      </c>
      <c r="L1038" s="0" t="s">
        <v>2710</v>
      </c>
      <c r="N1038" s="0" t="n">
        <v>16</v>
      </c>
      <c r="O1038" s="60" t="n">
        <v>109.97</v>
      </c>
    </row>
    <row r="1039" customFormat="false" ht="15" hidden="false" customHeight="false" outlineLevel="0" collapsed="false">
      <c r="A1039" s="0" t="n">
        <v>3</v>
      </c>
      <c r="B1039" s="59" t="n">
        <v>46218</v>
      </c>
      <c r="C1039" s="0" t="n">
        <v>11</v>
      </c>
      <c r="D1039" s="0" t="s">
        <v>2126</v>
      </c>
      <c r="E1039" s="0" t="n">
        <v>10009</v>
      </c>
      <c r="F1039" s="0" t="s">
        <v>375</v>
      </c>
      <c r="I1039" s="0" t="n">
        <v>1426592</v>
      </c>
      <c r="J1039" s="0" t="n">
        <v>51146</v>
      </c>
      <c r="K1039" s="0" t="n">
        <v>7891008123975</v>
      </c>
      <c r="L1039" s="0" t="s">
        <v>2711</v>
      </c>
      <c r="N1039" s="0" t="n">
        <v>16</v>
      </c>
      <c r="O1039" s="60" t="n">
        <v>109.97</v>
      </c>
    </row>
    <row r="1040" customFormat="false" ht="15" hidden="false" customHeight="false" outlineLevel="0" collapsed="false">
      <c r="A1040" s="0" t="n">
        <v>3</v>
      </c>
      <c r="B1040" s="59" t="n">
        <v>46218</v>
      </c>
      <c r="C1040" s="0" t="n">
        <v>11</v>
      </c>
      <c r="D1040" s="0" t="s">
        <v>2126</v>
      </c>
      <c r="E1040" s="0" t="n">
        <v>10009</v>
      </c>
      <c r="F1040" s="0" t="s">
        <v>375</v>
      </c>
      <c r="I1040" s="0" t="n">
        <v>1426592</v>
      </c>
      <c r="J1040" s="0" t="n">
        <v>51705</v>
      </c>
      <c r="K1040" s="0" t="n">
        <v>7891008124026</v>
      </c>
      <c r="L1040" s="0" t="s">
        <v>2712</v>
      </c>
      <c r="N1040" s="0" t="n">
        <v>16</v>
      </c>
      <c r="O1040" s="60" t="n">
        <v>109.97</v>
      </c>
    </row>
    <row r="1041" customFormat="false" ht="15" hidden="false" customHeight="false" outlineLevel="0" collapsed="false">
      <c r="A1041" s="0" t="n">
        <v>3</v>
      </c>
      <c r="B1041" s="59" t="n">
        <v>46218</v>
      </c>
      <c r="C1041" s="0" t="n">
        <v>11</v>
      </c>
      <c r="D1041" s="0" t="s">
        <v>2126</v>
      </c>
      <c r="E1041" s="0" t="n">
        <v>10009</v>
      </c>
      <c r="F1041" s="0" t="s">
        <v>375</v>
      </c>
      <c r="I1041" s="0" t="n">
        <v>1426592</v>
      </c>
      <c r="J1041" s="0" t="n">
        <v>53486</v>
      </c>
      <c r="K1041" s="0" t="n">
        <v>7891008125214</v>
      </c>
      <c r="L1041" s="0" t="s">
        <v>2713</v>
      </c>
      <c r="N1041" s="0" t="n">
        <v>16</v>
      </c>
      <c r="O1041" s="60" t="n">
        <v>109.98</v>
      </c>
    </row>
    <row r="1042" customFormat="false" ht="15" hidden="false" customHeight="false" outlineLevel="0" collapsed="false">
      <c r="A1042" s="0" t="n">
        <v>3</v>
      </c>
      <c r="B1042" s="59" t="n">
        <v>46218</v>
      </c>
      <c r="C1042" s="0" t="n">
        <v>11</v>
      </c>
      <c r="D1042" s="0" t="s">
        <v>2126</v>
      </c>
      <c r="E1042" s="0" t="n">
        <v>10009</v>
      </c>
      <c r="F1042" s="0" t="s">
        <v>375</v>
      </c>
      <c r="I1042" s="0" t="n">
        <v>1426592</v>
      </c>
      <c r="J1042" s="0" t="n">
        <v>54317</v>
      </c>
      <c r="K1042" s="0" t="n">
        <v>7891000358764</v>
      </c>
      <c r="L1042" s="0" t="s">
        <v>2714</v>
      </c>
      <c r="N1042" s="0" t="n">
        <v>6</v>
      </c>
      <c r="O1042" s="60" t="n">
        <v>81.87</v>
      </c>
    </row>
    <row r="1043" customFormat="false" ht="15" hidden="false" customHeight="false" outlineLevel="0" collapsed="false">
      <c r="A1043" s="0" t="n">
        <v>3</v>
      </c>
      <c r="B1043" s="59" t="n">
        <v>46218</v>
      </c>
      <c r="C1043" s="0" t="n">
        <v>11</v>
      </c>
      <c r="D1043" s="0" t="s">
        <v>2126</v>
      </c>
      <c r="E1043" s="0" t="n">
        <v>10009</v>
      </c>
      <c r="F1043" s="0" t="s">
        <v>375</v>
      </c>
      <c r="I1043" s="0" t="n">
        <v>1426592</v>
      </c>
      <c r="J1043" s="0" t="n">
        <v>63187</v>
      </c>
      <c r="K1043" s="0" t="n">
        <v>7891000397107</v>
      </c>
      <c r="L1043" s="0" t="s">
        <v>2715</v>
      </c>
      <c r="N1043" s="0" t="n">
        <v>16</v>
      </c>
      <c r="O1043" s="60" t="n">
        <v>109.97</v>
      </c>
    </row>
    <row r="1044" customFormat="false" ht="15" hidden="false" customHeight="false" outlineLevel="0" collapsed="false">
      <c r="A1044" s="0" t="n">
        <v>3</v>
      </c>
      <c r="B1044" s="59" t="n">
        <v>46218</v>
      </c>
      <c r="C1044" s="0" t="n">
        <v>171</v>
      </c>
      <c r="D1044" s="0" t="s">
        <v>2182</v>
      </c>
      <c r="E1044" s="0" t="n">
        <v>1740</v>
      </c>
      <c r="F1044" s="0" t="s">
        <v>171</v>
      </c>
      <c r="I1044" s="0" t="n">
        <v>1247915</v>
      </c>
      <c r="J1044" s="0" t="n">
        <v>14219</v>
      </c>
      <c r="K1044" s="0" t="n">
        <v>7891000072950</v>
      </c>
      <c r="L1044" s="0" t="s">
        <v>2183</v>
      </c>
      <c r="N1044" s="0" t="n">
        <v>3</v>
      </c>
      <c r="O1044" s="60" t="n">
        <v>13.62</v>
      </c>
    </row>
    <row r="1045" customFormat="false" ht="15" hidden="false" customHeight="false" outlineLevel="0" collapsed="false">
      <c r="A1045" s="0" t="n">
        <v>3</v>
      </c>
      <c r="B1045" s="59" t="n">
        <v>46218</v>
      </c>
      <c r="C1045" s="0" t="n">
        <v>171</v>
      </c>
      <c r="D1045" s="0" t="s">
        <v>2182</v>
      </c>
      <c r="E1045" s="0" t="n">
        <v>1740</v>
      </c>
      <c r="F1045" s="0" t="s">
        <v>171</v>
      </c>
      <c r="I1045" s="0" t="n">
        <v>1247915</v>
      </c>
      <c r="J1045" s="0" t="n">
        <v>20583</v>
      </c>
      <c r="K1045" s="0" t="n">
        <v>7891000103852</v>
      </c>
      <c r="L1045" s="0" t="s">
        <v>2683</v>
      </c>
      <c r="N1045" s="0" t="n">
        <v>3</v>
      </c>
      <c r="O1045" s="60" t="n">
        <v>10.26</v>
      </c>
    </row>
    <row r="1046" customFormat="false" ht="15" hidden="false" customHeight="false" outlineLevel="0" collapsed="false">
      <c r="A1046" s="0" t="n">
        <v>3</v>
      </c>
      <c r="B1046" s="59" t="n">
        <v>46218</v>
      </c>
      <c r="C1046" s="0" t="n">
        <v>171</v>
      </c>
      <c r="D1046" s="0" t="s">
        <v>2182</v>
      </c>
      <c r="E1046" s="0" t="n">
        <v>1740</v>
      </c>
      <c r="F1046" s="0" t="s">
        <v>171</v>
      </c>
      <c r="I1046" s="0" t="n">
        <v>1247915</v>
      </c>
      <c r="J1046" s="0" t="n">
        <v>28388</v>
      </c>
      <c r="K1046" s="0" t="n">
        <v>7891000260166</v>
      </c>
      <c r="L1046" s="0" t="s">
        <v>2163</v>
      </c>
      <c r="N1046" s="0" t="n">
        <v>3</v>
      </c>
      <c r="O1046" s="60" t="n">
        <v>14.19</v>
      </c>
    </row>
    <row r="1047" customFormat="false" ht="15" hidden="false" customHeight="false" outlineLevel="0" collapsed="false">
      <c r="A1047" s="0" t="n">
        <v>3</v>
      </c>
      <c r="B1047" s="59" t="n">
        <v>46218</v>
      </c>
      <c r="C1047" s="0" t="n">
        <v>171</v>
      </c>
      <c r="D1047" s="0" t="s">
        <v>2182</v>
      </c>
      <c r="E1047" s="0" t="n">
        <v>1740</v>
      </c>
      <c r="F1047" s="0" t="s">
        <v>171</v>
      </c>
      <c r="I1047" s="0" t="n">
        <v>1247915</v>
      </c>
      <c r="J1047" s="0" t="n">
        <v>47789</v>
      </c>
      <c r="K1047" s="0" t="n">
        <v>7891000362037</v>
      </c>
      <c r="L1047" s="0" t="s">
        <v>2165</v>
      </c>
      <c r="N1047" s="0" t="n">
        <v>3</v>
      </c>
      <c r="O1047" s="60" t="n">
        <v>24.57</v>
      </c>
    </row>
    <row r="1048" customFormat="false" ht="15" hidden="false" customHeight="false" outlineLevel="0" collapsed="false">
      <c r="A1048" s="0" t="n">
        <v>3</v>
      </c>
      <c r="B1048" s="59" t="n">
        <v>46219</v>
      </c>
      <c r="C1048" s="0" t="n">
        <v>6</v>
      </c>
      <c r="D1048" s="0" t="s">
        <v>2125</v>
      </c>
      <c r="E1048" s="0" t="n">
        <v>42</v>
      </c>
      <c r="F1048" s="0" t="s">
        <v>81</v>
      </c>
      <c r="I1048" s="0" t="n">
        <v>4386</v>
      </c>
      <c r="J1048" s="0" t="n">
        <v>72679</v>
      </c>
      <c r="K1048" s="0" t="n">
        <v>246</v>
      </c>
      <c r="L1048" s="0" t="s">
        <v>2195</v>
      </c>
      <c r="N1048" s="0" t="n">
        <v>20</v>
      </c>
      <c r="O1048" s="60" t="n">
        <v>280</v>
      </c>
    </row>
    <row r="1049" customFormat="false" ht="15" hidden="false" customHeight="false" outlineLevel="0" collapsed="false">
      <c r="A1049" s="0" t="n">
        <v>3</v>
      </c>
      <c r="B1049" s="59" t="n">
        <v>46219</v>
      </c>
      <c r="C1049" s="0" t="n">
        <v>6</v>
      </c>
      <c r="D1049" s="0" t="s">
        <v>2125</v>
      </c>
      <c r="E1049" s="0" t="n">
        <v>42</v>
      </c>
      <c r="F1049" s="0" t="s">
        <v>81</v>
      </c>
      <c r="I1049" s="0" t="n">
        <v>4387</v>
      </c>
      <c r="J1049" s="0" t="n">
        <v>100103</v>
      </c>
      <c r="K1049" s="0" t="n">
        <v>104</v>
      </c>
      <c r="L1049" s="0" t="s">
        <v>2193</v>
      </c>
      <c r="N1049" s="0" t="n">
        <v>40</v>
      </c>
      <c r="O1049" s="60" t="n">
        <v>240</v>
      </c>
    </row>
    <row r="1050" customFormat="false" ht="15" hidden="false" customHeight="false" outlineLevel="0" collapsed="false">
      <c r="A1050" s="0" t="n">
        <v>3</v>
      </c>
      <c r="B1050" s="59" t="n">
        <v>46219</v>
      </c>
      <c r="C1050" s="0" t="n">
        <v>6</v>
      </c>
      <c r="D1050" s="0" t="s">
        <v>2125</v>
      </c>
      <c r="E1050" s="0" t="n">
        <v>42</v>
      </c>
      <c r="F1050" s="0" t="s">
        <v>81</v>
      </c>
      <c r="I1050" s="0" t="n">
        <v>4388</v>
      </c>
      <c r="J1050" s="0" t="n">
        <v>109791</v>
      </c>
      <c r="K1050" s="0" t="n">
        <v>9667</v>
      </c>
      <c r="L1050" s="0" t="s">
        <v>2123</v>
      </c>
      <c r="N1050" s="0" t="n">
        <v>20</v>
      </c>
      <c r="O1050" s="60" t="n">
        <v>40</v>
      </c>
    </row>
    <row r="1051" customFormat="false" ht="15" hidden="false" customHeight="false" outlineLevel="0" collapsed="false">
      <c r="A1051" s="0" t="n">
        <v>3</v>
      </c>
      <c r="B1051" s="59" t="n">
        <v>46219</v>
      </c>
      <c r="C1051" s="0" t="n">
        <v>6</v>
      </c>
      <c r="D1051" s="0" t="s">
        <v>2125</v>
      </c>
      <c r="E1051" s="0" t="n">
        <v>42</v>
      </c>
      <c r="F1051" s="0" t="s">
        <v>81</v>
      </c>
      <c r="I1051" s="0" t="n">
        <v>4388</v>
      </c>
      <c r="J1051" s="0" t="n">
        <v>37359</v>
      </c>
      <c r="K1051" s="0" t="n">
        <v>55526</v>
      </c>
      <c r="L1051" s="0" t="s">
        <v>2194</v>
      </c>
      <c r="N1051" s="0" t="n">
        <v>8</v>
      </c>
      <c r="O1051" s="60" t="n">
        <v>20</v>
      </c>
    </row>
    <row r="1052" customFormat="false" ht="15" hidden="false" customHeight="false" outlineLevel="0" collapsed="false">
      <c r="A1052" s="0" t="n">
        <v>3</v>
      </c>
      <c r="B1052" s="59" t="n">
        <v>46219</v>
      </c>
      <c r="C1052" s="0" t="n">
        <v>6</v>
      </c>
      <c r="D1052" s="0" t="s">
        <v>2125</v>
      </c>
      <c r="E1052" s="0" t="n">
        <v>42</v>
      </c>
      <c r="F1052" s="0" t="s">
        <v>81</v>
      </c>
      <c r="I1052" s="0" t="n">
        <v>4388</v>
      </c>
      <c r="J1052" s="0" t="n">
        <v>37361</v>
      </c>
      <c r="K1052" s="0" t="n">
        <v>2240817</v>
      </c>
      <c r="L1052" s="0" t="s">
        <v>2124</v>
      </c>
      <c r="N1052" s="0" t="n">
        <v>5</v>
      </c>
      <c r="O1052" s="60" t="n">
        <v>25</v>
      </c>
    </row>
    <row r="1053" customFormat="false" ht="15" hidden="false" customHeight="false" outlineLevel="0" collapsed="false">
      <c r="A1053" s="0" t="n">
        <v>3</v>
      </c>
      <c r="B1053" s="59" t="n">
        <v>46219</v>
      </c>
      <c r="C1053" s="0" t="n">
        <v>6</v>
      </c>
      <c r="D1053" s="0" t="s">
        <v>2125</v>
      </c>
      <c r="E1053" s="0" t="n">
        <v>42</v>
      </c>
      <c r="F1053" s="0" t="s">
        <v>81</v>
      </c>
      <c r="I1053" s="0" t="n">
        <v>4389</v>
      </c>
      <c r="J1053" s="0" t="n">
        <v>100112</v>
      </c>
      <c r="K1053" s="0" t="n">
        <v>113</v>
      </c>
      <c r="L1053" s="0" t="s">
        <v>2263</v>
      </c>
      <c r="N1053" s="0" t="n">
        <v>23.98</v>
      </c>
      <c r="O1053" s="60" t="n">
        <v>59.95</v>
      </c>
    </row>
    <row r="1054" customFormat="false" ht="15" hidden="false" customHeight="false" outlineLevel="0" collapsed="false">
      <c r="A1054" s="0" t="n">
        <v>3</v>
      </c>
      <c r="B1054" s="59" t="n">
        <v>46219</v>
      </c>
      <c r="C1054" s="0" t="n">
        <v>11</v>
      </c>
      <c r="D1054" s="0" t="s">
        <v>2126</v>
      </c>
      <c r="E1054" s="0" t="n">
        <v>1122</v>
      </c>
      <c r="F1054" s="0" t="s">
        <v>1248</v>
      </c>
      <c r="I1054" s="0" t="n">
        <v>12877</v>
      </c>
      <c r="J1054" s="0" t="n">
        <v>50209</v>
      </c>
      <c r="K1054" s="0" t="n">
        <v>7891253251959</v>
      </c>
      <c r="L1054" s="0" t="s">
        <v>2716</v>
      </c>
      <c r="N1054" s="0" t="n">
        <v>6</v>
      </c>
      <c r="O1054" s="60" t="n">
        <v>77.8</v>
      </c>
    </row>
    <row r="1055" customFormat="false" ht="15" hidden="false" customHeight="false" outlineLevel="0" collapsed="false">
      <c r="A1055" s="0" t="n">
        <v>3</v>
      </c>
      <c r="B1055" s="59" t="n">
        <v>46219</v>
      </c>
      <c r="C1055" s="0" t="n">
        <v>11</v>
      </c>
      <c r="D1055" s="0" t="s">
        <v>2126</v>
      </c>
      <c r="E1055" s="0" t="n">
        <v>1122</v>
      </c>
      <c r="F1055" s="0" t="s">
        <v>1248</v>
      </c>
      <c r="I1055" s="0" t="n">
        <v>12877</v>
      </c>
      <c r="J1055" s="0" t="n">
        <v>37068</v>
      </c>
      <c r="K1055" s="0" t="n">
        <v>7891253264188</v>
      </c>
      <c r="L1055" s="0" t="s">
        <v>2717</v>
      </c>
      <c r="N1055" s="0" t="n">
        <v>6</v>
      </c>
      <c r="O1055" s="60" t="n">
        <v>97.8</v>
      </c>
    </row>
    <row r="1056" customFormat="false" ht="15" hidden="false" customHeight="false" outlineLevel="0" collapsed="false">
      <c r="A1056" s="0" t="n">
        <v>3</v>
      </c>
      <c r="B1056" s="59" t="n">
        <v>46219</v>
      </c>
      <c r="C1056" s="0" t="n">
        <v>11</v>
      </c>
      <c r="D1056" s="0" t="s">
        <v>2126</v>
      </c>
      <c r="E1056" s="0" t="n">
        <v>1122</v>
      </c>
      <c r="F1056" s="0" t="s">
        <v>1248</v>
      </c>
      <c r="I1056" s="0" t="n">
        <v>12877</v>
      </c>
      <c r="J1056" s="0" t="n">
        <v>37069</v>
      </c>
      <c r="K1056" s="0" t="n">
        <v>7891253264195</v>
      </c>
      <c r="L1056" s="0" t="s">
        <v>2718</v>
      </c>
      <c r="N1056" s="0" t="n">
        <v>6</v>
      </c>
      <c r="O1056" s="60" t="n">
        <v>97.8</v>
      </c>
    </row>
    <row r="1057" customFormat="false" ht="15" hidden="false" customHeight="false" outlineLevel="0" collapsed="false">
      <c r="A1057" s="0" t="n">
        <v>3</v>
      </c>
      <c r="B1057" s="59" t="n">
        <v>46219</v>
      </c>
      <c r="C1057" s="0" t="n">
        <v>11</v>
      </c>
      <c r="D1057" s="0" t="s">
        <v>2126</v>
      </c>
      <c r="E1057" s="0" t="n">
        <v>1122</v>
      </c>
      <c r="F1057" s="0" t="s">
        <v>1248</v>
      </c>
      <c r="I1057" s="0" t="n">
        <v>12877</v>
      </c>
      <c r="J1057" s="0" t="n">
        <v>42757</v>
      </c>
      <c r="K1057" s="0" t="n">
        <v>7891253269664</v>
      </c>
      <c r="L1057" s="0" t="s">
        <v>2719</v>
      </c>
      <c r="N1057" s="0" t="n">
        <v>6</v>
      </c>
      <c r="O1057" s="60" t="n">
        <v>98</v>
      </c>
    </row>
    <row r="1058" customFormat="false" ht="15" hidden="false" customHeight="false" outlineLevel="0" collapsed="false">
      <c r="A1058" s="0" t="n">
        <v>3</v>
      </c>
      <c r="B1058" s="59" t="n">
        <v>46219</v>
      </c>
      <c r="C1058" s="0" t="n">
        <v>11</v>
      </c>
      <c r="D1058" s="0" t="s">
        <v>2126</v>
      </c>
      <c r="E1058" s="0" t="n">
        <v>1122</v>
      </c>
      <c r="F1058" s="0" t="s">
        <v>1248</v>
      </c>
      <c r="I1058" s="0" t="n">
        <v>12877</v>
      </c>
      <c r="J1058" s="0" t="n">
        <v>44447</v>
      </c>
      <c r="K1058" s="0" t="n">
        <v>7894494666056</v>
      </c>
      <c r="L1058" s="0" t="s">
        <v>2720</v>
      </c>
      <c r="N1058" s="0" t="n">
        <v>60</v>
      </c>
      <c r="O1058" s="60" t="n">
        <v>162</v>
      </c>
    </row>
    <row r="1059" customFormat="false" ht="15" hidden="false" customHeight="false" outlineLevel="0" collapsed="false">
      <c r="A1059" s="0" t="n">
        <v>3</v>
      </c>
      <c r="B1059" s="59" t="n">
        <v>46219</v>
      </c>
      <c r="C1059" s="0" t="n">
        <v>11</v>
      </c>
      <c r="D1059" s="0" t="s">
        <v>2126</v>
      </c>
      <c r="E1059" s="0" t="n">
        <v>1122</v>
      </c>
      <c r="F1059" s="0" t="s">
        <v>1248</v>
      </c>
      <c r="I1059" s="0" t="n">
        <v>12877</v>
      </c>
      <c r="J1059" s="0" t="n">
        <v>65084</v>
      </c>
      <c r="K1059" s="0" t="n">
        <v>2260464</v>
      </c>
      <c r="L1059" s="0" t="s">
        <v>2721</v>
      </c>
      <c r="N1059" s="0" t="n">
        <v>50</v>
      </c>
      <c r="O1059" s="60" t="n">
        <v>91.31</v>
      </c>
    </row>
    <row r="1060" customFormat="false" ht="15" hidden="false" customHeight="false" outlineLevel="0" collapsed="false">
      <c r="A1060" s="0" t="n">
        <v>3</v>
      </c>
      <c r="B1060" s="59" t="n">
        <v>46219</v>
      </c>
      <c r="C1060" s="0" t="n">
        <v>11</v>
      </c>
      <c r="D1060" s="0" t="s">
        <v>2126</v>
      </c>
      <c r="E1060" s="0" t="n">
        <v>1122</v>
      </c>
      <c r="F1060" s="0" t="s">
        <v>1248</v>
      </c>
      <c r="I1060" s="0" t="n">
        <v>12877</v>
      </c>
      <c r="J1060" s="0" t="n">
        <v>71258</v>
      </c>
      <c r="K1060" s="0" t="n">
        <v>742832414654</v>
      </c>
      <c r="L1060" s="0" t="s">
        <v>2722</v>
      </c>
      <c r="N1060" s="0" t="n">
        <v>30</v>
      </c>
      <c r="O1060" s="60" t="n">
        <v>179.7</v>
      </c>
    </row>
    <row r="1061" customFormat="false" ht="15" hidden="false" customHeight="false" outlineLevel="0" collapsed="false">
      <c r="A1061" s="0" t="n">
        <v>3</v>
      </c>
      <c r="B1061" s="59" t="n">
        <v>46219</v>
      </c>
      <c r="C1061" s="0" t="n">
        <v>11</v>
      </c>
      <c r="D1061" s="0" t="s">
        <v>2126</v>
      </c>
      <c r="E1061" s="0" t="n">
        <v>1122</v>
      </c>
      <c r="F1061" s="0" t="s">
        <v>1248</v>
      </c>
      <c r="I1061" s="0" t="n">
        <v>12877</v>
      </c>
      <c r="J1061" s="0" t="n">
        <v>71259</v>
      </c>
      <c r="K1061" s="0" t="n">
        <v>742832356770</v>
      </c>
      <c r="L1061" s="0" t="s">
        <v>2723</v>
      </c>
      <c r="N1061" s="0" t="n">
        <v>25</v>
      </c>
      <c r="O1061" s="60" t="n">
        <v>77.25</v>
      </c>
    </row>
    <row r="1062" customFormat="false" ht="15" hidden="false" customHeight="false" outlineLevel="0" collapsed="false">
      <c r="A1062" s="0" t="n">
        <v>3</v>
      </c>
      <c r="B1062" s="59" t="n">
        <v>46219</v>
      </c>
      <c r="C1062" s="0" t="n">
        <v>11</v>
      </c>
      <c r="D1062" s="0" t="s">
        <v>2126</v>
      </c>
      <c r="E1062" s="0" t="n">
        <v>1122</v>
      </c>
      <c r="F1062" s="0" t="s">
        <v>1248</v>
      </c>
      <c r="I1062" s="0" t="n">
        <v>12877</v>
      </c>
      <c r="J1062" s="0" t="n">
        <v>71435</v>
      </c>
      <c r="K1062" s="0" t="n">
        <v>7891253283295</v>
      </c>
      <c r="L1062" s="0" t="s">
        <v>2724</v>
      </c>
      <c r="N1062" s="0" t="n">
        <v>6</v>
      </c>
      <c r="O1062" s="60" t="n">
        <v>79.8</v>
      </c>
    </row>
    <row r="1063" customFormat="false" ht="15" hidden="false" customHeight="false" outlineLevel="0" collapsed="false">
      <c r="A1063" s="0" t="n">
        <v>3</v>
      </c>
      <c r="B1063" s="59" t="n">
        <v>46219</v>
      </c>
      <c r="C1063" s="0" t="n">
        <v>11</v>
      </c>
      <c r="D1063" s="0" t="s">
        <v>2126</v>
      </c>
      <c r="E1063" s="0" t="n">
        <v>1122</v>
      </c>
      <c r="F1063" s="0" t="s">
        <v>1248</v>
      </c>
      <c r="I1063" s="0" t="n">
        <v>12877</v>
      </c>
      <c r="J1063" s="0" t="n">
        <v>71713</v>
      </c>
      <c r="K1063" s="0" t="n">
        <v>7891253283301</v>
      </c>
      <c r="L1063" s="0" t="s">
        <v>2725</v>
      </c>
      <c r="N1063" s="0" t="n">
        <v>6</v>
      </c>
      <c r="O1063" s="60" t="n">
        <v>99.8</v>
      </c>
    </row>
    <row r="1064" customFormat="false" ht="15" hidden="false" customHeight="false" outlineLevel="0" collapsed="false">
      <c r="A1064" s="0" t="n">
        <v>3</v>
      </c>
      <c r="B1064" s="59" t="n">
        <v>46219</v>
      </c>
      <c r="C1064" s="0" t="n">
        <v>11</v>
      </c>
      <c r="D1064" s="0" t="s">
        <v>2126</v>
      </c>
      <c r="E1064" s="0" t="n">
        <v>1122</v>
      </c>
      <c r="F1064" s="0" t="s">
        <v>1248</v>
      </c>
      <c r="I1064" s="0" t="n">
        <v>12877</v>
      </c>
      <c r="J1064" s="0" t="n">
        <v>71714</v>
      </c>
      <c r="K1064" s="0" t="n">
        <v>7891253283318</v>
      </c>
      <c r="L1064" s="0" t="s">
        <v>2726</v>
      </c>
      <c r="N1064" s="0" t="n">
        <v>4</v>
      </c>
      <c r="O1064" s="60" t="n">
        <v>83.8</v>
      </c>
    </row>
    <row r="1065" customFormat="false" ht="15" hidden="false" customHeight="false" outlineLevel="0" collapsed="false">
      <c r="A1065" s="0" t="n">
        <v>3</v>
      </c>
      <c r="B1065" s="59" t="n">
        <v>46219</v>
      </c>
      <c r="C1065" s="0" t="n">
        <v>11</v>
      </c>
      <c r="D1065" s="0" t="s">
        <v>2126</v>
      </c>
      <c r="E1065" s="0" t="n">
        <v>1122</v>
      </c>
      <c r="F1065" s="0" t="s">
        <v>1248</v>
      </c>
      <c r="I1065" s="0" t="n">
        <v>12877</v>
      </c>
      <c r="J1065" s="0" t="n">
        <v>81736</v>
      </c>
      <c r="K1065" s="0" t="n">
        <v>7891253283806</v>
      </c>
      <c r="L1065" s="0" t="s">
        <v>2727</v>
      </c>
      <c r="N1065" s="0" t="n">
        <v>10</v>
      </c>
      <c r="O1065" s="60" t="n">
        <v>76</v>
      </c>
    </row>
    <row r="1066" customFormat="false" ht="15" hidden="false" customHeight="false" outlineLevel="0" collapsed="false">
      <c r="A1066" s="0" t="n">
        <v>3</v>
      </c>
      <c r="B1066" s="59" t="n">
        <v>46219</v>
      </c>
      <c r="C1066" s="0" t="n">
        <v>11</v>
      </c>
      <c r="D1066" s="0" t="s">
        <v>2126</v>
      </c>
      <c r="E1066" s="0" t="n">
        <v>1122</v>
      </c>
      <c r="F1066" s="0" t="s">
        <v>1248</v>
      </c>
      <c r="I1066" s="0" t="n">
        <v>12877</v>
      </c>
      <c r="J1066" s="0" t="n">
        <v>81737</v>
      </c>
      <c r="K1066" s="0" t="n">
        <v>7891253286586</v>
      </c>
      <c r="L1066" s="0" t="s">
        <v>2728</v>
      </c>
      <c r="N1066" s="0" t="n">
        <v>10</v>
      </c>
      <c r="O1066" s="60" t="n">
        <v>114</v>
      </c>
    </row>
    <row r="1067" customFormat="false" ht="15" hidden="false" customHeight="false" outlineLevel="0" collapsed="false">
      <c r="A1067" s="0" t="n">
        <v>3</v>
      </c>
      <c r="B1067" s="59" t="n">
        <v>46219</v>
      </c>
      <c r="C1067" s="0" t="n">
        <v>11</v>
      </c>
      <c r="D1067" s="0" t="s">
        <v>2126</v>
      </c>
      <c r="E1067" s="0" t="n">
        <v>1122</v>
      </c>
      <c r="F1067" s="0" t="s">
        <v>1248</v>
      </c>
      <c r="I1067" s="0" t="n">
        <v>12877</v>
      </c>
      <c r="J1067" s="0" t="n">
        <v>81738</v>
      </c>
      <c r="K1067" s="0" t="n">
        <v>7891253285626</v>
      </c>
      <c r="L1067" s="0" t="s">
        <v>2729</v>
      </c>
      <c r="N1067" s="0" t="n">
        <v>6</v>
      </c>
      <c r="O1067" s="60" t="n">
        <v>97.8</v>
      </c>
    </row>
    <row r="1068" customFormat="false" ht="15" hidden="false" customHeight="false" outlineLevel="0" collapsed="false">
      <c r="A1068" s="0" t="n">
        <v>3</v>
      </c>
      <c r="B1068" s="59" t="n">
        <v>46219</v>
      </c>
      <c r="C1068" s="0" t="n">
        <v>11</v>
      </c>
      <c r="D1068" s="0" t="s">
        <v>2126</v>
      </c>
      <c r="E1068" s="0" t="n">
        <v>1122</v>
      </c>
      <c r="F1068" s="0" t="s">
        <v>1248</v>
      </c>
      <c r="I1068" s="0" t="n">
        <v>12877</v>
      </c>
      <c r="J1068" s="0" t="n">
        <v>81739</v>
      </c>
      <c r="K1068" s="0" t="n">
        <v>7891253285749</v>
      </c>
      <c r="L1068" s="0" t="s">
        <v>2730</v>
      </c>
      <c r="N1068" s="0" t="n">
        <v>6</v>
      </c>
      <c r="O1068" s="60" t="n">
        <v>79.8</v>
      </c>
    </row>
    <row r="1069" customFormat="false" ht="15" hidden="false" customHeight="false" outlineLevel="0" collapsed="false">
      <c r="A1069" s="0" t="n">
        <v>3</v>
      </c>
      <c r="B1069" s="59" t="n">
        <v>46219</v>
      </c>
      <c r="C1069" s="0" t="n">
        <v>11</v>
      </c>
      <c r="D1069" s="0" t="s">
        <v>2126</v>
      </c>
      <c r="E1069" s="0" t="n">
        <v>1122</v>
      </c>
      <c r="F1069" s="0" t="s">
        <v>1248</v>
      </c>
      <c r="I1069" s="0" t="n">
        <v>12877</v>
      </c>
      <c r="J1069" s="0" t="n">
        <v>81740</v>
      </c>
      <c r="K1069" s="0" t="n">
        <v>7891253285756</v>
      </c>
      <c r="L1069" s="0" t="s">
        <v>2731</v>
      </c>
      <c r="N1069" s="0" t="n">
        <v>6</v>
      </c>
      <c r="O1069" s="60" t="n">
        <v>99.8</v>
      </c>
    </row>
    <row r="1070" customFormat="false" ht="15" hidden="false" customHeight="false" outlineLevel="0" collapsed="false">
      <c r="A1070" s="0" t="n">
        <v>3</v>
      </c>
      <c r="B1070" s="59" t="n">
        <v>46219</v>
      </c>
      <c r="C1070" s="0" t="n">
        <v>11</v>
      </c>
      <c r="D1070" s="0" t="s">
        <v>2126</v>
      </c>
      <c r="E1070" s="0" t="n">
        <v>1122</v>
      </c>
      <c r="F1070" s="0" t="s">
        <v>1248</v>
      </c>
      <c r="I1070" s="0" t="n">
        <v>12877</v>
      </c>
      <c r="J1070" s="0" t="n">
        <v>81741</v>
      </c>
      <c r="K1070" s="0" t="n">
        <v>7891253285886</v>
      </c>
      <c r="L1070" s="0" t="s">
        <v>2732</v>
      </c>
      <c r="N1070" s="0" t="n">
        <v>6</v>
      </c>
      <c r="O1070" s="60" t="n">
        <v>97.8</v>
      </c>
    </row>
    <row r="1071" customFormat="false" ht="15" hidden="false" customHeight="false" outlineLevel="0" collapsed="false">
      <c r="A1071" s="0" t="n">
        <v>3</v>
      </c>
      <c r="B1071" s="59" t="n">
        <v>46219</v>
      </c>
      <c r="C1071" s="0" t="n">
        <v>11</v>
      </c>
      <c r="D1071" s="0" t="s">
        <v>2126</v>
      </c>
      <c r="E1071" s="0" t="n">
        <v>1122</v>
      </c>
      <c r="F1071" s="0" t="s">
        <v>1248</v>
      </c>
      <c r="I1071" s="0" t="n">
        <v>12877</v>
      </c>
      <c r="J1071" s="0" t="n">
        <v>81742</v>
      </c>
      <c r="K1071" s="0" t="n">
        <v>742832414678</v>
      </c>
      <c r="L1071" s="0" t="s">
        <v>2733</v>
      </c>
      <c r="N1071" s="0" t="n">
        <v>30</v>
      </c>
      <c r="O1071" s="60" t="n">
        <v>134.7</v>
      </c>
    </row>
    <row r="1072" customFormat="false" ht="15" hidden="false" customHeight="false" outlineLevel="0" collapsed="false">
      <c r="A1072" s="0" t="n">
        <v>3</v>
      </c>
      <c r="B1072" s="59" t="n">
        <v>46219</v>
      </c>
      <c r="C1072" s="0" t="n">
        <v>11</v>
      </c>
      <c r="D1072" s="0" t="s">
        <v>2126</v>
      </c>
      <c r="E1072" s="0" t="n">
        <v>1642</v>
      </c>
      <c r="F1072" s="0" t="s">
        <v>276</v>
      </c>
      <c r="I1072" s="0" t="n">
        <v>1032054</v>
      </c>
      <c r="J1072" s="0" t="n">
        <v>104335</v>
      </c>
      <c r="K1072" s="0" t="n">
        <v>7896289210512</v>
      </c>
      <c r="L1072" s="0" t="s">
        <v>2734</v>
      </c>
      <c r="N1072" s="0" t="n">
        <v>6</v>
      </c>
      <c r="O1072" s="60" t="n">
        <v>51.6</v>
      </c>
    </row>
    <row r="1073" customFormat="false" ht="15" hidden="false" customHeight="false" outlineLevel="0" collapsed="false">
      <c r="A1073" s="0" t="n">
        <v>3</v>
      </c>
      <c r="B1073" s="59" t="n">
        <v>46219</v>
      </c>
      <c r="C1073" s="0" t="n">
        <v>11</v>
      </c>
      <c r="D1073" s="0" t="s">
        <v>2126</v>
      </c>
      <c r="E1073" s="0" t="n">
        <v>1642</v>
      </c>
      <c r="F1073" s="0" t="s">
        <v>276</v>
      </c>
      <c r="I1073" s="0" t="n">
        <v>1032054</v>
      </c>
      <c r="J1073" s="0" t="n">
        <v>105780</v>
      </c>
      <c r="K1073" s="0" t="n">
        <v>7896289210017</v>
      </c>
      <c r="L1073" s="0" t="s">
        <v>2186</v>
      </c>
      <c r="N1073" s="0" t="n">
        <v>10</v>
      </c>
      <c r="O1073" s="60" t="n">
        <v>106.7</v>
      </c>
    </row>
    <row r="1074" customFormat="false" ht="15" hidden="false" customHeight="false" outlineLevel="0" collapsed="false">
      <c r="A1074" s="0" t="n">
        <v>3</v>
      </c>
      <c r="B1074" s="59" t="n">
        <v>46219</v>
      </c>
      <c r="C1074" s="0" t="n">
        <v>11</v>
      </c>
      <c r="D1074" s="0" t="s">
        <v>2126</v>
      </c>
      <c r="E1074" s="0" t="n">
        <v>1642</v>
      </c>
      <c r="F1074" s="0" t="s">
        <v>276</v>
      </c>
      <c r="I1074" s="0" t="n">
        <v>1032054</v>
      </c>
      <c r="J1074" s="0" t="n">
        <v>105782</v>
      </c>
      <c r="K1074" s="0" t="n">
        <v>7896289210352</v>
      </c>
      <c r="L1074" s="0" t="s">
        <v>2187</v>
      </c>
      <c r="N1074" s="0" t="n">
        <v>6</v>
      </c>
      <c r="O1074" s="60" t="n">
        <v>41.16</v>
      </c>
    </row>
    <row r="1075" customFormat="false" ht="15" hidden="false" customHeight="false" outlineLevel="0" collapsed="false">
      <c r="A1075" s="0" t="n">
        <v>3</v>
      </c>
      <c r="B1075" s="59" t="n">
        <v>46219</v>
      </c>
      <c r="C1075" s="0" t="n">
        <v>11</v>
      </c>
      <c r="D1075" s="0" t="s">
        <v>2126</v>
      </c>
      <c r="E1075" s="0" t="n">
        <v>1642</v>
      </c>
      <c r="F1075" s="0" t="s">
        <v>276</v>
      </c>
      <c r="I1075" s="0" t="n">
        <v>1032054</v>
      </c>
      <c r="J1075" s="0" t="n">
        <v>106079</v>
      </c>
      <c r="K1075" s="0" t="n">
        <v>7896289210130</v>
      </c>
      <c r="L1075" s="0" t="s">
        <v>2188</v>
      </c>
      <c r="N1075" s="0" t="n">
        <v>6</v>
      </c>
      <c r="O1075" s="60" t="n">
        <v>82.2</v>
      </c>
    </row>
    <row r="1076" customFormat="false" ht="15" hidden="false" customHeight="false" outlineLevel="0" collapsed="false">
      <c r="A1076" s="0" t="n">
        <v>3</v>
      </c>
      <c r="B1076" s="59" t="n">
        <v>46219</v>
      </c>
      <c r="C1076" s="0" t="n">
        <v>11</v>
      </c>
      <c r="D1076" s="0" t="s">
        <v>2126</v>
      </c>
      <c r="E1076" s="0" t="n">
        <v>1642</v>
      </c>
      <c r="F1076" s="0" t="s">
        <v>276</v>
      </c>
      <c r="I1076" s="0" t="n">
        <v>1032054</v>
      </c>
      <c r="J1076" s="0" t="n">
        <v>106274</v>
      </c>
      <c r="K1076" s="0" t="n">
        <v>7896289210086</v>
      </c>
      <c r="L1076" s="0" t="s">
        <v>2189</v>
      </c>
      <c r="N1076" s="0" t="n">
        <v>8</v>
      </c>
      <c r="O1076" s="60" t="n">
        <v>100.48</v>
      </c>
    </row>
    <row r="1077" customFormat="false" ht="15" hidden="false" customHeight="false" outlineLevel="0" collapsed="false">
      <c r="A1077" s="0" t="n">
        <v>3</v>
      </c>
      <c r="B1077" s="59" t="n">
        <v>46219</v>
      </c>
      <c r="C1077" s="0" t="n">
        <v>11</v>
      </c>
      <c r="D1077" s="0" t="s">
        <v>2126</v>
      </c>
      <c r="E1077" s="0" t="n">
        <v>1642</v>
      </c>
      <c r="F1077" s="0" t="s">
        <v>276</v>
      </c>
      <c r="I1077" s="0" t="n">
        <v>1032054</v>
      </c>
      <c r="J1077" s="0" t="n">
        <v>106280</v>
      </c>
      <c r="K1077" s="0" t="n">
        <v>7896289210062</v>
      </c>
      <c r="L1077" s="0" t="s">
        <v>2190</v>
      </c>
      <c r="N1077" s="0" t="n">
        <v>4</v>
      </c>
      <c r="O1077" s="60" t="n">
        <v>50.24</v>
      </c>
    </row>
    <row r="1078" customFormat="false" ht="15" hidden="false" customHeight="false" outlineLevel="0" collapsed="false">
      <c r="A1078" s="0" t="n">
        <v>3</v>
      </c>
      <c r="B1078" s="59" t="n">
        <v>46219</v>
      </c>
      <c r="C1078" s="0" t="n">
        <v>11</v>
      </c>
      <c r="D1078" s="0" t="s">
        <v>2126</v>
      </c>
      <c r="E1078" s="0" t="n">
        <v>1642</v>
      </c>
      <c r="F1078" s="0" t="s">
        <v>276</v>
      </c>
      <c r="I1078" s="0" t="n">
        <v>1032054</v>
      </c>
      <c r="J1078" s="0" t="n">
        <v>106407</v>
      </c>
      <c r="K1078" s="0" t="n">
        <v>7896289210031</v>
      </c>
      <c r="L1078" s="0" t="s">
        <v>2191</v>
      </c>
      <c r="N1078" s="0" t="n">
        <v>8</v>
      </c>
      <c r="O1078" s="60" t="n">
        <v>93.12</v>
      </c>
    </row>
    <row r="1079" customFormat="false" ht="15" hidden="false" customHeight="false" outlineLevel="0" collapsed="false">
      <c r="A1079" s="0" t="n">
        <v>3</v>
      </c>
      <c r="B1079" s="59" t="n">
        <v>46219</v>
      </c>
      <c r="C1079" s="0" t="n">
        <v>11</v>
      </c>
      <c r="D1079" s="0" t="s">
        <v>2126</v>
      </c>
      <c r="E1079" s="0" t="n">
        <v>1642</v>
      </c>
      <c r="F1079" s="0" t="s">
        <v>276</v>
      </c>
      <c r="I1079" s="0" t="n">
        <v>1032054</v>
      </c>
      <c r="J1079" s="0" t="n">
        <v>29706</v>
      </c>
      <c r="K1079" s="0" t="n">
        <v>7896289240205</v>
      </c>
      <c r="L1079" s="0" t="s">
        <v>2735</v>
      </c>
      <c r="N1079" s="0" t="n">
        <v>6</v>
      </c>
      <c r="O1079" s="60" t="n">
        <v>51.6</v>
      </c>
    </row>
    <row r="1080" customFormat="false" ht="15" hidden="false" customHeight="false" outlineLevel="0" collapsed="false">
      <c r="A1080" s="0" t="n">
        <v>3</v>
      </c>
      <c r="B1080" s="59" t="n">
        <v>46220</v>
      </c>
      <c r="C1080" s="0" t="n">
        <v>1</v>
      </c>
      <c r="D1080" s="0" t="s">
        <v>2118</v>
      </c>
      <c r="E1080" s="0" t="n">
        <v>10035</v>
      </c>
      <c r="F1080" s="0" t="s">
        <v>229</v>
      </c>
      <c r="I1080" s="0" t="n">
        <v>362</v>
      </c>
      <c r="J1080" s="0" t="n">
        <v>38652</v>
      </c>
      <c r="K1080" s="0" t="n">
        <v>7898994684220</v>
      </c>
      <c r="L1080" s="0" t="s">
        <v>2246</v>
      </c>
      <c r="N1080" s="0" t="n">
        <v>40</v>
      </c>
      <c r="O1080" s="60" t="n">
        <v>360</v>
      </c>
    </row>
    <row r="1081" customFormat="false" ht="15" hidden="false" customHeight="false" outlineLevel="0" collapsed="false">
      <c r="A1081" s="0" t="n">
        <v>3</v>
      </c>
      <c r="B1081" s="59" t="n">
        <v>46220</v>
      </c>
      <c r="C1081" s="0" t="n">
        <v>1</v>
      </c>
      <c r="D1081" s="0" t="s">
        <v>2118</v>
      </c>
      <c r="E1081" s="0" t="n">
        <v>10035</v>
      </c>
      <c r="F1081" s="0" t="s">
        <v>229</v>
      </c>
      <c r="I1081" s="0" t="n">
        <v>362</v>
      </c>
      <c r="J1081" s="0" t="n">
        <v>38653</v>
      </c>
      <c r="K1081" s="0" t="n">
        <v>7898994684275</v>
      </c>
      <c r="L1081" s="0" t="s">
        <v>2338</v>
      </c>
      <c r="N1081" s="0" t="n">
        <v>30</v>
      </c>
      <c r="O1081" s="60" t="n">
        <v>144</v>
      </c>
    </row>
    <row r="1082" customFormat="false" ht="15" hidden="false" customHeight="false" outlineLevel="0" collapsed="false">
      <c r="A1082" s="0" t="n">
        <v>3</v>
      </c>
      <c r="B1082" s="59" t="n">
        <v>46220</v>
      </c>
      <c r="C1082" s="0" t="n">
        <v>6</v>
      </c>
      <c r="D1082" s="0" t="s">
        <v>2125</v>
      </c>
      <c r="E1082" s="0" t="n">
        <v>42</v>
      </c>
      <c r="F1082" s="0" t="s">
        <v>81</v>
      </c>
      <c r="I1082" s="0" t="n">
        <v>4390</v>
      </c>
      <c r="J1082" s="0" t="n">
        <v>37359</v>
      </c>
      <c r="K1082" s="0" t="n">
        <v>55526</v>
      </c>
      <c r="L1082" s="0" t="s">
        <v>2194</v>
      </c>
      <c r="N1082" s="0" t="n">
        <v>8</v>
      </c>
      <c r="O1082" s="60" t="n">
        <v>40</v>
      </c>
    </row>
    <row r="1083" customFormat="false" ht="15" hidden="false" customHeight="false" outlineLevel="0" collapsed="false">
      <c r="A1083" s="0" t="n">
        <v>3</v>
      </c>
      <c r="B1083" s="59" t="n">
        <v>46220</v>
      </c>
      <c r="C1083" s="0" t="n">
        <v>6</v>
      </c>
      <c r="D1083" s="0" t="s">
        <v>2125</v>
      </c>
      <c r="E1083" s="0" t="n">
        <v>42</v>
      </c>
      <c r="F1083" s="0" t="s">
        <v>81</v>
      </c>
      <c r="I1083" s="0" t="n">
        <v>4390</v>
      </c>
      <c r="J1083" s="0" t="n">
        <v>37361</v>
      </c>
      <c r="K1083" s="0" t="n">
        <v>2240817</v>
      </c>
      <c r="L1083" s="0" t="s">
        <v>2124</v>
      </c>
      <c r="N1083" s="0" t="n">
        <v>50</v>
      </c>
      <c r="O1083" s="60" t="n">
        <v>100</v>
      </c>
    </row>
    <row r="1084" customFormat="false" ht="15" hidden="false" customHeight="false" outlineLevel="0" collapsed="false">
      <c r="A1084" s="0" t="n">
        <v>3</v>
      </c>
      <c r="B1084" s="59" t="n">
        <v>46220</v>
      </c>
      <c r="C1084" s="0" t="n">
        <v>6</v>
      </c>
      <c r="D1084" s="0" t="s">
        <v>2125</v>
      </c>
      <c r="E1084" s="0" t="n">
        <v>42</v>
      </c>
      <c r="F1084" s="0" t="s">
        <v>81</v>
      </c>
      <c r="I1084" s="0" t="n">
        <v>4391</v>
      </c>
      <c r="J1084" s="0" t="n">
        <v>100062</v>
      </c>
      <c r="K1084" s="0" t="n">
        <v>63</v>
      </c>
      <c r="L1084" s="0" t="s">
        <v>2259</v>
      </c>
      <c r="N1084" s="0" t="n">
        <v>8.3</v>
      </c>
      <c r="O1084" s="60" t="n">
        <v>99.5</v>
      </c>
    </row>
    <row r="1085" customFormat="false" ht="15" hidden="false" customHeight="false" outlineLevel="0" collapsed="false">
      <c r="A1085" s="0" t="n">
        <v>3</v>
      </c>
      <c r="B1085" s="59" t="n">
        <v>46220</v>
      </c>
      <c r="C1085" s="0" t="n">
        <v>6</v>
      </c>
      <c r="D1085" s="0" t="s">
        <v>2125</v>
      </c>
      <c r="E1085" s="0" t="n">
        <v>42</v>
      </c>
      <c r="F1085" s="0" t="s">
        <v>81</v>
      </c>
      <c r="I1085" s="0" t="n">
        <v>4391</v>
      </c>
      <c r="J1085" s="0" t="n">
        <v>100105</v>
      </c>
      <c r="K1085" s="0" t="n">
        <v>106</v>
      </c>
      <c r="L1085" s="0" t="s">
        <v>2620</v>
      </c>
      <c r="N1085" s="0" t="n">
        <v>48</v>
      </c>
      <c r="O1085" s="60" t="n">
        <v>360</v>
      </c>
    </row>
    <row r="1086" customFormat="false" ht="15" hidden="false" customHeight="false" outlineLevel="0" collapsed="false">
      <c r="A1086" s="0" t="n">
        <v>3</v>
      </c>
      <c r="B1086" s="59" t="n">
        <v>46220</v>
      </c>
      <c r="C1086" s="0" t="n">
        <v>6</v>
      </c>
      <c r="D1086" s="0" t="s">
        <v>2125</v>
      </c>
      <c r="E1086" s="0" t="n">
        <v>42</v>
      </c>
      <c r="F1086" s="0" t="s">
        <v>81</v>
      </c>
      <c r="I1086" s="0" t="n">
        <v>4391</v>
      </c>
      <c r="J1086" s="0" t="n">
        <v>100109</v>
      </c>
      <c r="K1086" s="0" t="n">
        <v>110</v>
      </c>
      <c r="L1086" s="0" t="s">
        <v>2261</v>
      </c>
      <c r="N1086" s="0" t="n">
        <v>40</v>
      </c>
      <c r="O1086" s="60" t="n">
        <v>280</v>
      </c>
    </row>
    <row r="1087" customFormat="false" ht="15" hidden="false" customHeight="false" outlineLevel="0" collapsed="false">
      <c r="A1087" s="0" t="n">
        <v>3</v>
      </c>
      <c r="B1087" s="59" t="n">
        <v>46220</v>
      </c>
      <c r="C1087" s="0" t="n">
        <v>6</v>
      </c>
      <c r="D1087" s="0" t="s">
        <v>2125</v>
      </c>
      <c r="E1087" s="0" t="n">
        <v>42</v>
      </c>
      <c r="F1087" s="0" t="s">
        <v>81</v>
      </c>
      <c r="I1087" s="0" t="n">
        <v>4391</v>
      </c>
      <c r="J1087" s="0" t="n">
        <v>100110</v>
      </c>
      <c r="K1087" s="0" t="n">
        <v>111</v>
      </c>
      <c r="L1087" s="0" t="s">
        <v>2262</v>
      </c>
      <c r="N1087" s="0" t="n">
        <v>10</v>
      </c>
      <c r="O1087" s="60" t="n">
        <v>90</v>
      </c>
    </row>
    <row r="1088" customFormat="false" ht="15" hidden="false" customHeight="false" outlineLevel="0" collapsed="false">
      <c r="A1088" s="0" t="n">
        <v>3</v>
      </c>
      <c r="B1088" s="59" t="n">
        <v>46220</v>
      </c>
      <c r="C1088" s="0" t="n">
        <v>6</v>
      </c>
      <c r="D1088" s="0" t="s">
        <v>2125</v>
      </c>
      <c r="E1088" s="0" t="n">
        <v>42</v>
      </c>
      <c r="F1088" s="0" t="s">
        <v>81</v>
      </c>
      <c r="I1088" s="0" t="n">
        <v>4391</v>
      </c>
      <c r="J1088" s="0" t="n">
        <v>100113</v>
      </c>
      <c r="K1088" s="0" t="n">
        <v>114</v>
      </c>
      <c r="L1088" s="0" t="s">
        <v>2264</v>
      </c>
      <c r="N1088" s="0" t="n">
        <v>20</v>
      </c>
      <c r="O1088" s="60" t="n">
        <v>70</v>
      </c>
    </row>
    <row r="1089" customFormat="false" ht="15" hidden="false" customHeight="false" outlineLevel="0" collapsed="false">
      <c r="A1089" s="0" t="n">
        <v>3</v>
      </c>
      <c r="B1089" s="59" t="n">
        <v>46220</v>
      </c>
      <c r="C1089" s="0" t="n">
        <v>6</v>
      </c>
      <c r="D1089" s="0" t="s">
        <v>2125</v>
      </c>
      <c r="E1089" s="0" t="n">
        <v>42</v>
      </c>
      <c r="F1089" s="0" t="s">
        <v>81</v>
      </c>
      <c r="I1089" s="0" t="n">
        <v>4391</v>
      </c>
      <c r="J1089" s="0" t="n">
        <v>100115</v>
      </c>
      <c r="K1089" s="0" t="n">
        <v>116</v>
      </c>
      <c r="L1089" s="0" t="s">
        <v>2265</v>
      </c>
      <c r="N1089" s="0" t="n">
        <v>15</v>
      </c>
      <c r="O1089" s="60" t="n">
        <v>135</v>
      </c>
    </row>
    <row r="1090" customFormat="false" ht="15" hidden="false" customHeight="false" outlineLevel="0" collapsed="false">
      <c r="A1090" s="0" t="n">
        <v>3</v>
      </c>
      <c r="B1090" s="59" t="n">
        <v>46220</v>
      </c>
      <c r="C1090" s="0" t="n">
        <v>6</v>
      </c>
      <c r="D1090" s="0" t="s">
        <v>2125</v>
      </c>
      <c r="E1090" s="0" t="n">
        <v>42</v>
      </c>
      <c r="F1090" s="0" t="s">
        <v>81</v>
      </c>
      <c r="I1090" s="0" t="n">
        <v>4391</v>
      </c>
      <c r="J1090" s="0" t="n">
        <v>100116</v>
      </c>
      <c r="K1090" s="0" t="n">
        <v>117</v>
      </c>
      <c r="L1090" s="0" t="s">
        <v>2266</v>
      </c>
      <c r="N1090" s="0" t="n">
        <v>4</v>
      </c>
      <c r="O1090" s="60" t="n">
        <v>32</v>
      </c>
    </row>
    <row r="1091" customFormat="false" ht="15" hidden="false" customHeight="false" outlineLevel="0" collapsed="false">
      <c r="A1091" s="0" t="n">
        <v>3</v>
      </c>
      <c r="B1091" s="59" t="n">
        <v>46220</v>
      </c>
      <c r="C1091" s="0" t="n">
        <v>6</v>
      </c>
      <c r="D1091" s="0" t="s">
        <v>2125</v>
      </c>
      <c r="E1091" s="0" t="n">
        <v>42</v>
      </c>
      <c r="F1091" s="0" t="s">
        <v>81</v>
      </c>
      <c r="I1091" s="0" t="n">
        <v>4391</v>
      </c>
      <c r="J1091" s="0" t="n">
        <v>100121</v>
      </c>
      <c r="K1091" s="0" t="n">
        <v>122</v>
      </c>
      <c r="L1091" s="0" t="s">
        <v>2422</v>
      </c>
      <c r="N1091" s="0" t="n">
        <v>10</v>
      </c>
      <c r="O1091" s="60" t="n">
        <v>130</v>
      </c>
    </row>
    <row r="1092" customFormat="false" ht="15" hidden="false" customHeight="false" outlineLevel="0" collapsed="false">
      <c r="A1092" s="0" t="n">
        <v>3</v>
      </c>
      <c r="B1092" s="59" t="n">
        <v>46220</v>
      </c>
      <c r="C1092" s="0" t="n">
        <v>6</v>
      </c>
      <c r="D1092" s="0" t="s">
        <v>2125</v>
      </c>
      <c r="E1092" s="0" t="n">
        <v>42</v>
      </c>
      <c r="F1092" s="0" t="s">
        <v>81</v>
      </c>
      <c r="I1092" s="0" t="n">
        <v>4391</v>
      </c>
      <c r="J1092" s="0" t="n">
        <v>100122</v>
      </c>
      <c r="K1092" s="0" t="n">
        <v>123</v>
      </c>
      <c r="L1092" s="0" t="s">
        <v>2423</v>
      </c>
      <c r="N1092" s="0" t="n">
        <v>10</v>
      </c>
      <c r="O1092" s="60" t="n">
        <v>100</v>
      </c>
    </row>
    <row r="1093" customFormat="false" ht="15" hidden="false" customHeight="false" outlineLevel="0" collapsed="false">
      <c r="A1093" s="0" t="n">
        <v>3</v>
      </c>
      <c r="B1093" s="59" t="n">
        <v>46220</v>
      </c>
      <c r="C1093" s="0" t="n">
        <v>6</v>
      </c>
      <c r="D1093" s="0" t="s">
        <v>2125</v>
      </c>
      <c r="E1093" s="0" t="n">
        <v>42</v>
      </c>
      <c r="F1093" s="0" t="s">
        <v>81</v>
      </c>
      <c r="I1093" s="0" t="n">
        <v>4391</v>
      </c>
      <c r="J1093" s="0" t="n">
        <v>100123</v>
      </c>
      <c r="K1093" s="0" t="n">
        <v>124</v>
      </c>
      <c r="L1093" s="0" t="s">
        <v>2268</v>
      </c>
      <c r="N1093" s="0" t="n">
        <v>2</v>
      </c>
      <c r="O1093" s="60" t="n">
        <v>20</v>
      </c>
    </row>
    <row r="1094" customFormat="false" ht="15" hidden="false" customHeight="false" outlineLevel="0" collapsed="false">
      <c r="A1094" s="0" t="n">
        <v>3</v>
      </c>
      <c r="B1094" s="59" t="n">
        <v>46220</v>
      </c>
      <c r="C1094" s="0" t="n">
        <v>6</v>
      </c>
      <c r="D1094" s="0" t="s">
        <v>2125</v>
      </c>
      <c r="E1094" s="0" t="n">
        <v>42</v>
      </c>
      <c r="F1094" s="0" t="s">
        <v>81</v>
      </c>
      <c r="I1094" s="0" t="n">
        <v>4391</v>
      </c>
      <c r="J1094" s="0" t="n">
        <v>100130</v>
      </c>
      <c r="K1094" s="0" t="n">
        <v>131</v>
      </c>
      <c r="L1094" s="0" t="s">
        <v>2621</v>
      </c>
      <c r="N1094" s="0" t="n">
        <v>10</v>
      </c>
      <c r="O1094" s="60" t="n">
        <v>70</v>
      </c>
    </row>
    <row r="1095" customFormat="false" ht="15" hidden="false" customHeight="false" outlineLevel="0" collapsed="false">
      <c r="A1095" s="0" t="n">
        <v>3</v>
      </c>
      <c r="B1095" s="59" t="n">
        <v>46220</v>
      </c>
      <c r="C1095" s="0" t="n">
        <v>6</v>
      </c>
      <c r="D1095" s="0" t="s">
        <v>2125</v>
      </c>
      <c r="E1095" s="0" t="n">
        <v>42</v>
      </c>
      <c r="F1095" s="0" t="s">
        <v>81</v>
      </c>
      <c r="I1095" s="0" t="n">
        <v>4391</v>
      </c>
      <c r="J1095" s="0" t="n">
        <v>100132</v>
      </c>
      <c r="K1095" s="0" t="n">
        <v>133</v>
      </c>
      <c r="L1095" s="0" t="s">
        <v>2270</v>
      </c>
      <c r="N1095" s="0" t="n">
        <v>76.9</v>
      </c>
      <c r="O1095" s="60" t="n">
        <v>240</v>
      </c>
    </row>
    <row r="1096" customFormat="false" ht="15" hidden="false" customHeight="false" outlineLevel="0" collapsed="false">
      <c r="A1096" s="0" t="n">
        <v>3</v>
      </c>
      <c r="B1096" s="59" t="n">
        <v>46220</v>
      </c>
      <c r="C1096" s="0" t="n">
        <v>6</v>
      </c>
      <c r="D1096" s="0" t="s">
        <v>2125</v>
      </c>
      <c r="E1096" s="0" t="n">
        <v>42</v>
      </c>
      <c r="F1096" s="0" t="s">
        <v>81</v>
      </c>
      <c r="I1096" s="0" t="n">
        <v>4391</v>
      </c>
      <c r="J1096" s="0" t="n">
        <v>100133</v>
      </c>
      <c r="K1096" s="0" t="n">
        <v>134</v>
      </c>
      <c r="L1096" s="0" t="s">
        <v>2271</v>
      </c>
      <c r="N1096" s="0" t="n">
        <v>10</v>
      </c>
      <c r="O1096" s="60" t="n">
        <v>60</v>
      </c>
    </row>
    <row r="1097" customFormat="false" ht="15" hidden="false" customHeight="false" outlineLevel="0" collapsed="false">
      <c r="A1097" s="0" t="n">
        <v>3</v>
      </c>
      <c r="B1097" s="59" t="n">
        <v>46220</v>
      </c>
      <c r="C1097" s="0" t="n">
        <v>6</v>
      </c>
      <c r="D1097" s="0" t="s">
        <v>2125</v>
      </c>
      <c r="E1097" s="0" t="n">
        <v>42</v>
      </c>
      <c r="F1097" s="0" t="s">
        <v>81</v>
      </c>
      <c r="I1097" s="0" t="n">
        <v>4391</v>
      </c>
      <c r="J1097" s="0" t="n">
        <v>110142</v>
      </c>
      <c r="K1097" s="0" t="n">
        <v>16699</v>
      </c>
      <c r="L1097" s="0" t="s">
        <v>2273</v>
      </c>
      <c r="N1097" s="0" t="n">
        <v>20</v>
      </c>
      <c r="O1097" s="60" t="n">
        <v>120</v>
      </c>
    </row>
    <row r="1098" customFormat="false" ht="15" hidden="false" customHeight="false" outlineLevel="0" collapsed="false">
      <c r="A1098" s="0" t="n">
        <v>3</v>
      </c>
      <c r="B1098" s="59" t="n">
        <v>46220</v>
      </c>
      <c r="C1098" s="0" t="n">
        <v>6</v>
      </c>
      <c r="D1098" s="0" t="s">
        <v>2125</v>
      </c>
      <c r="E1098" s="0" t="n">
        <v>42</v>
      </c>
      <c r="F1098" s="0" t="s">
        <v>81</v>
      </c>
      <c r="I1098" s="0" t="n">
        <v>4391</v>
      </c>
      <c r="J1098" s="0" t="n">
        <v>110160</v>
      </c>
      <c r="K1098" s="0" t="n">
        <v>38562</v>
      </c>
      <c r="L1098" s="0" t="s">
        <v>2736</v>
      </c>
      <c r="N1098" s="0" t="n">
        <v>2</v>
      </c>
      <c r="O1098" s="60" t="n">
        <v>70</v>
      </c>
    </row>
    <row r="1099" customFormat="false" ht="15" hidden="false" customHeight="false" outlineLevel="0" collapsed="false">
      <c r="A1099" s="0" t="n">
        <v>3</v>
      </c>
      <c r="B1099" s="59" t="n">
        <v>46220</v>
      </c>
      <c r="C1099" s="0" t="n">
        <v>6</v>
      </c>
      <c r="D1099" s="0" t="s">
        <v>2125</v>
      </c>
      <c r="E1099" s="0" t="n">
        <v>42</v>
      </c>
      <c r="F1099" s="0" t="s">
        <v>81</v>
      </c>
      <c r="I1099" s="0" t="n">
        <v>4391</v>
      </c>
      <c r="J1099" s="0" t="n">
        <v>43627</v>
      </c>
      <c r="K1099" s="0" t="n">
        <v>1175</v>
      </c>
      <c r="L1099" s="0" t="s">
        <v>2737</v>
      </c>
      <c r="N1099" s="0" t="n">
        <v>10</v>
      </c>
      <c r="O1099" s="60" t="n">
        <v>50</v>
      </c>
    </row>
    <row r="1100" customFormat="false" ht="15" hidden="false" customHeight="false" outlineLevel="0" collapsed="false">
      <c r="A1100" s="0" t="n">
        <v>3</v>
      </c>
      <c r="B1100" s="59" t="n">
        <v>46220</v>
      </c>
      <c r="C1100" s="0" t="n">
        <v>11</v>
      </c>
      <c r="D1100" s="0" t="s">
        <v>2126</v>
      </c>
      <c r="E1100" s="0" t="n">
        <v>10018</v>
      </c>
      <c r="F1100" s="0" t="s">
        <v>656</v>
      </c>
      <c r="I1100" s="0" t="n">
        <v>340</v>
      </c>
      <c r="J1100" s="0" t="n">
        <v>100933</v>
      </c>
      <c r="K1100" s="0" t="n">
        <v>7896982100059</v>
      </c>
      <c r="L1100" s="0" t="s">
        <v>2251</v>
      </c>
      <c r="N1100" s="0" t="n">
        <v>1800</v>
      </c>
      <c r="O1100" s="60" t="n">
        <v>925</v>
      </c>
    </row>
    <row r="1101" customFormat="false" ht="15" hidden="false" customHeight="false" outlineLevel="0" collapsed="false">
      <c r="A1101" s="0" t="n">
        <v>3</v>
      </c>
      <c r="B1101" s="59" t="n">
        <v>46220</v>
      </c>
      <c r="C1101" s="0" t="n">
        <v>11</v>
      </c>
      <c r="D1101" s="0" t="s">
        <v>2126</v>
      </c>
      <c r="E1101" s="0" t="n">
        <v>1615</v>
      </c>
      <c r="F1101" s="0" t="s">
        <v>131</v>
      </c>
      <c r="I1101" s="0" t="n">
        <v>14889</v>
      </c>
      <c r="J1101" s="0" t="n">
        <v>100101</v>
      </c>
      <c r="K1101" s="0" t="n">
        <v>102</v>
      </c>
      <c r="L1101" s="0" t="s">
        <v>2738</v>
      </c>
      <c r="N1101" s="0" t="n">
        <v>10</v>
      </c>
      <c r="O1101" s="60" t="n">
        <v>240</v>
      </c>
    </row>
    <row r="1102" customFormat="false" ht="15" hidden="false" customHeight="false" outlineLevel="0" collapsed="false">
      <c r="A1102" s="0" t="n">
        <v>3</v>
      </c>
      <c r="B1102" s="59" t="n">
        <v>46220</v>
      </c>
      <c r="C1102" s="0" t="n">
        <v>11</v>
      </c>
      <c r="D1102" s="0" t="s">
        <v>2126</v>
      </c>
      <c r="E1102" s="0" t="n">
        <v>1615</v>
      </c>
      <c r="F1102" s="0" t="s">
        <v>131</v>
      </c>
      <c r="I1102" s="0" t="n">
        <v>14889</v>
      </c>
      <c r="J1102" s="0" t="n">
        <v>37771</v>
      </c>
      <c r="K1102" s="0" t="n">
        <v>774574</v>
      </c>
      <c r="L1102" s="0" t="s">
        <v>2255</v>
      </c>
      <c r="N1102" s="0" t="n">
        <v>20</v>
      </c>
      <c r="O1102" s="60" t="n">
        <v>130</v>
      </c>
    </row>
    <row r="1103" customFormat="false" ht="15" hidden="false" customHeight="false" outlineLevel="0" collapsed="false">
      <c r="A1103" s="0" t="n">
        <v>3</v>
      </c>
      <c r="B1103" s="59" t="n">
        <v>46220</v>
      </c>
      <c r="C1103" s="0" t="n">
        <v>11</v>
      </c>
      <c r="D1103" s="0" t="s">
        <v>2126</v>
      </c>
      <c r="E1103" s="0" t="n">
        <v>1695</v>
      </c>
      <c r="F1103" s="0" t="s">
        <v>271</v>
      </c>
      <c r="I1103" s="0" t="n">
        <v>19287</v>
      </c>
      <c r="J1103" s="0" t="n">
        <v>101859</v>
      </c>
      <c r="K1103" s="0" t="n">
        <v>7896224807098</v>
      </c>
      <c r="L1103" s="0" t="s">
        <v>2739</v>
      </c>
      <c r="N1103" s="0" t="n">
        <v>40</v>
      </c>
      <c r="O1103" s="60" t="n">
        <v>536</v>
      </c>
    </row>
    <row r="1104" customFormat="false" ht="15" hidden="false" customHeight="false" outlineLevel="0" collapsed="false">
      <c r="A1104" s="0" t="n">
        <v>3</v>
      </c>
      <c r="B1104" s="59" t="n">
        <v>46220</v>
      </c>
      <c r="C1104" s="0" t="n">
        <v>11</v>
      </c>
      <c r="D1104" s="0" t="s">
        <v>2126</v>
      </c>
      <c r="E1104" s="0" t="n">
        <v>1695</v>
      </c>
      <c r="F1104" s="0" t="s">
        <v>271</v>
      </c>
      <c r="I1104" s="0" t="n">
        <v>19287</v>
      </c>
      <c r="J1104" s="0" t="n">
        <v>101877</v>
      </c>
      <c r="K1104" s="0" t="n">
        <v>7896224813082</v>
      </c>
      <c r="L1104" s="0" t="s">
        <v>2740</v>
      </c>
      <c r="N1104" s="0" t="n">
        <v>40</v>
      </c>
      <c r="O1104" s="60" t="n">
        <v>564</v>
      </c>
    </row>
    <row r="1105" customFormat="false" ht="15" hidden="false" customHeight="false" outlineLevel="0" collapsed="false">
      <c r="A1105" s="0" t="n">
        <v>3</v>
      </c>
      <c r="B1105" s="59" t="n">
        <v>46220</v>
      </c>
      <c r="C1105" s="0" t="n">
        <v>11</v>
      </c>
      <c r="D1105" s="0" t="s">
        <v>2126</v>
      </c>
      <c r="E1105" s="0" t="n">
        <v>1695</v>
      </c>
      <c r="F1105" s="0" t="s">
        <v>271</v>
      </c>
      <c r="I1105" s="0" t="n">
        <v>19287</v>
      </c>
      <c r="J1105" s="0" t="n">
        <v>101908</v>
      </c>
      <c r="K1105" s="0" t="n">
        <v>7896224808101</v>
      </c>
      <c r="L1105" s="0" t="s">
        <v>2741</v>
      </c>
      <c r="N1105" s="0" t="n">
        <v>50</v>
      </c>
      <c r="O1105" s="60" t="n">
        <v>287.5</v>
      </c>
    </row>
    <row r="1106" customFormat="false" ht="15" hidden="false" customHeight="false" outlineLevel="0" collapsed="false">
      <c r="A1106" s="0" t="n">
        <v>3</v>
      </c>
      <c r="B1106" s="59" t="n">
        <v>46220</v>
      </c>
      <c r="C1106" s="0" t="n">
        <v>11</v>
      </c>
      <c r="D1106" s="0" t="s">
        <v>2126</v>
      </c>
      <c r="E1106" s="0" t="n">
        <v>1695</v>
      </c>
      <c r="F1106" s="0" t="s">
        <v>271</v>
      </c>
      <c r="I1106" s="0" t="n">
        <v>19287</v>
      </c>
      <c r="J1106" s="0" t="n">
        <v>101947</v>
      </c>
      <c r="K1106" s="0" t="n">
        <v>7891079001028</v>
      </c>
      <c r="L1106" s="0" t="s">
        <v>2742</v>
      </c>
      <c r="N1106" s="0" t="n">
        <v>50</v>
      </c>
      <c r="O1106" s="60" t="n">
        <v>117</v>
      </c>
    </row>
    <row r="1107" customFormat="false" ht="15" hidden="false" customHeight="false" outlineLevel="0" collapsed="false">
      <c r="A1107" s="0" t="n">
        <v>3</v>
      </c>
      <c r="B1107" s="59" t="n">
        <v>46220</v>
      </c>
      <c r="C1107" s="0" t="n">
        <v>11</v>
      </c>
      <c r="D1107" s="0" t="s">
        <v>2126</v>
      </c>
      <c r="E1107" s="0" t="n">
        <v>1695</v>
      </c>
      <c r="F1107" s="0" t="s">
        <v>271</v>
      </c>
      <c r="I1107" s="0" t="n">
        <v>19287</v>
      </c>
      <c r="J1107" s="0" t="n">
        <v>101949</v>
      </c>
      <c r="K1107" s="0" t="n">
        <v>7891079001004</v>
      </c>
      <c r="L1107" s="0" t="s">
        <v>2743</v>
      </c>
      <c r="N1107" s="0" t="n">
        <v>50</v>
      </c>
      <c r="O1107" s="60" t="n">
        <v>117</v>
      </c>
    </row>
    <row r="1108" customFormat="false" ht="15" hidden="false" customHeight="false" outlineLevel="0" collapsed="false">
      <c r="A1108" s="0" t="n">
        <v>3</v>
      </c>
      <c r="B1108" s="59" t="n">
        <v>46220</v>
      </c>
      <c r="C1108" s="0" t="n">
        <v>11</v>
      </c>
      <c r="D1108" s="0" t="s">
        <v>2126</v>
      </c>
      <c r="E1108" s="0" t="n">
        <v>1695</v>
      </c>
      <c r="F1108" s="0" t="s">
        <v>271</v>
      </c>
      <c r="I1108" s="0" t="n">
        <v>19287</v>
      </c>
      <c r="J1108" s="0" t="n">
        <v>101957</v>
      </c>
      <c r="K1108" s="0" t="n">
        <v>7891079000205</v>
      </c>
      <c r="L1108" s="0" t="s">
        <v>2744</v>
      </c>
      <c r="N1108" s="0" t="n">
        <v>50</v>
      </c>
      <c r="O1108" s="60" t="n">
        <v>113</v>
      </c>
    </row>
    <row r="1109" customFormat="false" ht="15" hidden="false" customHeight="false" outlineLevel="0" collapsed="false">
      <c r="A1109" s="0" t="n">
        <v>3</v>
      </c>
      <c r="B1109" s="59" t="n">
        <v>46220</v>
      </c>
      <c r="C1109" s="0" t="n">
        <v>11</v>
      </c>
      <c r="D1109" s="0" t="s">
        <v>2126</v>
      </c>
      <c r="E1109" s="0" t="n">
        <v>1695</v>
      </c>
      <c r="F1109" s="0" t="s">
        <v>271</v>
      </c>
      <c r="I1109" s="0" t="n">
        <v>19287</v>
      </c>
      <c r="J1109" s="0" t="n">
        <v>102290</v>
      </c>
      <c r="K1109" s="0" t="n">
        <v>7896593500019</v>
      </c>
      <c r="L1109" s="0" t="s">
        <v>2745</v>
      </c>
      <c r="N1109" s="0" t="n">
        <v>20</v>
      </c>
      <c r="O1109" s="60" t="n">
        <v>84.4</v>
      </c>
    </row>
    <row r="1110" customFormat="false" ht="15" hidden="false" customHeight="false" outlineLevel="0" collapsed="false">
      <c r="A1110" s="0" t="n">
        <v>3</v>
      </c>
      <c r="B1110" s="59" t="n">
        <v>46220</v>
      </c>
      <c r="C1110" s="0" t="n">
        <v>11</v>
      </c>
      <c r="D1110" s="0" t="s">
        <v>2126</v>
      </c>
      <c r="E1110" s="0" t="n">
        <v>1695</v>
      </c>
      <c r="F1110" s="0" t="s">
        <v>271</v>
      </c>
      <c r="I1110" s="0" t="n">
        <v>19287</v>
      </c>
      <c r="J1110" s="0" t="n">
        <v>103344</v>
      </c>
      <c r="K1110" s="0" t="n">
        <v>7896490288775</v>
      </c>
      <c r="L1110" s="0" t="s">
        <v>2746</v>
      </c>
      <c r="N1110" s="0" t="n">
        <v>60</v>
      </c>
      <c r="O1110" s="60" t="n">
        <v>100.2</v>
      </c>
    </row>
    <row r="1111" customFormat="false" ht="15" hidden="false" customHeight="false" outlineLevel="0" collapsed="false">
      <c r="A1111" s="0" t="n">
        <v>3</v>
      </c>
      <c r="B1111" s="59" t="n">
        <v>46220</v>
      </c>
      <c r="C1111" s="0" t="n">
        <v>11</v>
      </c>
      <c r="D1111" s="0" t="s">
        <v>2126</v>
      </c>
      <c r="E1111" s="0" t="n">
        <v>1695</v>
      </c>
      <c r="F1111" s="0" t="s">
        <v>271</v>
      </c>
      <c r="I1111" s="0" t="n">
        <v>19287</v>
      </c>
      <c r="J1111" s="0" t="n">
        <v>104073</v>
      </c>
      <c r="K1111" s="0" t="n">
        <v>7891107101621</v>
      </c>
      <c r="L1111" s="0" t="s">
        <v>2747</v>
      </c>
      <c r="N1111" s="0" t="n">
        <v>60</v>
      </c>
      <c r="O1111" s="60" t="n">
        <v>423</v>
      </c>
    </row>
    <row r="1112" customFormat="false" ht="15" hidden="false" customHeight="false" outlineLevel="0" collapsed="false">
      <c r="A1112" s="0" t="n">
        <v>3</v>
      </c>
      <c r="B1112" s="59" t="n">
        <v>46220</v>
      </c>
      <c r="C1112" s="0" t="n">
        <v>11</v>
      </c>
      <c r="D1112" s="0" t="s">
        <v>2126</v>
      </c>
      <c r="E1112" s="0" t="n">
        <v>1695</v>
      </c>
      <c r="F1112" s="0" t="s">
        <v>271</v>
      </c>
      <c r="I1112" s="0" t="n">
        <v>19287</v>
      </c>
      <c r="J1112" s="0" t="n">
        <v>104678</v>
      </c>
      <c r="K1112" s="0" t="n">
        <v>7898247780075</v>
      </c>
      <c r="L1112" s="0" t="s">
        <v>2748</v>
      </c>
      <c r="N1112" s="0" t="n">
        <v>60</v>
      </c>
      <c r="O1112" s="60" t="n">
        <v>423</v>
      </c>
    </row>
    <row r="1113" customFormat="false" ht="15" hidden="false" customHeight="false" outlineLevel="0" collapsed="false">
      <c r="A1113" s="0" t="n">
        <v>3</v>
      </c>
      <c r="B1113" s="59" t="n">
        <v>46220</v>
      </c>
      <c r="C1113" s="0" t="n">
        <v>11</v>
      </c>
      <c r="D1113" s="0" t="s">
        <v>2126</v>
      </c>
      <c r="E1113" s="0" t="n">
        <v>1695</v>
      </c>
      <c r="F1113" s="0" t="s">
        <v>271</v>
      </c>
      <c r="I1113" s="0" t="n">
        <v>19287</v>
      </c>
      <c r="J1113" s="0" t="n">
        <v>109870</v>
      </c>
      <c r="K1113" s="0" t="n">
        <v>7891079011805</v>
      </c>
      <c r="L1113" s="0" t="s">
        <v>2749</v>
      </c>
      <c r="N1113" s="0" t="n">
        <v>100</v>
      </c>
      <c r="O1113" s="60" t="n">
        <v>144</v>
      </c>
    </row>
    <row r="1114" customFormat="false" ht="15" hidden="false" customHeight="false" outlineLevel="0" collapsed="false">
      <c r="A1114" s="0" t="n">
        <v>3</v>
      </c>
      <c r="B1114" s="59" t="n">
        <v>46220</v>
      </c>
      <c r="C1114" s="0" t="n">
        <v>11</v>
      </c>
      <c r="D1114" s="0" t="s">
        <v>2126</v>
      </c>
      <c r="E1114" s="0" t="n">
        <v>1695</v>
      </c>
      <c r="F1114" s="0" t="s">
        <v>271</v>
      </c>
      <c r="I1114" s="0" t="n">
        <v>19287</v>
      </c>
      <c r="J1114" s="0" t="n">
        <v>10469</v>
      </c>
      <c r="K1114" s="0" t="n">
        <v>7891079011829</v>
      </c>
      <c r="L1114" s="0" t="s">
        <v>2750</v>
      </c>
      <c r="N1114" s="0" t="n">
        <v>50</v>
      </c>
      <c r="O1114" s="60" t="n">
        <v>72</v>
      </c>
    </row>
    <row r="1115" customFormat="false" ht="15" hidden="false" customHeight="false" outlineLevel="0" collapsed="false">
      <c r="A1115" s="0" t="n">
        <v>3</v>
      </c>
      <c r="B1115" s="59" t="n">
        <v>46220</v>
      </c>
      <c r="C1115" s="0" t="n">
        <v>11</v>
      </c>
      <c r="D1115" s="0" t="s">
        <v>2126</v>
      </c>
      <c r="E1115" s="0" t="n">
        <v>1695</v>
      </c>
      <c r="F1115" s="0" t="s">
        <v>271</v>
      </c>
      <c r="I1115" s="0" t="n">
        <v>19287</v>
      </c>
      <c r="J1115" s="0" t="n">
        <v>10667</v>
      </c>
      <c r="K1115" s="0" t="n">
        <v>7891079011812</v>
      </c>
      <c r="L1115" s="0" t="s">
        <v>2751</v>
      </c>
      <c r="N1115" s="0" t="n">
        <v>100</v>
      </c>
      <c r="O1115" s="60" t="n">
        <v>144</v>
      </c>
    </row>
    <row r="1116" customFormat="false" ht="15" hidden="false" customHeight="false" outlineLevel="0" collapsed="false">
      <c r="A1116" s="0" t="n">
        <v>3</v>
      </c>
      <c r="B1116" s="59" t="n">
        <v>46220</v>
      </c>
      <c r="C1116" s="0" t="n">
        <v>11</v>
      </c>
      <c r="D1116" s="0" t="s">
        <v>2126</v>
      </c>
      <c r="E1116" s="0" t="n">
        <v>1695</v>
      </c>
      <c r="F1116" s="0" t="s">
        <v>271</v>
      </c>
      <c r="I1116" s="0" t="n">
        <v>19287</v>
      </c>
      <c r="J1116" s="0" t="n">
        <v>25964</v>
      </c>
      <c r="K1116" s="0" t="n">
        <v>7896763621858</v>
      </c>
      <c r="L1116" s="0" t="s">
        <v>2199</v>
      </c>
      <c r="N1116" s="0" t="n">
        <v>80</v>
      </c>
      <c r="O1116" s="60" t="n">
        <v>152</v>
      </c>
    </row>
    <row r="1117" customFormat="false" ht="15" hidden="false" customHeight="false" outlineLevel="0" collapsed="false">
      <c r="A1117" s="0" t="n">
        <v>3</v>
      </c>
      <c r="B1117" s="59" t="n">
        <v>46220</v>
      </c>
      <c r="C1117" s="0" t="n">
        <v>11</v>
      </c>
      <c r="D1117" s="0" t="s">
        <v>2126</v>
      </c>
      <c r="E1117" s="0" t="n">
        <v>1695</v>
      </c>
      <c r="F1117" s="0" t="s">
        <v>271</v>
      </c>
      <c r="I1117" s="0" t="n">
        <v>19287</v>
      </c>
      <c r="J1117" s="0" t="n">
        <v>32805</v>
      </c>
      <c r="K1117" s="0" t="n">
        <v>7896433800378</v>
      </c>
      <c r="L1117" s="0" t="s">
        <v>2752</v>
      </c>
      <c r="N1117" s="0" t="n">
        <v>120</v>
      </c>
      <c r="O1117" s="60" t="n">
        <v>356.4</v>
      </c>
    </row>
    <row r="1118" customFormat="false" ht="15" hidden="false" customHeight="false" outlineLevel="0" collapsed="false">
      <c r="A1118" s="0" t="n">
        <v>3</v>
      </c>
      <c r="B1118" s="59" t="n">
        <v>46220</v>
      </c>
      <c r="C1118" s="0" t="n">
        <v>11</v>
      </c>
      <c r="D1118" s="0" t="s">
        <v>2126</v>
      </c>
      <c r="E1118" s="0" t="n">
        <v>1695</v>
      </c>
      <c r="F1118" s="0" t="s">
        <v>271</v>
      </c>
      <c r="I1118" s="0" t="n">
        <v>19287</v>
      </c>
      <c r="J1118" s="0" t="n">
        <v>36969</v>
      </c>
      <c r="K1118" s="0" t="n">
        <v>7891000325858</v>
      </c>
      <c r="L1118" s="0" t="s">
        <v>2753</v>
      </c>
      <c r="N1118" s="0" t="n">
        <v>24</v>
      </c>
      <c r="O1118" s="60" t="n">
        <v>418.32</v>
      </c>
    </row>
    <row r="1119" customFormat="false" ht="15" hidden="false" customHeight="false" outlineLevel="0" collapsed="false">
      <c r="A1119" s="0" t="n">
        <v>3</v>
      </c>
      <c r="B1119" s="59" t="n">
        <v>46220</v>
      </c>
      <c r="C1119" s="0" t="n">
        <v>11</v>
      </c>
      <c r="D1119" s="0" t="s">
        <v>2126</v>
      </c>
      <c r="E1119" s="0" t="n">
        <v>1695</v>
      </c>
      <c r="F1119" s="0" t="s">
        <v>271</v>
      </c>
      <c r="I1119" s="0" t="n">
        <v>19287</v>
      </c>
      <c r="J1119" s="0" t="n">
        <v>71370</v>
      </c>
      <c r="K1119" s="0" t="n">
        <v>7891150097544</v>
      </c>
      <c r="L1119" s="0" t="s">
        <v>2754</v>
      </c>
      <c r="N1119" s="0" t="n">
        <v>27</v>
      </c>
      <c r="O1119" s="60" t="n">
        <v>77.49</v>
      </c>
    </row>
    <row r="1120" customFormat="false" ht="15" hidden="false" customHeight="false" outlineLevel="0" collapsed="false">
      <c r="A1120" s="0" t="n">
        <v>3</v>
      </c>
      <c r="B1120" s="59" t="n">
        <v>46220</v>
      </c>
      <c r="C1120" s="0" t="n">
        <v>11</v>
      </c>
      <c r="D1120" s="0" t="s">
        <v>2126</v>
      </c>
      <c r="E1120" s="0" t="n">
        <v>1695</v>
      </c>
      <c r="F1120" s="0" t="s">
        <v>271</v>
      </c>
      <c r="I1120" s="0" t="n">
        <v>19287</v>
      </c>
      <c r="J1120" s="0" t="n">
        <v>71373</v>
      </c>
      <c r="K1120" s="0" t="n">
        <v>7891150097575</v>
      </c>
      <c r="L1120" s="0" t="s">
        <v>2755</v>
      </c>
      <c r="N1120" s="0" t="n">
        <v>27</v>
      </c>
      <c r="O1120" s="60" t="n">
        <v>77.49</v>
      </c>
    </row>
    <row r="1121" customFormat="false" ht="15" hidden="false" customHeight="false" outlineLevel="0" collapsed="false">
      <c r="A1121" s="0" t="n">
        <v>3</v>
      </c>
      <c r="B1121" s="59" t="n">
        <v>46220</v>
      </c>
      <c r="C1121" s="0" t="n">
        <v>11</v>
      </c>
      <c r="D1121" s="0" t="s">
        <v>2126</v>
      </c>
      <c r="E1121" s="0" t="n">
        <v>1695</v>
      </c>
      <c r="F1121" s="0" t="s">
        <v>271</v>
      </c>
      <c r="I1121" s="0" t="n">
        <v>19287</v>
      </c>
      <c r="J1121" s="0" t="n">
        <v>71624</v>
      </c>
      <c r="K1121" s="0" t="n">
        <v>7891150097568</v>
      </c>
      <c r="L1121" s="0" t="s">
        <v>2756</v>
      </c>
      <c r="N1121" s="0" t="n">
        <v>27</v>
      </c>
      <c r="O1121" s="60" t="n">
        <v>77.49</v>
      </c>
    </row>
    <row r="1122" customFormat="false" ht="15" hidden="false" customHeight="false" outlineLevel="0" collapsed="false">
      <c r="A1122" s="0" t="n">
        <v>3</v>
      </c>
      <c r="B1122" s="59" t="n">
        <v>46220</v>
      </c>
      <c r="C1122" s="0" t="n">
        <v>11</v>
      </c>
      <c r="D1122" s="0" t="s">
        <v>2126</v>
      </c>
      <c r="E1122" s="0" t="n">
        <v>1695</v>
      </c>
      <c r="F1122" s="0" t="s">
        <v>271</v>
      </c>
      <c r="I1122" s="0" t="n">
        <v>19287</v>
      </c>
      <c r="J1122" s="0" t="n">
        <v>72229</v>
      </c>
      <c r="K1122" s="0" t="n">
        <v>7891150097605</v>
      </c>
      <c r="L1122" s="0" t="s">
        <v>2756</v>
      </c>
      <c r="N1122" s="0" t="n">
        <v>27</v>
      </c>
      <c r="O1122" s="60" t="n">
        <v>77.49</v>
      </c>
    </row>
    <row r="1123" customFormat="false" ht="15" hidden="false" customHeight="false" outlineLevel="0" collapsed="false">
      <c r="A1123" s="0" t="n">
        <v>3</v>
      </c>
      <c r="B1123" s="59" t="n">
        <v>46220</v>
      </c>
      <c r="C1123" s="0" t="n">
        <v>11</v>
      </c>
      <c r="D1123" s="0" t="s">
        <v>2126</v>
      </c>
      <c r="E1123" s="0" t="n">
        <v>1814</v>
      </c>
      <c r="F1123" s="0" t="s">
        <v>341</v>
      </c>
      <c r="I1123" s="0" t="n">
        <v>27621</v>
      </c>
      <c r="J1123" s="0" t="n">
        <v>25090</v>
      </c>
      <c r="K1123" s="0" t="n">
        <v>7898951519152</v>
      </c>
      <c r="L1123" s="0" t="s">
        <v>2302</v>
      </c>
      <c r="N1123" s="0" t="n">
        <v>60</v>
      </c>
      <c r="O1123" s="60" t="n">
        <v>129.62</v>
      </c>
    </row>
    <row r="1124" customFormat="false" ht="15" hidden="false" customHeight="false" outlineLevel="0" collapsed="false">
      <c r="A1124" s="0" t="n">
        <v>3</v>
      </c>
      <c r="B1124" s="59" t="n">
        <v>46220</v>
      </c>
      <c r="C1124" s="0" t="n">
        <v>11</v>
      </c>
      <c r="D1124" s="0" t="s">
        <v>2126</v>
      </c>
      <c r="E1124" s="0" t="n">
        <v>1814</v>
      </c>
      <c r="F1124" s="0" t="s">
        <v>341</v>
      </c>
      <c r="I1124" s="0" t="n">
        <v>27621</v>
      </c>
      <c r="J1124" s="0" t="n">
        <v>25091</v>
      </c>
      <c r="K1124" s="0" t="n">
        <v>7898951519176</v>
      </c>
      <c r="L1124" s="0" t="s">
        <v>2303</v>
      </c>
      <c r="N1124" s="0" t="n">
        <v>60</v>
      </c>
      <c r="O1124" s="60" t="n">
        <v>182.08</v>
      </c>
    </row>
    <row r="1125" customFormat="false" ht="15" hidden="false" customHeight="false" outlineLevel="0" collapsed="false">
      <c r="A1125" s="0" t="n">
        <v>3</v>
      </c>
      <c r="B1125" s="59" t="n">
        <v>46220</v>
      </c>
      <c r="C1125" s="0" t="n">
        <v>11</v>
      </c>
      <c r="D1125" s="0" t="s">
        <v>2126</v>
      </c>
      <c r="E1125" s="0" t="n">
        <v>1814</v>
      </c>
      <c r="F1125" s="0" t="s">
        <v>341</v>
      </c>
      <c r="I1125" s="0" t="n">
        <v>27621</v>
      </c>
      <c r="J1125" s="0" t="n">
        <v>25092</v>
      </c>
      <c r="K1125" s="0" t="n">
        <v>7896883601105</v>
      </c>
      <c r="L1125" s="0" t="s">
        <v>2304</v>
      </c>
      <c r="N1125" s="0" t="n">
        <v>30</v>
      </c>
      <c r="O1125" s="60" t="n">
        <v>52.15</v>
      </c>
    </row>
    <row r="1126" customFormat="false" ht="15" hidden="false" customHeight="false" outlineLevel="0" collapsed="false">
      <c r="A1126" s="0" t="n">
        <v>3</v>
      </c>
      <c r="B1126" s="59" t="n">
        <v>46220</v>
      </c>
      <c r="C1126" s="0" t="n">
        <v>11</v>
      </c>
      <c r="D1126" s="0" t="s">
        <v>2126</v>
      </c>
      <c r="E1126" s="0" t="n">
        <v>1814</v>
      </c>
      <c r="F1126" s="0" t="s">
        <v>341</v>
      </c>
      <c r="I1126" s="0" t="n">
        <v>27621</v>
      </c>
      <c r="J1126" s="0" t="n">
        <v>25093</v>
      </c>
      <c r="K1126" s="0" t="n">
        <v>7898951519169</v>
      </c>
      <c r="L1126" s="0" t="s">
        <v>2305</v>
      </c>
      <c r="N1126" s="0" t="n">
        <v>60</v>
      </c>
      <c r="O1126" s="60" t="n">
        <v>67.89</v>
      </c>
    </row>
    <row r="1127" customFormat="false" ht="15" hidden="false" customHeight="false" outlineLevel="0" collapsed="false">
      <c r="A1127" s="0" t="n">
        <v>3</v>
      </c>
      <c r="B1127" s="59" t="n">
        <v>46220</v>
      </c>
      <c r="C1127" s="0" t="n">
        <v>11</v>
      </c>
      <c r="D1127" s="0" t="s">
        <v>2126</v>
      </c>
      <c r="E1127" s="0" t="n">
        <v>1814</v>
      </c>
      <c r="F1127" s="0" t="s">
        <v>341</v>
      </c>
      <c r="I1127" s="0" t="n">
        <v>27621</v>
      </c>
      <c r="J1127" s="0" t="n">
        <v>25094</v>
      </c>
      <c r="K1127" s="0" t="n">
        <v>7898951519183</v>
      </c>
      <c r="L1127" s="0" t="s">
        <v>2757</v>
      </c>
      <c r="N1127" s="0" t="n">
        <v>10</v>
      </c>
      <c r="O1127" s="60" t="n">
        <v>26.23</v>
      </c>
    </row>
    <row r="1128" customFormat="false" ht="15" hidden="false" customHeight="false" outlineLevel="0" collapsed="false">
      <c r="A1128" s="0" t="n">
        <v>3</v>
      </c>
      <c r="B1128" s="59" t="n">
        <v>46220</v>
      </c>
      <c r="C1128" s="0" t="n">
        <v>11</v>
      </c>
      <c r="D1128" s="0" t="s">
        <v>2126</v>
      </c>
      <c r="E1128" s="0" t="n">
        <v>1814</v>
      </c>
      <c r="F1128" s="0" t="s">
        <v>341</v>
      </c>
      <c r="I1128" s="0" t="n">
        <v>27621</v>
      </c>
      <c r="J1128" s="0" t="n">
        <v>25095</v>
      </c>
      <c r="K1128" s="0" t="n">
        <v>7898951519145</v>
      </c>
      <c r="L1128" s="0" t="s">
        <v>2306</v>
      </c>
      <c r="N1128" s="0" t="n">
        <v>150</v>
      </c>
      <c r="O1128" s="60" t="n">
        <v>192.89</v>
      </c>
    </row>
    <row r="1129" customFormat="false" ht="15" hidden="false" customHeight="false" outlineLevel="0" collapsed="false">
      <c r="A1129" s="0" t="n">
        <v>3</v>
      </c>
      <c r="B1129" s="59" t="n">
        <v>46220</v>
      </c>
      <c r="C1129" s="0" t="n">
        <v>11</v>
      </c>
      <c r="D1129" s="0" t="s">
        <v>2126</v>
      </c>
      <c r="E1129" s="0" t="n">
        <v>1814</v>
      </c>
      <c r="F1129" s="0" t="s">
        <v>341</v>
      </c>
      <c r="I1129" s="0" t="n">
        <v>27621</v>
      </c>
      <c r="J1129" s="0" t="n">
        <v>25096</v>
      </c>
      <c r="K1129" s="0" t="n">
        <v>7898951519138</v>
      </c>
      <c r="L1129" s="0" t="s">
        <v>2307</v>
      </c>
      <c r="N1129" s="0" t="n">
        <v>60</v>
      </c>
      <c r="O1129" s="60" t="n">
        <v>107.4</v>
      </c>
    </row>
    <row r="1130" customFormat="false" ht="15" hidden="false" customHeight="false" outlineLevel="0" collapsed="false">
      <c r="A1130" s="0" t="n">
        <v>3</v>
      </c>
      <c r="B1130" s="59" t="n">
        <v>46220</v>
      </c>
      <c r="C1130" s="0" t="n">
        <v>11</v>
      </c>
      <c r="D1130" s="0" t="s">
        <v>2126</v>
      </c>
      <c r="E1130" s="0" t="n">
        <v>1814</v>
      </c>
      <c r="F1130" s="0" t="s">
        <v>341</v>
      </c>
      <c r="I1130" s="0" t="n">
        <v>27621</v>
      </c>
      <c r="J1130" s="0" t="n">
        <v>25134</v>
      </c>
      <c r="K1130" s="0" t="n">
        <v>7898951519114</v>
      </c>
      <c r="L1130" s="0" t="s">
        <v>2308</v>
      </c>
      <c r="N1130" s="0" t="n">
        <v>100</v>
      </c>
      <c r="O1130" s="60" t="n">
        <v>138.87</v>
      </c>
    </row>
    <row r="1131" customFormat="false" ht="15" hidden="false" customHeight="false" outlineLevel="0" collapsed="false">
      <c r="A1131" s="0" t="n">
        <v>3</v>
      </c>
      <c r="B1131" s="59" t="n">
        <v>46220</v>
      </c>
      <c r="C1131" s="0" t="n">
        <v>11</v>
      </c>
      <c r="D1131" s="0" t="s">
        <v>2126</v>
      </c>
      <c r="E1131" s="0" t="n">
        <v>1814</v>
      </c>
      <c r="F1131" s="0" t="s">
        <v>341</v>
      </c>
      <c r="I1131" s="0" t="n">
        <v>27621</v>
      </c>
      <c r="J1131" s="0" t="n">
        <v>25815</v>
      </c>
      <c r="K1131" s="0" t="n">
        <v>7898951519206</v>
      </c>
      <c r="L1131" s="0" t="s">
        <v>2758</v>
      </c>
      <c r="N1131" s="0" t="n">
        <v>10</v>
      </c>
      <c r="O1131" s="60" t="n">
        <v>14.4</v>
      </c>
    </row>
    <row r="1132" customFormat="false" ht="15" hidden="false" customHeight="false" outlineLevel="0" collapsed="false">
      <c r="A1132" s="0" t="n">
        <v>3</v>
      </c>
      <c r="B1132" s="59" t="n">
        <v>46220</v>
      </c>
      <c r="C1132" s="0" t="n">
        <v>11</v>
      </c>
      <c r="D1132" s="0" t="s">
        <v>2126</v>
      </c>
      <c r="E1132" s="0" t="n">
        <v>1814</v>
      </c>
      <c r="F1132" s="0" t="s">
        <v>341</v>
      </c>
      <c r="I1132" s="0" t="n">
        <v>27621</v>
      </c>
      <c r="J1132" s="0" t="n">
        <v>39930</v>
      </c>
      <c r="K1132" s="0" t="n">
        <v>7898951519060</v>
      </c>
      <c r="L1132" s="0" t="s">
        <v>2759</v>
      </c>
      <c r="N1132" s="0" t="n">
        <v>3</v>
      </c>
      <c r="O1132" s="60" t="n">
        <v>54</v>
      </c>
    </row>
    <row r="1133" customFormat="false" ht="15" hidden="false" customHeight="false" outlineLevel="0" collapsed="false">
      <c r="A1133" s="0" t="n">
        <v>3</v>
      </c>
      <c r="B1133" s="59" t="n">
        <v>46220</v>
      </c>
      <c r="C1133" s="0" t="n">
        <v>11</v>
      </c>
      <c r="D1133" s="0" t="s">
        <v>2126</v>
      </c>
      <c r="E1133" s="0" t="n">
        <v>1814</v>
      </c>
      <c r="F1133" s="0" t="s">
        <v>341</v>
      </c>
      <c r="I1133" s="0" t="n">
        <v>27621</v>
      </c>
      <c r="J1133" s="0" t="n">
        <v>39935</v>
      </c>
      <c r="K1133" s="0" t="n">
        <v>7898951519053</v>
      </c>
      <c r="L1133" s="0" t="s">
        <v>2312</v>
      </c>
      <c r="N1133" s="0" t="n">
        <v>15</v>
      </c>
      <c r="O1133" s="60" t="n">
        <v>143.51</v>
      </c>
    </row>
    <row r="1134" customFormat="false" ht="15" hidden="false" customHeight="false" outlineLevel="0" collapsed="false">
      <c r="A1134" s="0" t="n">
        <v>3</v>
      </c>
      <c r="B1134" s="59" t="n">
        <v>46220</v>
      </c>
      <c r="C1134" s="0" t="n">
        <v>11</v>
      </c>
      <c r="D1134" s="0" t="s">
        <v>2126</v>
      </c>
      <c r="E1134" s="0" t="n">
        <v>1814</v>
      </c>
      <c r="F1134" s="0" t="s">
        <v>341</v>
      </c>
      <c r="I1134" s="0" t="n">
        <v>27621</v>
      </c>
      <c r="J1134" s="0" t="n">
        <v>39936</v>
      </c>
      <c r="K1134" s="0" t="n">
        <v>7898951519084</v>
      </c>
      <c r="L1134" s="0" t="s">
        <v>2760</v>
      </c>
      <c r="N1134" s="0" t="n">
        <v>5</v>
      </c>
      <c r="O1134" s="60" t="n">
        <v>126.01</v>
      </c>
    </row>
    <row r="1135" customFormat="false" ht="15" hidden="false" customHeight="false" outlineLevel="0" collapsed="false">
      <c r="A1135" s="0" t="n">
        <v>3</v>
      </c>
      <c r="B1135" s="59" t="n">
        <v>46220</v>
      </c>
      <c r="C1135" s="0" t="n">
        <v>11</v>
      </c>
      <c r="D1135" s="0" t="s">
        <v>2126</v>
      </c>
      <c r="E1135" s="0" t="n">
        <v>1814</v>
      </c>
      <c r="F1135" s="0" t="s">
        <v>341</v>
      </c>
      <c r="I1135" s="0" t="n">
        <v>27621</v>
      </c>
      <c r="J1135" s="0" t="n">
        <v>39937</v>
      </c>
      <c r="K1135" s="0" t="n">
        <v>7898951519022</v>
      </c>
      <c r="L1135" s="0" t="s">
        <v>2313</v>
      </c>
      <c r="N1135" s="0" t="n">
        <v>5</v>
      </c>
      <c r="O1135" s="60" t="n">
        <v>61.21</v>
      </c>
    </row>
    <row r="1136" customFormat="false" ht="15" hidden="false" customHeight="false" outlineLevel="0" collapsed="false">
      <c r="A1136" s="0" t="n">
        <v>3</v>
      </c>
      <c r="B1136" s="59" t="n">
        <v>46220</v>
      </c>
      <c r="C1136" s="0" t="n">
        <v>11</v>
      </c>
      <c r="D1136" s="0" t="s">
        <v>2126</v>
      </c>
      <c r="E1136" s="0" t="n">
        <v>1814</v>
      </c>
      <c r="F1136" s="0" t="s">
        <v>341</v>
      </c>
      <c r="I1136" s="0" t="n">
        <v>27621</v>
      </c>
      <c r="J1136" s="0" t="n">
        <v>81422</v>
      </c>
      <c r="K1136" s="0" t="n">
        <v>7898951519336</v>
      </c>
      <c r="L1136" s="0" t="s">
        <v>2314</v>
      </c>
      <c r="N1136" s="0" t="n">
        <v>4</v>
      </c>
      <c r="O1136" s="60" t="n">
        <v>60</v>
      </c>
    </row>
    <row r="1137" customFormat="false" ht="15" hidden="false" customHeight="false" outlineLevel="0" collapsed="false">
      <c r="A1137" s="0" t="n">
        <v>3</v>
      </c>
      <c r="B1137" s="59" t="n">
        <v>46220</v>
      </c>
      <c r="C1137" s="0" t="n">
        <v>11</v>
      </c>
      <c r="D1137" s="0" t="s">
        <v>2126</v>
      </c>
      <c r="E1137" s="0" t="n">
        <v>1445</v>
      </c>
      <c r="F1137" s="0" t="s">
        <v>1270</v>
      </c>
      <c r="I1137" s="0" t="n">
        <v>27791</v>
      </c>
      <c r="J1137" s="0" t="n">
        <v>28745</v>
      </c>
      <c r="K1137" s="0" t="n">
        <v>7898949135197</v>
      </c>
      <c r="L1137" s="0" t="s">
        <v>2761</v>
      </c>
      <c r="N1137" s="0" t="n">
        <v>9</v>
      </c>
      <c r="O1137" s="60" t="n">
        <v>771.6</v>
      </c>
    </row>
    <row r="1138" customFormat="false" ht="15" hidden="false" customHeight="false" outlineLevel="0" collapsed="false">
      <c r="A1138" s="0" t="n">
        <v>3</v>
      </c>
      <c r="B1138" s="59" t="n">
        <v>46220</v>
      </c>
      <c r="C1138" s="0" t="n">
        <v>11</v>
      </c>
      <c r="D1138" s="0" t="s">
        <v>2126</v>
      </c>
      <c r="E1138" s="0" t="n">
        <v>1445</v>
      </c>
      <c r="F1138" s="0" t="s">
        <v>1270</v>
      </c>
      <c r="I1138" s="0" t="n">
        <v>27791</v>
      </c>
      <c r="J1138" s="0" t="n">
        <v>62173</v>
      </c>
      <c r="K1138" s="0" t="n">
        <v>7898949135227</v>
      </c>
      <c r="L1138" s="0" t="s">
        <v>2762</v>
      </c>
      <c r="N1138" s="0" t="n">
        <v>5</v>
      </c>
      <c r="O1138" s="60" t="n">
        <v>464.65</v>
      </c>
    </row>
    <row r="1139" customFormat="false" ht="15" hidden="false" customHeight="false" outlineLevel="0" collapsed="false">
      <c r="A1139" s="0" t="n">
        <v>3</v>
      </c>
      <c r="B1139" s="59" t="n">
        <v>46220</v>
      </c>
      <c r="C1139" s="0" t="n">
        <v>11</v>
      </c>
      <c r="D1139" s="0" t="s">
        <v>2126</v>
      </c>
      <c r="E1139" s="0" t="n">
        <v>1445</v>
      </c>
      <c r="F1139" s="0" t="s">
        <v>1270</v>
      </c>
      <c r="I1139" s="0" t="n">
        <v>27791</v>
      </c>
      <c r="J1139" s="0" t="n">
        <v>81770</v>
      </c>
      <c r="K1139" s="0" t="n">
        <v>7898751030024</v>
      </c>
      <c r="L1139" s="0" t="s">
        <v>2763</v>
      </c>
      <c r="N1139" s="0" t="n">
        <v>5</v>
      </c>
      <c r="O1139" s="60" t="n">
        <v>732.51</v>
      </c>
    </row>
    <row r="1140" customFormat="false" ht="15" hidden="false" customHeight="false" outlineLevel="0" collapsed="false">
      <c r="A1140" s="0" t="n">
        <v>3</v>
      </c>
      <c r="B1140" s="59" t="n">
        <v>46220</v>
      </c>
      <c r="C1140" s="0" t="n">
        <v>11</v>
      </c>
      <c r="D1140" s="0" t="s">
        <v>2126</v>
      </c>
      <c r="E1140" s="0" t="n">
        <v>1873</v>
      </c>
      <c r="F1140" s="0" t="s">
        <v>1336</v>
      </c>
      <c r="I1140" s="0" t="n">
        <v>111670</v>
      </c>
      <c r="J1140" s="0" t="n">
        <v>101854</v>
      </c>
      <c r="K1140" s="0" t="n">
        <v>7898071010010</v>
      </c>
      <c r="L1140" s="0" t="s">
        <v>2764</v>
      </c>
      <c r="N1140" s="0" t="n">
        <v>50</v>
      </c>
      <c r="O1140" s="60" t="n">
        <v>225</v>
      </c>
    </row>
    <row r="1141" customFormat="false" ht="15" hidden="false" customHeight="false" outlineLevel="0" collapsed="false">
      <c r="A1141" s="0" t="n">
        <v>3</v>
      </c>
      <c r="B1141" s="59" t="n">
        <v>46220</v>
      </c>
      <c r="C1141" s="0" t="n">
        <v>11</v>
      </c>
      <c r="D1141" s="0" t="s">
        <v>2126</v>
      </c>
      <c r="E1141" s="0" t="n">
        <v>1873</v>
      </c>
      <c r="F1141" s="0" t="s">
        <v>1336</v>
      </c>
      <c r="I1141" s="0" t="n">
        <v>111670</v>
      </c>
      <c r="J1141" s="0" t="n">
        <v>101855</v>
      </c>
      <c r="K1141" s="0" t="n">
        <v>7898071010027</v>
      </c>
      <c r="L1141" s="0" t="s">
        <v>2765</v>
      </c>
      <c r="N1141" s="0" t="n">
        <v>40</v>
      </c>
      <c r="O1141" s="60" t="n">
        <v>450</v>
      </c>
    </row>
    <row r="1142" customFormat="false" ht="15" hidden="false" customHeight="false" outlineLevel="0" collapsed="false">
      <c r="A1142" s="0" t="n">
        <v>3</v>
      </c>
      <c r="B1142" s="59" t="n">
        <v>46220</v>
      </c>
      <c r="C1142" s="0" t="n">
        <v>11</v>
      </c>
      <c r="D1142" s="0" t="s">
        <v>2126</v>
      </c>
      <c r="E1142" s="0" t="n">
        <v>1705</v>
      </c>
      <c r="F1142" s="0" t="s">
        <v>123</v>
      </c>
      <c r="I1142" s="0" t="n">
        <v>1207168</v>
      </c>
      <c r="J1142" s="0" t="n">
        <v>102360</v>
      </c>
      <c r="K1142" s="0" t="n">
        <v>7894900593709</v>
      </c>
      <c r="L1142" s="0" t="s">
        <v>2766</v>
      </c>
      <c r="N1142" s="0" t="n">
        <v>84</v>
      </c>
      <c r="O1142" s="60" t="n">
        <v>163.44</v>
      </c>
    </row>
    <row r="1143" customFormat="false" ht="15" hidden="false" customHeight="false" outlineLevel="0" collapsed="false">
      <c r="A1143" s="0" t="n">
        <v>3</v>
      </c>
      <c r="B1143" s="59" t="n">
        <v>46220</v>
      </c>
      <c r="C1143" s="0" t="n">
        <v>11</v>
      </c>
      <c r="D1143" s="0" t="s">
        <v>2126</v>
      </c>
      <c r="E1143" s="0" t="n">
        <v>1705</v>
      </c>
      <c r="F1143" s="0" t="s">
        <v>123</v>
      </c>
      <c r="I1143" s="0" t="n">
        <v>1207168</v>
      </c>
      <c r="J1143" s="0" t="n">
        <v>102361</v>
      </c>
      <c r="K1143" s="0" t="n">
        <v>7894900573701</v>
      </c>
      <c r="L1143" s="0" t="s">
        <v>2767</v>
      </c>
      <c r="N1143" s="0" t="n">
        <v>24</v>
      </c>
      <c r="O1143" s="60" t="n">
        <v>46.7</v>
      </c>
    </row>
    <row r="1144" customFormat="false" ht="15" hidden="false" customHeight="false" outlineLevel="0" collapsed="false">
      <c r="A1144" s="0" t="n">
        <v>3</v>
      </c>
      <c r="B1144" s="59" t="n">
        <v>46220</v>
      </c>
      <c r="C1144" s="0" t="n">
        <v>11</v>
      </c>
      <c r="D1144" s="0" t="s">
        <v>2126</v>
      </c>
      <c r="E1144" s="0" t="n">
        <v>1705</v>
      </c>
      <c r="F1144" s="0" t="s">
        <v>123</v>
      </c>
      <c r="I1144" s="0" t="n">
        <v>1207168</v>
      </c>
      <c r="J1144" s="0" t="n">
        <v>102362</v>
      </c>
      <c r="K1144" s="0" t="n">
        <v>7894900583700</v>
      </c>
      <c r="L1144" s="0" t="s">
        <v>2768</v>
      </c>
      <c r="N1144" s="0" t="n">
        <v>48</v>
      </c>
      <c r="O1144" s="60" t="n">
        <v>93.4</v>
      </c>
    </row>
    <row r="1145" customFormat="false" ht="15" hidden="false" customHeight="false" outlineLevel="0" collapsed="false">
      <c r="A1145" s="0" t="n">
        <v>3</v>
      </c>
      <c r="B1145" s="59" t="n">
        <v>46220</v>
      </c>
      <c r="C1145" s="0" t="n">
        <v>11</v>
      </c>
      <c r="D1145" s="0" t="s">
        <v>2126</v>
      </c>
      <c r="E1145" s="0" t="n">
        <v>1705</v>
      </c>
      <c r="F1145" s="0" t="s">
        <v>123</v>
      </c>
      <c r="I1145" s="0" t="n">
        <v>1207168</v>
      </c>
      <c r="J1145" s="0" t="n">
        <v>102363</v>
      </c>
      <c r="K1145" s="0" t="n">
        <v>7894900563702</v>
      </c>
      <c r="L1145" s="0" t="s">
        <v>2769</v>
      </c>
      <c r="N1145" s="0" t="n">
        <v>72</v>
      </c>
      <c r="O1145" s="60" t="n">
        <v>140.1</v>
      </c>
    </row>
    <row r="1146" customFormat="false" ht="15" hidden="false" customHeight="false" outlineLevel="0" collapsed="false">
      <c r="A1146" s="0" t="n">
        <v>3</v>
      </c>
      <c r="B1146" s="59" t="n">
        <v>46220</v>
      </c>
      <c r="C1146" s="0" t="n">
        <v>11</v>
      </c>
      <c r="D1146" s="0" t="s">
        <v>2126</v>
      </c>
      <c r="E1146" s="0" t="n">
        <v>1705</v>
      </c>
      <c r="F1146" s="0" t="s">
        <v>123</v>
      </c>
      <c r="I1146" s="0" t="n">
        <v>1207168</v>
      </c>
      <c r="J1146" s="0" t="n">
        <v>103159</v>
      </c>
      <c r="K1146" s="0" t="n">
        <v>7894900050011</v>
      </c>
      <c r="L1146" s="0" t="s">
        <v>2770</v>
      </c>
      <c r="N1146" s="0" t="n">
        <v>24</v>
      </c>
      <c r="O1146" s="60" t="n">
        <v>67.27</v>
      </c>
    </row>
    <row r="1147" customFormat="false" ht="15" hidden="false" customHeight="false" outlineLevel="0" collapsed="false">
      <c r="A1147" s="0" t="n">
        <v>3</v>
      </c>
      <c r="B1147" s="59" t="n">
        <v>46220</v>
      </c>
      <c r="C1147" s="0" t="n">
        <v>11</v>
      </c>
      <c r="D1147" s="0" t="s">
        <v>2126</v>
      </c>
      <c r="E1147" s="0" t="n">
        <v>1705</v>
      </c>
      <c r="F1147" s="0" t="s">
        <v>123</v>
      </c>
      <c r="I1147" s="0" t="n">
        <v>1207168</v>
      </c>
      <c r="J1147" s="0" t="n">
        <v>104575</v>
      </c>
      <c r="K1147" s="0" t="n">
        <v>7898341430098</v>
      </c>
      <c r="L1147" s="0" t="s">
        <v>2771</v>
      </c>
      <c r="N1147" s="0" t="n">
        <v>6</v>
      </c>
      <c r="O1147" s="60" t="n">
        <v>46.94</v>
      </c>
    </row>
    <row r="1148" customFormat="false" ht="15" hidden="false" customHeight="false" outlineLevel="0" collapsed="false">
      <c r="A1148" s="0" t="n">
        <v>3</v>
      </c>
      <c r="B1148" s="59" t="n">
        <v>46220</v>
      </c>
      <c r="C1148" s="0" t="n">
        <v>11</v>
      </c>
      <c r="D1148" s="0" t="s">
        <v>2126</v>
      </c>
      <c r="E1148" s="0" t="n">
        <v>1705</v>
      </c>
      <c r="F1148" s="0" t="s">
        <v>123</v>
      </c>
      <c r="I1148" s="0" t="n">
        <v>1207168</v>
      </c>
      <c r="J1148" s="0" t="n">
        <v>27643</v>
      </c>
      <c r="K1148" s="0" t="n">
        <v>7894900031713</v>
      </c>
      <c r="L1148" s="0" t="s">
        <v>2772</v>
      </c>
      <c r="N1148" s="0" t="n">
        <v>24</v>
      </c>
      <c r="O1148" s="60" t="n">
        <v>113.72</v>
      </c>
    </row>
    <row r="1149" customFormat="false" ht="15" hidden="false" customHeight="false" outlineLevel="0" collapsed="false">
      <c r="A1149" s="0" t="n">
        <v>3</v>
      </c>
      <c r="B1149" s="59" t="n">
        <v>46220</v>
      </c>
      <c r="C1149" s="0" t="n">
        <v>11</v>
      </c>
      <c r="D1149" s="0" t="s">
        <v>2126</v>
      </c>
      <c r="E1149" s="0" t="n">
        <v>1705</v>
      </c>
      <c r="F1149" s="0" t="s">
        <v>123</v>
      </c>
      <c r="I1149" s="0" t="n">
        <v>1207168</v>
      </c>
      <c r="J1149" s="0" t="n">
        <v>29747</v>
      </c>
      <c r="K1149" s="0" t="n">
        <v>70847022305</v>
      </c>
      <c r="L1149" s="0" t="s">
        <v>2773</v>
      </c>
      <c r="N1149" s="0" t="n">
        <v>6</v>
      </c>
      <c r="O1149" s="60" t="n">
        <v>50.39</v>
      </c>
    </row>
    <row r="1150" customFormat="false" ht="15" hidden="false" customHeight="false" outlineLevel="0" collapsed="false">
      <c r="A1150" s="0" t="n">
        <v>3</v>
      </c>
      <c r="B1150" s="59" t="n">
        <v>46220</v>
      </c>
      <c r="C1150" s="0" t="n">
        <v>11</v>
      </c>
      <c r="D1150" s="0" t="s">
        <v>2126</v>
      </c>
      <c r="E1150" s="0" t="n">
        <v>1705</v>
      </c>
      <c r="F1150" s="0" t="s">
        <v>123</v>
      </c>
      <c r="I1150" s="0" t="n">
        <v>1207168</v>
      </c>
      <c r="J1150" s="0" t="n">
        <v>29749</v>
      </c>
      <c r="K1150" s="0" t="n">
        <v>70847033929</v>
      </c>
      <c r="L1150" s="0" t="s">
        <v>2774</v>
      </c>
      <c r="N1150" s="0" t="n">
        <v>6</v>
      </c>
      <c r="O1150" s="60" t="n">
        <v>50.39</v>
      </c>
    </row>
    <row r="1151" customFormat="false" ht="15" hidden="false" customHeight="false" outlineLevel="0" collapsed="false">
      <c r="A1151" s="0" t="n">
        <v>3</v>
      </c>
      <c r="B1151" s="59" t="n">
        <v>46220</v>
      </c>
      <c r="C1151" s="0" t="n">
        <v>11</v>
      </c>
      <c r="D1151" s="0" t="s">
        <v>2126</v>
      </c>
      <c r="E1151" s="0" t="n">
        <v>1705</v>
      </c>
      <c r="F1151" s="0" t="s">
        <v>123</v>
      </c>
      <c r="I1151" s="0" t="n">
        <v>1207168</v>
      </c>
      <c r="J1151" s="0" t="n">
        <v>62378</v>
      </c>
      <c r="K1151" s="0" t="n">
        <v>7896045506934</v>
      </c>
      <c r="L1151" s="0" t="s">
        <v>2775</v>
      </c>
      <c r="N1151" s="0" t="n">
        <v>120</v>
      </c>
      <c r="O1151" s="60" t="n">
        <v>413.75</v>
      </c>
    </row>
    <row r="1152" customFormat="false" ht="15" hidden="false" customHeight="false" outlineLevel="0" collapsed="false">
      <c r="A1152" s="0" t="n">
        <v>3</v>
      </c>
      <c r="B1152" s="59" t="n">
        <v>46220</v>
      </c>
      <c r="C1152" s="0" t="n">
        <v>11</v>
      </c>
      <c r="D1152" s="0" t="s">
        <v>2126</v>
      </c>
      <c r="E1152" s="0" t="n">
        <v>1705</v>
      </c>
      <c r="F1152" s="0" t="s">
        <v>123</v>
      </c>
      <c r="I1152" s="0" t="n">
        <v>1207168</v>
      </c>
      <c r="J1152" s="0" t="n">
        <v>77914</v>
      </c>
      <c r="K1152" s="0" t="n">
        <v>7894900530001</v>
      </c>
      <c r="L1152" s="0" t="s">
        <v>2568</v>
      </c>
      <c r="N1152" s="0" t="n">
        <v>24</v>
      </c>
      <c r="O1152" s="60" t="n">
        <v>30</v>
      </c>
    </row>
    <row r="1153" customFormat="false" ht="15" hidden="false" customHeight="false" outlineLevel="0" collapsed="false">
      <c r="A1153" s="0" t="n">
        <v>3</v>
      </c>
      <c r="B1153" s="59" t="n">
        <v>46220</v>
      </c>
      <c r="C1153" s="0" t="n">
        <v>11</v>
      </c>
      <c r="D1153" s="0" t="s">
        <v>2126</v>
      </c>
      <c r="E1153" s="0" t="n">
        <v>1705</v>
      </c>
      <c r="F1153" s="0" t="s">
        <v>123</v>
      </c>
      <c r="I1153" s="0" t="n">
        <v>1207168</v>
      </c>
      <c r="J1153" s="0" t="n">
        <v>78241</v>
      </c>
      <c r="K1153" s="0" t="n">
        <v>7898938890120</v>
      </c>
      <c r="L1153" s="0" t="s">
        <v>2776</v>
      </c>
      <c r="N1153" s="0" t="n">
        <v>6</v>
      </c>
      <c r="O1153" s="60" t="n">
        <v>50.39</v>
      </c>
    </row>
    <row r="1154" customFormat="false" ht="15" hidden="false" customHeight="false" outlineLevel="0" collapsed="false">
      <c r="A1154" s="0" t="n">
        <v>3</v>
      </c>
      <c r="B1154" s="59" t="n">
        <v>46220</v>
      </c>
      <c r="C1154" s="0" t="n">
        <v>11</v>
      </c>
      <c r="D1154" s="0" t="s">
        <v>2126</v>
      </c>
      <c r="E1154" s="0" t="n">
        <v>1705</v>
      </c>
      <c r="F1154" s="0" t="s">
        <v>123</v>
      </c>
      <c r="I1154" s="0" t="n">
        <v>1207168</v>
      </c>
      <c r="J1154" s="0" t="n">
        <v>78351</v>
      </c>
      <c r="K1154" s="0" t="n">
        <v>7894900530032</v>
      </c>
      <c r="L1154" s="0" t="s">
        <v>2569</v>
      </c>
      <c r="N1154" s="0" t="n">
        <v>60</v>
      </c>
      <c r="O1154" s="60" t="n">
        <v>185.7</v>
      </c>
    </row>
    <row r="1155" customFormat="false" ht="15" hidden="false" customHeight="false" outlineLevel="0" collapsed="false">
      <c r="A1155" s="0" t="n">
        <v>3</v>
      </c>
      <c r="B1155" s="59" t="n">
        <v>46220</v>
      </c>
      <c r="C1155" s="0" t="n">
        <v>11</v>
      </c>
      <c r="D1155" s="0" t="s">
        <v>2126</v>
      </c>
      <c r="E1155" s="0" t="n">
        <v>1705</v>
      </c>
      <c r="F1155" s="0" t="s">
        <v>123</v>
      </c>
      <c r="I1155" s="0" t="n">
        <v>1940210</v>
      </c>
      <c r="J1155" s="0" t="n">
        <v>103161</v>
      </c>
      <c r="K1155" s="0" t="n">
        <v>7894900010015</v>
      </c>
      <c r="L1155" s="0" t="s">
        <v>2584</v>
      </c>
      <c r="N1155" s="0" t="n">
        <v>120</v>
      </c>
      <c r="O1155" s="60" t="n">
        <v>377.46</v>
      </c>
    </row>
    <row r="1156" customFormat="false" ht="15" hidden="false" customHeight="false" outlineLevel="0" collapsed="false">
      <c r="A1156" s="0" t="n">
        <v>3</v>
      </c>
      <c r="B1156" s="59" t="n">
        <v>46220</v>
      </c>
      <c r="C1156" s="0" t="n">
        <v>11</v>
      </c>
      <c r="D1156" s="0" t="s">
        <v>2126</v>
      </c>
      <c r="E1156" s="0" t="n">
        <v>1705</v>
      </c>
      <c r="F1156" s="0" t="s">
        <v>123</v>
      </c>
      <c r="I1156" s="0" t="n">
        <v>1940210</v>
      </c>
      <c r="J1156" s="0" t="n">
        <v>22893</v>
      </c>
      <c r="K1156" s="0" t="n">
        <v>7894900550061</v>
      </c>
      <c r="L1156" s="0" t="s">
        <v>2592</v>
      </c>
      <c r="N1156" s="0" t="n">
        <v>12</v>
      </c>
      <c r="O1156" s="60" t="n">
        <v>70.43</v>
      </c>
    </row>
    <row r="1157" customFormat="false" ht="15" hidden="false" customHeight="false" outlineLevel="0" collapsed="false">
      <c r="A1157" s="0" t="n">
        <v>3</v>
      </c>
      <c r="B1157" s="59" t="n">
        <v>46220</v>
      </c>
      <c r="C1157" s="0" t="n">
        <v>11</v>
      </c>
      <c r="D1157" s="0" t="s">
        <v>2126</v>
      </c>
      <c r="E1157" s="0" t="n">
        <v>1705</v>
      </c>
      <c r="F1157" s="0" t="s">
        <v>123</v>
      </c>
      <c r="I1157" s="0" t="n">
        <v>1940210</v>
      </c>
      <c r="J1157" s="0" t="n">
        <v>32339</v>
      </c>
      <c r="K1157" s="0" t="n">
        <v>7894900681000</v>
      </c>
      <c r="L1157" s="0" t="s">
        <v>2598</v>
      </c>
      <c r="N1157" s="0" t="n">
        <v>18</v>
      </c>
      <c r="O1157" s="60" t="n">
        <v>133.74</v>
      </c>
    </row>
    <row r="1158" customFormat="false" ht="15" hidden="false" customHeight="false" outlineLevel="0" collapsed="false">
      <c r="A1158" s="0" t="n">
        <v>3</v>
      </c>
      <c r="B1158" s="59" t="n">
        <v>46220</v>
      </c>
      <c r="C1158" s="0" t="n">
        <v>11</v>
      </c>
      <c r="D1158" s="0" t="s">
        <v>2126</v>
      </c>
      <c r="E1158" s="0" t="n">
        <v>1705</v>
      </c>
      <c r="F1158" s="0" t="s">
        <v>123</v>
      </c>
      <c r="I1158" s="0" t="n">
        <v>1940210</v>
      </c>
      <c r="J1158" s="0" t="n">
        <v>34629</v>
      </c>
      <c r="K1158" s="0" t="n">
        <v>7894900027020</v>
      </c>
      <c r="L1158" s="0" t="s">
        <v>2777</v>
      </c>
      <c r="N1158" s="0" t="n">
        <v>24</v>
      </c>
      <c r="O1158" s="60" t="n">
        <v>236.15</v>
      </c>
    </row>
    <row r="1159" customFormat="false" ht="15" hidden="false" customHeight="false" outlineLevel="0" collapsed="false">
      <c r="A1159" s="0" t="n">
        <v>3</v>
      </c>
      <c r="B1159" s="59" t="n">
        <v>46220</v>
      </c>
      <c r="C1159" s="0" t="n">
        <v>11</v>
      </c>
      <c r="D1159" s="0" t="s">
        <v>2126</v>
      </c>
      <c r="E1159" s="0" t="n">
        <v>1705</v>
      </c>
      <c r="F1159" s="0" t="s">
        <v>123</v>
      </c>
      <c r="I1159" s="0" t="n">
        <v>1940210</v>
      </c>
      <c r="J1159" s="0" t="n">
        <v>38978</v>
      </c>
      <c r="K1159" s="0" t="n">
        <v>7894900034097</v>
      </c>
      <c r="L1159" s="0" t="s">
        <v>2778</v>
      </c>
      <c r="N1159" s="0" t="n">
        <v>12</v>
      </c>
      <c r="O1159" s="60" t="n">
        <v>44.88</v>
      </c>
    </row>
    <row r="1160" customFormat="false" ht="15" hidden="false" customHeight="false" outlineLevel="0" collapsed="false">
      <c r="A1160" s="0" t="n">
        <v>3</v>
      </c>
      <c r="B1160" s="59" t="n">
        <v>46220</v>
      </c>
      <c r="C1160" s="0" t="n">
        <v>11</v>
      </c>
      <c r="D1160" s="0" t="s">
        <v>2126</v>
      </c>
      <c r="E1160" s="0" t="n">
        <v>1705</v>
      </c>
      <c r="F1160" s="0" t="s">
        <v>123</v>
      </c>
      <c r="I1160" s="0" t="n">
        <v>1940210</v>
      </c>
      <c r="J1160" s="0" t="n">
        <v>38984</v>
      </c>
      <c r="K1160" s="0" t="n">
        <v>7894900027457</v>
      </c>
      <c r="L1160" s="0" t="s">
        <v>2779</v>
      </c>
      <c r="N1160" s="0" t="n">
        <v>36</v>
      </c>
      <c r="O1160" s="60" t="n">
        <v>134.65</v>
      </c>
    </row>
    <row r="1161" customFormat="false" ht="15" hidden="false" customHeight="false" outlineLevel="0" collapsed="false">
      <c r="A1161" s="0" t="n">
        <v>3</v>
      </c>
      <c r="B1161" s="59" t="n">
        <v>46220</v>
      </c>
      <c r="C1161" s="0" t="n">
        <v>11</v>
      </c>
      <c r="D1161" s="0" t="s">
        <v>2126</v>
      </c>
      <c r="E1161" s="0" t="n">
        <v>1705</v>
      </c>
      <c r="F1161" s="0" t="s">
        <v>123</v>
      </c>
      <c r="I1161" s="0" t="n">
        <v>1940210</v>
      </c>
      <c r="J1161" s="0" t="n">
        <v>38985</v>
      </c>
      <c r="K1161" s="0" t="n">
        <v>7894900044096</v>
      </c>
      <c r="L1161" s="0" t="s">
        <v>2780</v>
      </c>
      <c r="N1161" s="0" t="n">
        <v>12</v>
      </c>
      <c r="O1161" s="60" t="n">
        <v>44.88</v>
      </c>
    </row>
    <row r="1162" customFormat="false" ht="15" hidden="false" customHeight="false" outlineLevel="0" collapsed="false">
      <c r="A1162" s="0" t="n">
        <v>3</v>
      </c>
      <c r="B1162" s="59" t="n">
        <v>46221</v>
      </c>
      <c r="C1162" s="0" t="n">
        <v>1</v>
      </c>
      <c r="D1162" s="0" t="s">
        <v>2118</v>
      </c>
      <c r="E1162" s="0" t="n">
        <v>10035</v>
      </c>
      <c r="F1162" s="0" t="s">
        <v>229</v>
      </c>
      <c r="I1162" s="0" t="n">
        <v>368</v>
      </c>
      <c r="J1162" s="0" t="n">
        <v>43726</v>
      </c>
      <c r="K1162" s="0" t="n">
        <v>2245461</v>
      </c>
      <c r="L1162" s="0" t="s">
        <v>2339</v>
      </c>
      <c r="N1162" s="0" t="n">
        <v>10</v>
      </c>
      <c r="O1162" s="60" t="n">
        <v>200</v>
      </c>
    </row>
    <row r="1163" customFormat="false" ht="15" hidden="false" customHeight="false" outlineLevel="0" collapsed="false">
      <c r="A1163" s="0" t="n">
        <v>3</v>
      </c>
      <c r="B1163" s="59" t="n">
        <v>46221</v>
      </c>
      <c r="C1163" s="0" t="n">
        <v>6</v>
      </c>
      <c r="D1163" s="0" t="s">
        <v>2125</v>
      </c>
      <c r="E1163" s="0" t="n">
        <v>42</v>
      </c>
      <c r="F1163" s="0" t="s">
        <v>81</v>
      </c>
      <c r="I1163" s="0" t="n">
        <v>4392</v>
      </c>
      <c r="J1163" s="0" t="n">
        <v>100103</v>
      </c>
      <c r="K1163" s="0" t="n">
        <v>104</v>
      </c>
      <c r="L1163" s="0" t="s">
        <v>2193</v>
      </c>
      <c r="N1163" s="0" t="n">
        <v>20</v>
      </c>
      <c r="O1163" s="60" t="n">
        <v>120</v>
      </c>
    </row>
    <row r="1164" customFormat="false" ht="15" hidden="false" customHeight="false" outlineLevel="0" collapsed="false">
      <c r="A1164" s="0" t="n">
        <v>3</v>
      </c>
      <c r="B1164" s="59" t="n">
        <v>46221</v>
      </c>
      <c r="C1164" s="0" t="n">
        <v>6</v>
      </c>
      <c r="D1164" s="0" t="s">
        <v>2125</v>
      </c>
      <c r="E1164" s="0" t="n">
        <v>42</v>
      </c>
      <c r="F1164" s="0" t="s">
        <v>81</v>
      </c>
      <c r="I1164" s="0" t="n">
        <v>4397</v>
      </c>
      <c r="J1164" s="0" t="n">
        <v>109791</v>
      </c>
      <c r="K1164" s="0" t="n">
        <v>9667</v>
      </c>
      <c r="L1164" s="0" t="s">
        <v>2123</v>
      </c>
      <c r="N1164" s="0" t="n">
        <v>16</v>
      </c>
      <c r="O1164" s="60" t="n">
        <v>40</v>
      </c>
    </row>
    <row r="1165" customFormat="false" ht="15" hidden="false" customHeight="false" outlineLevel="0" collapsed="false">
      <c r="A1165" s="0" t="n">
        <v>3</v>
      </c>
      <c r="B1165" s="59" t="n">
        <v>46221</v>
      </c>
      <c r="C1165" s="0" t="n">
        <v>6</v>
      </c>
      <c r="D1165" s="0" t="s">
        <v>2125</v>
      </c>
      <c r="E1165" s="0" t="n">
        <v>42</v>
      </c>
      <c r="F1165" s="0" t="s">
        <v>81</v>
      </c>
      <c r="I1165" s="0" t="n">
        <v>4397</v>
      </c>
      <c r="J1165" s="0" t="n">
        <v>37359</v>
      </c>
      <c r="K1165" s="0" t="n">
        <v>55526</v>
      </c>
      <c r="L1165" s="0" t="s">
        <v>2194</v>
      </c>
      <c r="N1165" s="0" t="n">
        <v>10</v>
      </c>
      <c r="O1165" s="60" t="n">
        <v>50</v>
      </c>
    </row>
    <row r="1166" customFormat="false" ht="15" hidden="false" customHeight="false" outlineLevel="0" collapsed="false">
      <c r="A1166" s="0" t="n">
        <v>3</v>
      </c>
      <c r="B1166" s="59" t="n">
        <v>46221</v>
      </c>
      <c r="C1166" s="0" t="n">
        <v>6</v>
      </c>
      <c r="D1166" s="0" t="s">
        <v>2125</v>
      </c>
      <c r="E1166" s="0" t="n">
        <v>42</v>
      </c>
      <c r="F1166" s="0" t="s">
        <v>81</v>
      </c>
      <c r="I1166" s="0" t="n">
        <v>4397</v>
      </c>
      <c r="J1166" s="0" t="n">
        <v>37361</v>
      </c>
      <c r="K1166" s="0" t="n">
        <v>2240817</v>
      </c>
      <c r="L1166" s="0" t="s">
        <v>2124</v>
      </c>
      <c r="N1166" s="0" t="n">
        <v>120</v>
      </c>
      <c r="O1166" s="60" t="n">
        <v>240</v>
      </c>
    </row>
    <row r="1167" customFormat="false" ht="15" hidden="false" customHeight="false" outlineLevel="0" collapsed="false">
      <c r="A1167" s="0" t="n">
        <v>3</v>
      </c>
      <c r="B1167" s="59" t="n">
        <v>46221</v>
      </c>
      <c r="C1167" s="0" t="n">
        <v>11</v>
      </c>
      <c r="D1167" s="0" t="s">
        <v>2126</v>
      </c>
      <c r="E1167" s="0" t="n">
        <v>1027</v>
      </c>
      <c r="F1167" s="0" t="s">
        <v>1331</v>
      </c>
      <c r="I1167" s="0" t="n">
        <v>2535</v>
      </c>
      <c r="J1167" s="0" t="n">
        <v>62572</v>
      </c>
      <c r="K1167" s="0" t="n">
        <v>7891172121104</v>
      </c>
      <c r="L1167" s="0" t="s">
        <v>2781</v>
      </c>
      <c r="N1167" s="0" t="n">
        <v>120</v>
      </c>
      <c r="O1167" s="60" t="n">
        <v>32.98</v>
      </c>
    </row>
    <row r="1168" customFormat="false" ht="15" hidden="false" customHeight="false" outlineLevel="0" collapsed="false">
      <c r="A1168" s="0" t="n">
        <v>3</v>
      </c>
      <c r="B1168" s="59" t="n">
        <v>46221</v>
      </c>
      <c r="C1168" s="0" t="n">
        <v>11</v>
      </c>
      <c r="D1168" s="0" t="s">
        <v>2126</v>
      </c>
      <c r="E1168" s="0" t="n">
        <v>1027</v>
      </c>
      <c r="F1168" s="0" t="s">
        <v>1331</v>
      </c>
      <c r="I1168" s="0" t="n">
        <v>2535</v>
      </c>
      <c r="J1168" s="0" t="n">
        <v>62572</v>
      </c>
      <c r="K1168" s="0" t="n">
        <v>7891172121104</v>
      </c>
      <c r="L1168" s="0" t="s">
        <v>2781</v>
      </c>
      <c r="N1168" s="0" t="n">
        <v>120</v>
      </c>
      <c r="O1168" s="60" t="n">
        <v>32.98</v>
      </c>
    </row>
    <row r="1169" customFormat="false" ht="15" hidden="false" customHeight="false" outlineLevel="0" collapsed="false">
      <c r="A1169" s="0" t="n">
        <v>3</v>
      </c>
      <c r="B1169" s="59" t="n">
        <v>46221</v>
      </c>
      <c r="C1169" s="0" t="n">
        <v>11</v>
      </c>
      <c r="D1169" s="0" t="s">
        <v>2126</v>
      </c>
      <c r="E1169" s="0" t="n">
        <v>1027</v>
      </c>
      <c r="F1169" s="0" t="s">
        <v>1331</v>
      </c>
      <c r="I1169" s="0" t="n">
        <v>2535</v>
      </c>
      <c r="J1169" s="0" t="n">
        <v>62572</v>
      </c>
      <c r="K1169" s="0" t="n">
        <v>7891172121104</v>
      </c>
      <c r="L1169" s="0" t="s">
        <v>2781</v>
      </c>
      <c r="N1169" s="0" t="n">
        <v>120</v>
      </c>
      <c r="O1169" s="60" t="n">
        <v>32.98</v>
      </c>
    </row>
    <row r="1170" customFormat="false" ht="15" hidden="false" customHeight="false" outlineLevel="0" collapsed="false">
      <c r="A1170" s="0" t="n">
        <v>3</v>
      </c>
      <c r="B1170" s="59" t="n">
        <v>46221</v>
      </c>
      <c r="C1170" s="0" t="n">
        <v>11</v>
      </c>
      <c r="D1170" s="0" t="s">
        <v>2126</v>
      </c>
      <c r="E1170" s="0" t="n">
        <v>1027</v>
      </c>
      <c r="F1170" s="0" t="s">
        <v>1331</v>
      </c>
      <c r="I1170" s="0" t="n">
        <v>2535</v>
      </c>
      <c r="J1170" s="0" t="n">
        <v>62572</v>
      </c>
      <c r="K1170" s="0" t="n">
        <v>7891172121104</v>
      </c>
      <c r="L1170" s="0" t="s">
        <v>2781</v>
      </c>
      <c r="N1170" s="0" t="n">
        <v>120</v>
      </c>
      <c r="O1170" s="60" t="n">
        <v>32.98</v>
      </c>
    </row>
    <row r="1171" customFormat="false" ht="15" hidden="false" customHeight="false" outlineLevel="0" collapsed="false">
      <c r="A1171" s="0" t="n">
        <v>3</v>
      </c>
      <c r="B1171" s="59" t="n">
        <v>46221</v>
      </c>
      <c r="C1171" s="0" t="n">
        <v>11</v>
      </c>
      <c r="D1171" s="0" t="s">
        <v>2126</v>
      </c>
      <c r="E1171" s="0" t="n">
        <v>1027</v>
      </c>
      <c r="F1171" s="0" t="s">
        <v>1331</v>
      </c>
      <c r="I1171" s="0" t="n">
        <v>2535</v>
      </c>
      <c r="J1171" s="0" t="n">
        <v>81756</v>
      </c>
      <c r="K1171" s="0" t="n">
        <v>817578</v>
      </c>
      <c r="L1171" s="0" t="s">
        <v>2782</v>
      </c>
      <c r="N1171" s="0" t="n">
        <v>60</v>
      </c>
      <c r="O1171" s="60" t="n">
        <v>102.74</v>
      </c>
    </row>
    <row r="1172" customFormat="false" ht="15" hidden="false" customHeight="false" outlineLevel="0" collapsed="false">
      <c r="A1172" s="0" t="n">
        <v>3</v>
      </c>
      <c r="B1172" s="59" t="n">
        <v>46221</v>
      </c>
      <c r="C1172" s="0" t="n">
        <v>11</v>
      </c>
      <c r="D1172" s="0" t="s">
        <v>2126</v>
      </c>
      <c r="E1172" s="0" t="n">
        <v>1027</v>
      </c>
      <c r="F1172" s="0" t="s">
        <v>1331</v>
      </c>
      <c r="I1172" s="0" t="n">
        <v>2535</v>
      </c>
      <c r="J1172" s="0" t="n">
        <v>81758</v>
      </c>
      <c r="K1172" s="0" t="n">
        <v>7893010832081</v>
      </c>
      <c r="L1172" s="0" t="s">
        <v>2783</v>
      </c>
      <c r="N1172" s="0" t="n">
        <v>60</v>
      </c>
      <c r="O1172" s="60" t="n">
        <v>102.74</v>
      </c>
    </row>
    <row r="1173" customFormat="false" ht="15" hidden="false" customHeight="false" outlineLevel="0" collapsed="false">
      <c r="A1173" s="0" t="n">
        <v>3</v>
      </c>
      <c r="B1173" s="59" t="n">
        <v>46221</v>
      </c>
      <c r="C1173" s="0" t="n">
        <v>11</v>
      </c>
      <c r="D1173" s="0" t="s">
        <v>2126</v>
      </c>
      <c r="E1173" s="0" t="n">
        <v>1378</v>
      </c>
      <c r="F1173" s="0" t="s">
        <v>121</v>
      </c>
      <c r="I1173" s="0" t="n">
        <v>18250</v>
      </c>
      <c r="J1173" s="0" t="n">
        <v>74061</v>
      </c>
      <c r="K1173" s="0" t="n">
        <v>42882264255</v>
      </c>
      <c r="L1173" s="0" t="s">
        <v>2297</v>
      </c>
      <c r="N1173" s="0" t="n">
        <v>4</v>
      </c>
      <c r="O1173" s="60" t="n">
        <v>20.4</v>
      </c>
    </row>
    <row r="1174" customFormat="false" ht="15" hidden="false" customHeight="false" outlineLevel="0" collapsed="false">
      <c r="A1174" s="0" t="n">
        <v>3</v>
      </c>
      <c r="B1174" s="59" t="n">
        <v>46221</v>
      </c>
      <c r="C1174" s="0" t="n">
        <v>11</v>
      </c>
      <c r="D1174" s="0" t="s">
        <v>2126</v>
      </c>
      <c r="E1174" s="0" t="n">
        <v>1378</v>
      </c>
      <c r="F1174" s="0" t="s">
        <v>121</v>
      </c>
      <c r="I1174" s="0" t="n">
        <v>18250</v>
      </c>
      <c r="J1174" s="0" t="n">
        <v>74063</v>
      </c>
      <c r="K1174" s="0" t="n">
        <v>42882264262</v>
      </c>
      <c r="L1174" s="0" t="s">
        <v>2298</v>
      </c>
      <c r="N1174" s="0" t="n">
        <v>5</v>
      </c>
      <c r="O1174" s="60" t="n">
        <v>22.5</v>
      </c>
    </row>
    <row r="1175" customFormat="false" ht="15" hidden="false" customHeight="false" outlineLevel="0" collapsed="false">
      <c r="A1175" s="0" t="n">
        <v>3</v>
      </c>
      <c r="B1175" s="59" t="n">
        <v>46221</v>
      </c>
      <c r="C1175" s="0" t="n">
        <v>11</v>
      </c>
      <c r="D1175" s="0" t="s">
        <v>2126</v>
      </c>
      <c r="E1175" s="0" t="n">
        <v>1378</v>
      </c>
      <c r="F1175" s="0" t="s">
        <v>121</v>
      </c>
      <c r="I1175" s="0" t="n">
        <v>18250</v>
      </c>
      <c r="J1175" s="0" t="n">
        <v>74064</v>
      </c>
      <c r="K1175" s="0" t="n">
        <v>42882264279</v>
      </c>
      <c r="L1175" s="0" t="s">
        <v>2299</v>
      </c>
      <c r="N1175" s="0" t="n">
        <v>4</v>
      </c>
      <c r="O1175" s="60" t="n">
        <v>19.2</v>
      </c>
    </row>
    <row r="1176" customFormat="false" ht="15" hidden="false" customHeight="false" outlineLevel="0" collapsed="false">
      <c r="A1176" s="0" t="n">
        <v>3</v>
      </c>
      <c r="B1176" s="59" t="n">
        <v>46221</v>
      </c>
      <c r="C1176" s="0" t="n">
        <v>11</v>
      </c>
      <c r="D1176" s="0" t="s">
        <v>2126</v>
      </c>
      <c r="E1176" s="0" t="n">
        <v>1378</v>
      </c>
      <c r="F1176" s="0" t="s">
        <v>121</v>
      </c>
      <c r="I1176" s="0" t="n">
        <v>18250</v>
      </c>
      <c r="J1176" s="0" t="n">
        <v>74065</v>
      </c>
      <c r="K1176" s="0" t="n">
        <v>602883558090</v>
      </c>
      <c r="L1176" s="0" t="s">
        <v>2300</v>
      </c>
      <c r="N1176" s="0" t="n">
        <v>3</v>
      </c>
      <c r="O1176" s="60" t="n">
        <v>23.4</v>
      </c>
    </row>
    <row r="1177" customFormat="false" ht="15" hidden="false" customHeight="false" outlineLevel="0" collapsed="false">
      <c r="A1177" s="0" t="n">
        <v>3</v>
      </c>
      <c r="B1177" s="59" t="n">
        <v>46221</v>
      </c>
      <c r="C1177" s="0" t="n">
        <v>11</v>
      </c>
      <c r="D1177" s="0" t="s">
        <v>2126</v>
      </c>
      <c r="E1177" s="0" t="n">
        <v>1378</v>
      </c>
      <c r="F1177" s="0" t="s">
        <v>121</v>
      </c>
      <c r="I1177" s="0" t="n">
        <v>18250</v>
      </c>
      <c r="J1177" s="0" t="n">
        <v>77994</v>
      </c>
      <c r="K1177" s="0" t="n">
        <v>780117</v>
      </c>
      <c r="L1177" s="0" t="s">
        <v>2301</v>
      </c>
      <c r="N1177" s="0" t="n">
        <v>20</v>
      </c>
      <c r="O1177" s="60" t="n">
        <v>116</v>
      </c>
    </row>
    <row r="1178" customFormat="false" ht="15" hidden="false" customHeight="false" outlineLevel="0" collapsed="false">
      <c r="A1178" s="0" t="n">
        <v>3</v>
      </c>
      <c r="B1178" s="59" t="n">
        <v>46221</v>
      </c>
      <c r="C1178" s="0" t="n">
        <v>11</v>
      </c>
      <c r="D1178" s="0" t="s">
        <v>2126</v>
      </c>
      <c r="E1178" s="0" t="n">
        <v>1681</v>
      </c>
      <c r="F1178" s="0" t="s">
        <v>1348</v>
      </c>
      <c r="I1178" s="0" t="n">
        <v>39195</v>
      </c>
      <c r="J1178" s="0" t="n">
        <v>100035</v>
      </c>
      <c r="K1178" s="0" t="n">
        <v>36</v>
      </c>
      <c r="L1178" s="0" t="s">
        <v>2784</v>
      </c>
      <c r="N1178" s="0" t="n">
        <v>36</v>
      </c>
      <c r="O1178" s="60" t="n">
        <v>240.84</v>
      </c>
    </row>
    <row r="1179" customFormat="false" ht="15" hidden="false" customHeight="false" outlineLevel="0" collapsed="false">
      <c r="A1179" s="0" t="n">
        <v>3</v>
      </c>
      <c r="B1179" s="59" t="n">
        <v>46221</v>
      </c>
      <c r="C1179" s="0" t="n">
        <v>11</v>
      </c>
      <c r="D1179" s="0" t="s">
        <v>2126</v>
      </c>
      <c r="E1179" s="0" t="n">
        <v>1681</v>
      </c>
      <c r="F1179" s="0" t="s">
        <v>1348</v>
      </c>
      <c r="I1179" s="0" t="n">
        <v>39195</v>
      </c>
      <c r="J1179" s="0" t="n">
        <v>101262</v>
      </c>
      <c r="K1179" s="0" t="n">
        <v>7896179500013</v>
      </c>
      <c r="L1179" s="0" t="s">
        <v>2785</v>
      </c>
      <c r="N1179" s="0" t="n">
        <v>60</v>
      </c>
      <c r="O1179" s="60" t="n">
        <v>174.6</v>
      </c>
    </row>
    <row r="1180" customFormat="false" ht="15" hidden="false" customHeight="false" outlineLevel="0" collapsed="false">
      <c r="A1180" s="0" t="n">
        <v>3</v>
      </c>
      <c r="B1180" s="59" t="n">
        <v>46221</v>
      </c>
      <c r="C1180" s="0" t="n">
        <v>11</v>
      </c>
      <c r="D1180" s="0" t="s">
        <v>2126</v>
      </c>
      <c r="E1180" s="0" t="n">
        <v>1681</v>
      </c>
      <c r="F1180" s="0" t="s">
        <v>1348</v>
      </c>
      <c r="I1180" s="0" t="n">
        <v>39195</v>
      </c>
      <c r="J1180" s="0" t="n">
        <v>102302</v>
      </c>
      <c r="K1180" s="0" t="n">
        <v>7896011900025</v>
      </c>
      <c r="L1180" s="0" t="s">
        <v>2786</v>
      </c>
      <c r="N1180" s="0" t="n">
        <v>30</v>
      </c>
      <c r="O1180" s="60" t="n">
        <v>138.9</v>
      </c>
    </row>
    <row r="1181" customFormat="false" ht="15" hidden="false" customHeight="false" outlineLevel="0" collapsed="false">
      <c r="A1181" s="0" t="n">
        <v>3</v>
      </c>
      <c r="B1181" s="59" t="n">
        <v>46221</v>
      </c>
      <c r="C1181" s="0" t="n">
        <v>11</v>
      </c>
      <c r="D1181" s="0" t="s">
        <v>2126</v>
      </c>
      <c r="E1181" s="0" t="n">
        <v>1681</v>
      </c>
      <c r="F1181" s="0" t="s">
        <v>1348</v>
      </c>
      <c r="I1181" s="0" t="n">
        <v>39195</v>
      </c>
      <c r="J1181" s="0" t="n">
        <v>103851</v>
      </c>
      <c r="K1181" s="0" t="n">
        <v>7893000482401</v>
      </c>
      <c r="L1181" s="0" t="s">
        <v>2787</v>
      </c>
      <c r="N1181" s="0" t="n">
        <v>12</v>
      </c>
      <c r="O1181" s="60" t="n">
        <v>214.56</v>
      </c>
    </row>
    <row r="1182" customFormat="false" ht="15" hidden="false" customHeight="false" outlineLevel="0" collapsed="false">
      <c r="A1182" s="0" t="n">
        <v>3</v>
      </c>
      <c r="B1182" s="59" t="n">
        <v>46221</v>
      </c>
      <c r="C1182" s="0" t="n">
        <v>11</v>
      </c>
      <c r="D1182" s="0" t="s">
        <v>2126</v>
      </c>
      <c r="E1182" s="0" t="n">
        <v>1681</v>
      </c>
      <c r="F1182" s="0" t="s">
        <v>1348</v>
      </c>
      <c r="I1182" s="0" t="n">
        <v>39195</v>
      </c>
      <c r="J1182" s="0" t="n">
        <v>23197</v>
      </c>
      <c r="K1182" s="0" t="n">
        <v>7896116900029</v>
      </c>
      <c r="L1182" s="0" t="s">
        <v>2788</v>
      </c>
      <c r="N1182" s="0" t="n">
        <v>20</v>
      </c>
      <c r="O1182" s="60" t="n">
        <v>177.6</v>
      </c>
    </row>
    <row r="1183" customFormat="false" ht="15" hidden="false" customHeight="false" outlineLevel="0" collapsed="false">
      <c r="A1183" s="0" t="n">
        <v>3</v>
      </c>
      <c r="B1183" s="59" t="n">
        <v>46221</v>
      </c>
      <c r="C1183" s="0" t="n">
        <v>11</v>
      </c>
      <c r="D1183" s="0" t="s">
        <v>2126</v>
      </c>
      <c r="E1183" s="0" t="n">
        <v>1681</v>
      </c>
      <c r="F1183" s="0" t="s">
        <v>1348</v>
      </c>
      <c r="I1183" s="0" t="n">
        <v>39195</v>
      </c>
      <c r="J1183" s="0" t="n">
        <v>23695</v>
      </c>
      <c r="K1183" s="0" t="n">
        <v>7891515474126</v>
      </c>
      <c r="L1183" s="0" t="s">
        <v>2789</v>
      </c>
      <c r="N1183" s="0" t="n">
        <v>45</v>
      </c>
      <c r="O1183" s="60" t="n">
        <v>75.6</v>
      </c>
    </row>
    <row r="1184" customFormat="false" ht="15" hidden="false" customHeight="false" outlineLevel="0" collapsed="false">
      <c r="A1184" s="0" t="n">
        <v>3</v>
      </c>
      <c r="B1184" s="59" t="n">
        <v>46221</v>
      </c>
      <c r="C1184" s="0" t="n">
        <v>11</v>
      </c>
      <c r="D1184" s="0" t="s">
        <v>2126</v>
      </c>
      <c r="E1184" s="0" t="n">
        <v>1681</v>
      </c>
      <c r="F1184" s="0" t="s">
        <v>1348</v>
      </c>
      <c r="I1184" s="0" t="n">
        <v>39195</v>
      </c>
      <c r="J1184" s="0" t="n">
        <v>24024</v>
      </c>
      <c r="K1184" s="0" t="n">
        <v>7896116900432</v>
      </c>
      <c r="L1184" s="0" t="s">
        <v>2790</v>
      </c>
      <c r="N1184" s="0" t="n">
        <v>20</v>
      </c>
      <c r="O1184" s="60" t="n">
        <v>177.6</v>
      </c>
    </row>
    <row r="1185" customFormat="false" ht="15" hidden="false" customHeight="false" outlineLevel="0" collapsed="false">
      <c r="A1185" s="0" t="n">
        <v>3</v>
      </c>
      <c r="B1185" s="59" t="n">
        <v>46221</v>
      </c>
      <c r="C1185" s="0" t="n">
        <v>11</v>
      </c>
      <c r="D1185" s="0" t="s">
        <v>2126</v>
      </c>
      <c r="E1185" s="0" t="n">
        <v>1681</v>
      </c>
      <c r="F1185" s="0" t="s">
        <v>1348</v>
      </c>
      <c r="I1185" s="0" t="n">
        <v>39195</v>
      </c>
      <c r="J1185" s="0" t="n">
        <v>29054</v>
      </c>
      <c r="K1185" s="0" t="n">
        <v>7893000018778</v>
      </c>
      <c r="L1185" s="0" t="s">
        <v>2791</v>
      </c>
      <c r="N1185" s="0" t="n">
        <v>18.84</v>
      </c>
      <c r="O1185" s="60" t="n">
        <v>229.66</v>
      </c>
    </row>
    <row r="1186" customFormat="false" ht="15" hidden="false" customHeight="false" outlineLevel="0" collapsed="false">
      <c r="A1186" s="0" t="n">
        <v>3</v>
      </c>
      <c r="B1186" s="59" t="n">
        <v>46221</v>
      </c>
      <c r="C1186" s="0" t="n">
        <v>11</v>
      </c>
      <c r="D1186" s="0" t="s">
        <v>2126</v>
      </c>
      <c r="E1186" s="0" t="n">
        <v>1681</v>
      </c>
      <c r="F1186" s="0" t="s">
        <v>1348</v>
      </c>
      <c r="I1186" s="0" t="n">
        <v>39195</v>
      </c>
      <c r="J1186" s="0" t="n">
        <v>29054</v>
      </c>
      <c r="K1186" s="0" t="n">
        <v>7893000018778</v>
      </c>
      <c r="L1186" s="0" t="s">
        <v>2791</v>
      </c>
      <c r="N1186" s="0" t="n">
        <v>19.77</v>
      </c>
      <c r="O1186" s="60" t="n">
        <v>241</v>
      </c>
    </row>
    <row r="1187" customFormat="false" ht="15" hidden="false" customHeight="false" outlineLevel="0" collapsed="false">
      <c r="A1187" s="0" t="n">
        <v>3</v>
      </c>
      <c r="B1187" s="59" t="n">
        <v>46221</v>
      </c>
      <c r="C1187" s="0" t="n">
        <v>11</v>
      </c>
      <c r="D1187" s="0" t="s">
        <v>2126</v>
      </c>
      <c r="E1187" s="0" t="n">
        <v>1681</v>
      </c>
      <c r="F1187" s="0" t="s">
        <v>1348</v>
      </c>
      <c r="I1187" s="0" t="n">
        <v>39195</v>
      </c>
      <c r="J1187" s="0" t="n">
        <v>31859</v>
      </c>
      <c r="K1187" s="0" t="n">
        <v>7898922012385</v>
      </c>
      <c r="L1187" s="0" t="s">
        <v>2792</v>
      </c>
      <c r="N1187" s="0" t="n">
        <v>40</v>
      </c>
      <c r="O1187" s="60" t="n">
        <v>166.4</v>
      </c>
    </row>
    <row r="1188" customFormat="false" ht="15" hidden="false" customHeight="false" outlineLevel="0" collapsed="false">
      <c r="A1188" s="0" t="n">
        <v>3</v>
      </c>
      <c r="B1188" s="59" t="n">
        <v>46221</v>
      </c>
      <c r="C1188" s="0" t="n">
        <v>11</v>
      </c>
      <c r="D1188" s="0" t="s">
        <v>2126</v>
      </c>
      <c r="E1188" s="0" t="n">
        <v>1681</v>
      </c>
      <c r="F1188" s="0" t="s">
        <v>1348</v>
      </c>
      <c r="I1188" s="0" t="n">
        <v>39195</v>
      </c>
      <c r="J1188" s="0" t="n">
        <v>110849</v>
      </c>
      <c r="K1188" s="0" t="n">
        <v>75165</v>
      </c>
      <c r="L1188" s="0" t="s">
        <v>2793</v>
      </c>
      <c r="N1188" s="0" t="n">
        <v>36</v>
      </c>
      <c r="O1188" s="60" t="n">
        <v>417.96</v>
      </c>
    </row>
    <row r="1189" customFormat="false" ht="15" hidden="false" customHeight="false" outlineLevel="0" collapsed="false">
      <c r="A1189" s="0" t="n">
        <v>3</v>
      </c>
      <c r="B1189" s="59" t="n">
        <v>46221</v>
      </c>
      <c r="C1189" s="0" t="n">
        <v>11</v>
      </c>
      <c r="D1189" s="0" t="s">
        <v>2126</v>
      </c>
      <c r="E1189" s="0" t="n">
        <v>1723</v>
      </c>
      <c r="F1189" s="0" t="s">
        <v>77</v>
      </c>
      <c r="I1189" s="0" t="n">
        <v>173151</v>
      </c>
      <c r="J1189" s="0" t="n">
        <v>29079</v>
      </c>
      <c r="K1189" s="0" t="n">
        <v>55515</v>
      </c>
      <c r="L1189" s="0" t="s">
        <v>2213</v>
      </c>
      <c r="N1189" s="0" t="n">
        <v>69</v>
      </c>
      <c r="O1189" s="60" t="n">
        <v>2208</v>
      </c>
    </row>
    <row r="1190" customFormat="false" ht="15" hidden="false" customHeight="false" outlineLevel="0" collapsed="false">
      <c r="A1190" s="0" t="n">
        <v>3</v>
      </c>
      <c r="B1190" s="59" t="n">
        <v>46221</v>
      </c>
      <c r="C1190" s="0" t="n">
        <v>11</v>
      </c>
      <c r="D1190" s="0" t="s">
        <v>2126</v>
      </c>
      <c r="E1190" s="0" t="n">
        <v>1723</v>
      </c>
      <c r="F1190" s="0" t="s">
        <v>77</v>
      </c>
      <c r="I1190" s="0" t="n">
        <v>173151</v>
      </c>
      <c r="J1190" s="0" t="n">
        <v>29080</v>
      </c>
      <c r="K1190" s="0" t="n">
        <v>55516</v>
      </c>
      <c r="L1190" s="0" t="s">
        <v>2137</v>
      </c>
      <c r="N1190" s="0" t="n">
        <v>104.8</v>
      </c>
      <c r="O1190" s="60" t="n">
        <v>2305.6</v>
      </c>
    </row>
    <row r="1191" customFormat="false" ht="15" hidden="false" customHeight="false" outlineLevel="0" collapsed="false">
      <c r="A1191" s="0" t="n">
        <v>3</v>
      </c>
      <c r="B1191" s="59" t="n">
        <v>46221</v>
      </c>
      <c r="C1191" s="0" t="n">
        <v>11</v>
      </c>
      <c r="D1191" s="0" t="s">
        <v>2126</v>
      </c>
      <c r="E1191" s="0" t="n">
        <v>1723</v>
      </c>
      <c r="F1191" s="0" t="s">
        <v>77</v>
      </c>
      <c r="I1191" s="0" t="n">
        <v>173328</v>
      </c>
      <c r="J1191" s="0" t="n">
        <v>29079</v>
      </c>
      <c r="K1191" s="0" t="n">
        <v>55515</v>
      </c>
      <c r="L1191" s="0" t="s">
        <v>2213</v>
      </c>
      <c r="N1191" s="0" t="n">
        <v>68.55</v>
      </c>
      <c r="O1191" s="60" t="n">
        <v>2193.6</v>
      </c>
    </row>
    <row r="1192" customFormat="false" ht="15" hidden="false" customHeight="false" outlineLevel="0" collapsed="false">
      <c r="A1192" s="0" t="n">
        <v>3</v>
      </c>
      <c r="B1192" s="59" t="n">
        <v>46221</v>
      </c>
      <c r="C1192" s="0" t="n">
        <v>11</v>
      </c>
      <c r="D1192" s="0" t="s">
        <v>2126</v>
      </c>
      <c r="E1192" s="0" t="n">
        <v>1723</v>
      </c>
      <c r="F1192" s="0" t="s">
        <v>77</v>
      </c>
      <c r="I1192" s="0" t="n">
        <v>173328</v>
      </c>
      <c r="J1192" s="0" t="n">
        <v>110184</v>
      </c>
      <c r="K1192" s="0" t="n">
        <v>37393</v>
      </c>
      <c r="L1192" s="0" t="s">
        <v>2280</v>
      </c>
      <c r="N1192" s="0" t="n">
        <v>80</v>
      </c>
      <c r="O1192" s="60" t="n">
        <v>696</v>
      </c>
    </row>
    <row r="1193" customFormat="false" ht="15" hidden="false" customHeight="false" outlineLevel="0" collapsed="false">
      <c r="A1193" s="0" t="n">
        <v>3</v>
      </c>
      <c r="B1193" s="59" t="n">
        <v>46221</v>
      </c>
      <c r="C1193" s="0" t="n">
        <v>11</v>
      </c>
      <c r="D1193" s="0" t="s">
        <v>2126</v>
      </c>
      <c r="E1193" s="0" t="n">
        <v>1621</v>
      </c>
      <c r="F1193" s="0" t="s">
        <v>308</v>
      </c>
      <c r="I1193" s="0" t="n">
        <v>899327</v>
      </c>
      <c r="J1193" s="0" t="n">
        <v>52560</v>
      </c>
      <c r="K1193" s="0" t="n">
        <v>7891991299619</v>
      </c>
      <c r="L1193" s="0" t="s">
        <v>2794</v>
      </c>
      <c r="N1193" s="0" t="n">
        <v>168</v>
      </c>
      <c r="O1193" s="60" t="n">
        <v>924.130139</v>
      </c>
    </row>
    <row r="1194" customFormat="false" ht="15" hidden="false" customHeight="false" outlineLevel="0" collapsed="false">
      <c r="A1194" s="0" t="n">
        <v>3</v>
      </c>
      <c r="B1194" s="59" t="n">
        <v>46221</v>
      </c>
      <c r="C1194" s="0" t="n">
        <v>22</v>
      </c>
      <c r="D1194" s="0" t="s">
        <v>2172</v>
      </c>
      <c r="E1194" s="0" t="n">
        <v>42</v>
      </c>
      <c r="F1194" s="0" t="s">
        <v>81</v>
      </c>
      <c r="I1194" s="0" t="n">
        <v>4394</v>
      </c>
      <c r="J1194" s="0" t="n">
        <v>100000</v>
      </c>
      <c r="K1194" s="0" t="n">
        <v>1</v>
      </c>
      <c r="L1194" s="0" t="s">
        <v>2173</v>
      </c>
      <c r="N1194" s="0" t="n">
        <v>4.288</v>
      </c>
      <c r="O1194" s="60" t="n">
        <v>93.41</v>
      </c>
    </row>
    <row r="1195" customFormat="false" ht="15" hidden="false" customHeight="false" outlineLevel="0" collapsed="false">
      <c r="A1195" s="0" t="n">
        <v>3</v>
      </c>
      <c r="B1195" s="59" t="n">
        <v>46221</v>
      </c>
      <c r="C1195" s="0" t="n">
        <v>22</v>
      </c>
      <c r="D1195" s="0" t="s">
        <v>2172</v>
      </c>
      <c r="E1195" s="0" t="n">
        <v>42</v>
      </c>
      <c r="F1195" s="0" t="s">
        <v>81</v>
      </c>
      <c r="I1195" s="0" t="n">
        <v>4394</v>
      </c>
      <c r="J1195" s="0" t="n">
        <v>100001</v>
      </c>
      <c r="K1195" s="0" t="n">
        <v>2</v>
      </c>
      <c r="L1195" s="0" t="s">
        <v>2174</v>
      </c>
      <c r="N1195" s="0" t="n">
        <v>23.89</v>
      </c>
      <c r="O1195" s="60" t="n">
        <v>556.34</v>
      </c>
    </row>
    <row r="1196" customFormat="false" ht="15" hidden="false" customHeight="false" outlineLevel="0" collapsed="false">
      <c r="A1196" s="0" t="n">
        <v>3</v>
      </c>
      <c r="B1196" s="59" t="n">
        <v>46221</v>
      </c>
      <c r="C1196" s="0" t="n">
        <v>22</v>
      </c>
      <c r="D1196" s="0" t="s">
        <v>2172</v>
      </c>
      <c r="E1196" s="0" t="n">
        <v>42</v>
      </c>
      <c r="F1196" s="0" t="s">
        <v>81</v>
      </c>
      <c r="I1196" s="0" t="n">
        <v>4394</v>
      </c>
      <c r="J1196" s="0" t="n">
        <v>100002</v>
      </c>
      <c r="K1196" s="0" t="n">
        <v>3</v>
      </c>
      <c r="L1196" s="0" t="s">
        <v>2175</v>
      </c>
      <c r="N1196" s="0" t="n">
        <v>29.465</v>
      </c>
      <c r="O1196" s="60" t="n">
        <v>708.32</v>
      </c>
    </row>
    <row r="1197" customFormat="false" ht="15" hidden="false" customHeight="false" outlineLevel="0" collapsed="false">
      <c r="A1197" s="0" t="n">
        <v>3</v>
      </c>
      <c r="B1197" s="59" t="n">
        <v>46221</v>
      </c>
      <c r="C1197" s="0" t="n">
        <v>22</v>
      </c>
      <c r="D1197" s="0" t="s">
        <v>2172</v>
      </c>
      <c r="E1197" s="0" t="n">
        <v>42</v>
      </c>
      <c r="F1197" s="0" t="s">
        <v>81</v>
      </c>
      <c r="I1197" s="0" t="n">
        <v>4394</v>
      </c>
      <c r="J1197" s="0" t="n">
        <v>100003</v>
      </c>
      <c r="K1197" s="0" t="n">
        <v>4</v>
      </c>
      <c r="L1197" s="0" t="s">
        <v>2176</v>
      </c>
      <c r="N1197" s="0" t="n">
        <v>29.223</v>
      </c>
      <c r="O1197" s="60" t="n">
        <v>768.38</v>
      </c>
    </row>
    <row r="1198" customFormat="false" ht="15" hidden="false" customHeight="false" outlineLevel="0" collapsed="false">
      <c r="A1198" s="0" t="n">
        <v>3</v>
      </c>
      <c r="B1198" s="59" t="n">
        <v>46221</v>
      </c>
      <c r="C1198" s="0" t="n">
        <v>22</v>
      </c>
      <c r="D1198" s="0" t="s">
        <v>2172</v>
      </c>
      <c r="E1198" s="0" t="n">
        <v>42</v>
      </c>
      <c r="F1198" s="0" t="s">
        <v>81</v>
      </c>
      <c r="I1198" s="0" t="n">
        <v>4394</v>
      </c>
      <c r="J1198" s="0" t="n">
        <v>100006</v>
      </c>
      <c r="K1198" s="0" t="n">
        <v>7</v>
      </c>
      <c r="L1198" s="0" t="s">
        <v>2228</v>
      </c>
      <c r="N1198" s="0" t="n">
        <v>4.426</v>
      </c>
      <c r="O1198" s="60" t="n">
        <v>145.44</v>
      </c>
    </row>
    <row r="1199" customFormat="false" ht="15" hidden="false" customHeight="false" outlineLevel="0" collapsed="false">
      <c r="A1199" s="0" t="n">
        <v>3</v>
      </c>
      <c r="B1199" s="59" t="n">
        <v>46221</v>
      </c>
      <c r="C1199" s="0" t="n">
        <v>22</v>
      </c>
      <c r="D1199" s="0" t="s">
        <v>2172</v>
      </c>
      <c r="E1199" s="0" t="n">
        <v>42</v>
      </c>
      <c r="F1199" s="0" t="s">
        <v>81</v>
      </c>
      <c r="I1199" s="0" t="n">
        <v>4394</v>
      </c>
      <c r="J1199" s="0" t="n">
        <v>100007</v>
      </c>
      <c r="K1199" s="0" t="n">
        <v>8</v>
      </c>
      <c r="L1199" s="0" t="s">
        <v>2177</v>
      </c>
      <c r="N1199" s="0" t="n">
        <v>6.26</v>
      </c>
      <c r="O1199" s="60" t="n">
        <v>159.89</v>
      </c>
    </row>
    <row r="1200" customFormat="false" ht="15" hidden="false" customHeight="false" outlineLevel="0" collapsed="false">
      <c r="A1200" s="0" t="n">
        <v>3</v>
      </c>
      <c r="B1200" s="59" t="n">
        <v>46221</v>
      </c>
      <c r="C1200" s="0" t="n">
        <v>22</v>
      </c>
      <c r="D1200" s="0" t="s">
        <v>2172</v>
      </c>
      <c r="E1200" s="0" t="n">
        <v>42</v>
      </c>
      <c r="F1200" s="0" t="s">
        <v>81</v>
      </c>
      <c r="I1200" s="0" t="n">
        <v>4394</v>
      </c>
      <c r="J1200" s="0" t="n">
        <v>100008</v>
      </c>
      <c r="K1200" s="0" t="n">
        <v>9</v>
      </c>
      <c r="L1200" s="0" t="s">
        <v>2229</v>
      </c>
      <c r="N1200" s="0" t="n">
        <v>12.325</v>
      </c>
      <c r="O1200" s="60" t="n">
        <v>415.13</v>
      </c>
    </row>
    <row r="1201" customFormat="false" ht="15" hidden="false" customHeight="false" outlineLevel="0" collapsed="false">
      <c r="A1201" s="0" t="n">
        <v>3</v>
      </c>
      <c r="B1201" s="59" t="n">
        <v>46221</v>
      </c>
      <c r="C1201" s="0" t="n">
        <v>22</v>
      </c>
      <c r="D1201" s="0" t="s">
        <v>2172</v>
      </c>
      <c r="E1201" s="0" t="n">
        <v>42</v>
      </c>
      <c r="F1201" s="0" t="s">
        <v>81</v>
      </c>
      <c r="I1201" s="0" t="n">
        <v>4394</v>
      </c>
      <c r="J1201" s="0" t="n">
        <v>100010</v>
      </c>
      <c r="K1201" s="0" t="n">
        <v>11</v>
      </c>
      <c r="L1201" s="0" t="s">
        <v>2230</v>
      </c>
      <c r="N1201" s="0" t="n">
        <v>2.888</v>
      </c>
      <c r="O1201" s="60" t="n">
        <v>111.51</v>
      </c>
    </row>
    <row r="1202" customFormat="false" ht="15" hidden="false" customHeight="false" outlineLevel="0" collapsed="false">
      <c r="A1202" s="0" t="n">
        <v>3</v>
      </c>
      <c r="B1202" s="59" t="n">
        <v>46221</v>
      </c>
      <c r="C1202" s="0" t="n">
        <v>22</v>
      </c>
      <c r="D1202" s="0" t="s">
        <v>2172</v>
      </c>
      <c r="E1202" s="0" t="n">
        <v>42</v>
      </c>
      <c r="F1202" s="0" t="s">
        <v>81</v>
      </c>
      <c r="I1202" s="0" t="n">
        <v>4394</v>
      </c>
      <c r="J1202" s="0" t="n">
        <v>100011</v>
      </c>
      <c r="K1202" s="0" t="n">
        <v>12</v>
      </c>
      <c r="L1202" s="0" t="s">
        <v>2231</v>
      </c>
      <c r="N1202" s="0" t="n">
        <v>5.84</v>
      </c>
      <c r="O1202" s="60" t="n">
        <v>225.49</v>
      </c>
    </row>
    <row r="1203" customFormat="false" ht="15" hidden="false" customHeight="false" outlineLevel="0" collapsed="false">
      <c r="A1203" s="0" t="n">
        <v>3</v>
      </c>
      <c r="B1203" s="59" t="n">
        <v>46221</v>
      </c>
      <c r="C1203" s="0" t="n">
        <v>22</v>
      </c>
      <c r="D1203" s="0" t="s">
        <v>2172</v>
      </c>
      <c r="E1203" s="0" t="n">
        <v>42</v>
      </c>
      <c r="F1203" s="0" t="s">
        <v>81</v>
      </c>
      <c r="I1203" s="0" t="n">
        <v>4394</v>
      </c>
      <c r="J1203" s="0" t="n">
        <v>100012</v>
      </c>
      <c r="K1203" s="0" t="n">
        <v>13</v>
      </c>
      <c r="L1203" s="0" t="s">
        <v>2232</v>
      </c>
      <c r="N1203" s="0" t="n">
        <v>4.97</v>
      </c>
      <c r="O1203" s="60" t="n">
        <v>208.24</v>
      </c>
    </row>
    <row r="1204" customFormat="false" ht="15" hidden="false" customHeight="false" outlineLevel="0" collapsed="false">
      <c r="A1204" s="0" t="n">
        <v>3</v>
      </c>
      <c r="B1204" s="59" t="n">
        <v>46221</v>
      </c>
      <c r="C1204" s="0" t="n">
        <v>22</v>
      </c>
      <c r="D1204" s="0" t="s">
        <v>2172</v>
      </c>
      <c r="E1204" s="0" t="n">
        <v>42</v>
      </c>
      <c r="F1204" s="0" t="s">
        <v>81</v>
      </c>
      <c r="I1204" s="0" t="n">
        <v>4394</v>
      </c>
      <c r="J1204" s="0" t="n">
        <v>100013</v>
      </c>
      <c r="K1204" s="0" t="n">
        <v>14</v>
      </c>
      <c r="L1204" s="0" t="s">
        <v>2233</v>
      </c>
      <c r="N1204" s="0" t="n">
        <v>9.325</v>
      </c>
      <c r="O1204" s="60" t="n">
        <v>421.35</v>
      </c>
    </row>
    <row r="1205" customFormat="false" ht="15" hidden="false" customHeight="false" outlineLevel="0" collapsed="false">
      <c r="A1205" s="0" t="n">
        <v>3</v>
      </c>
      <c r="B1205" s="59" t="n">
        <v>46221</v>
      </c>
      <c r="C1205" s="0" t="n">
        <v>22</v>
      </c>
      <c r="D1205" s="0" t="s">
        <v>2172</v>
      </c>
      <c r="E1205" s="0" t="n">
        <v>42</v>
      </c>
      <c r="F1205" s="0" t="s">
        <v>81</v>
      </c>
      <c r="I1205" s="0" t="n">
        <v>4394</v>
      </c>
      <c r="J1205" s="0" t="n">
        <v>100014</v>
      </c>
      <c r="K1205" s="0" t="n">
        <v>15</v>
      </c>
      <c r="L1205" s="0" t="s">
        <v>2234</v>
      </c>
      <c r="N1205" s="0" t="n">
        <v>3.982</v>
      </c>
      <c r="O1205" s="60" t="n">
        <v>183.2</v>
      </c>
    </row>
    <row r="1206" customFormat="false" ht="15" hidden="false" customHeight="false" outlineLevel="0" collapsed="false">
      <c r="A1206" s="0" t="n">
        <v>3</v>
      </c>
      <c r="B1206" s="59" t="n">
        <v>46221</v>
      </c>
      <c r="C1206" s="0" t="n">
        <v>22</v>
      </c>
      <c r="D1206" s="0" t="s">
        <v>2172</v>
      </c>
      <c r="E1206" s="0" t="n">
        <v>42</v>
      </c>
      <c r="F1206" s="0" t="s">
        <v>81</v>
      </c>
      <c r="I1206" s="0" t="n">
        <v>4394</v>
      </c>
      <c r="J1206" s="0" t="n">
        <v>100015</v>
      </c>
      <c r="K1206" s="0" t="n">
        <v>16</v>
      </c>
      <c r="L1206" s="0" t="s">
        <v>2235</v>
      </c>
      <c r="N1206" s="0" t="n">
        <v>1.382</v>
      </c>
      <c r="O1206" s="60" t="n">
        <v>57.9</v>
      </c>
    </row>
    <row r="1207" customFormat="false" ht="15" hidden="false" customHeight="false" outlineLevel="0" collapsed="false">
      <c r="A1207" s="0" t="n">
        <v>3</v>
      </c>
      <c r="B1207" s="59" t="n">
        <v>46221</v>
      </c>
      <c r="C1207" s="0" t="n">
        <v>22</v>
      </c>
      <c r="D1207" s="0" t="s">
        <v>2172</v>
      </c>
      <c r="E1207" s="0" t="n">
        <v>42</v>
      </c>
      <c r="F1207" s="0" t="s">
        <v>81</v>
      </c>
      <c r="I1207" s="0" t="n">
        <v>4394</v>
      </c>
      <c r="J1207" s="0" t="n">
        <v>100016</v>
      </c>
      <c r="K1207" s="0" t="n">
        <v>17</v>
      </c>
      <c r="L1207" s="0" t="s">
        <v>2236</v>
      </c>
      <c r="N1207" s="0" t="n">
        <v>1.856</v>
      </c>
      <c r="O1207" s="60" t="n">
        <v>83.86</v>
      </c>
    </row>
    <row r="1208" customFormat="false" ht="15" hidden="false" customHeight="false" outlineLevel="0" collapsed="false">
      <c r="A1208" s="0" t="n">
        <v>3</v>
      </c>
      <c r="B1208" s="59" t="n">
        <v>46221</v>
      </c>
      <c r="C1208" s="0" t="n">
        <v>22</v>
      </c>
      <c r="D1208" s="0" t="s">
        <v>2172</v>
      </c>
      <c r="E1208" s="0" t="n">
        <v>42</v>
      </c>
      <c r="F1208" s="0" t="s">
        <v>81</v>
      </c>
      <c r="I1208" s="0" t="n">
        <v>4394</v>
      </c>
      <c r="J1208" s="0" t="n">
        <v>100017</v>
      </c>
      <c r="K1208" s="0" t="n">
        <v>18</v>
      </c>
      <c r="L1208" s="0" t="s">
        <v>2237</v>
      </c>
      <c r="N1208" s="0" t="n">
        <v>1.656</v>
      </c>
      <c r="O1208" s="60" t="n">
        <v>88.43</v>
      </c>
    </row>
    <row r="1209" customFormat="false" ht="15" hidden="false" customHeight="false" outlineLevel="0" collapsed="false">
      <c r="A1209" s="0" t="n">
        <v>3</v>
      </c>
      <c r="B1209" s="59" t="n">
        <v>46221</v>
      </c>
      <c r="C1209" s="0" t="n">
        <v>22</v>
      </c>
      <c r="D1209" s="0" t="s">
        <v>2172</v>
      </c>
      <c r="E1209" s="0" t="n">
        <v>42</v>
      </c>
      <c r="F1209" s="0" t="s">
        <v>81</v>
      </c>
      <c r="I1209" s="0" t="n">
        <v>4394</v>
      </c>
      <c r="J1209" s="0" t="n">
        <v>100019</v>
      </c>
      <c r="K1209" s="0" t="n">
        <v>20</v>
      </c>
      <c r="L1209" s="0" t="s">
        <v>2795</v>
      </c>
      <c r="N1209" s="0" t="n">
        <v>2.274</v>
      </c>
      <c r="O1209" s="60" t="n">
        <v>80.33</v>
      </c>
    </row>
    <row r="1210" customFormat="false" ht="15" hidden="false" customHeight="false" outlineLevel="0" collapsed="false">
      <c r="A1210" s="0" t="n">
        <v>3</v>
      </c>
      <c r="B1210" s="59" t="n">
        <v>46221</v>
      </c>
      <c r="C1210" s="0" t="n">
        <v>22</v>
      </c>
      <c r="D1210" s="0" t="s">
        <v>2172</v>
      </c>
      <c r="E1210" s="0" t="n">
        <v>42</v>
      </c>
      <c r="F1210" s="0" t="s">
        <v>81</v>
      </c>
      <c r="I1210" s="0" t="n">
        <v>4394</v>
      </c>
      <c r="J1210" s="0" t="n">
        <v>100020</v>
      </c>
      <c r="K1210" s="0" t="n">
        <v>21</v>
      </c>
      <c r="L1210" s="0" t="s">
        <v>2337</v>
      </c>
      <c r="N1210" s="0" t="n">
        <v>2.414</v>
      </c>
      <c r="O1210" s="60" t="n">
        <v>81.31</v>
      </c>
    </row>
    <row r="1211" customFormat="false" ht="15" hidden="false" customHeight="false" outlineLevel="0" collapsed="false">
      <c r="A1211" s="0" t="n">
        <v>3</v>
      </c>
      <c r="B1211" s="59" t="n">
        <v>46221</v>
      </c>
      <c r="C1211" s="0" t="n">
        <v>22</v>
      </c>
      <c r="D1211" s="0" t="s">
        <v>2172</v>
      </c>
      <c r="E1211" s="0" t="n">
        <v>42</v>
      </c>
      <c r="F1211" s="0" t="s">
        <v>81</v>
      </c>
      <c r="I1211" s="0" t="n">
        <v>4394</v>
      </c>
      <c r="J1211" s="0" t="n">
        <v>100023</v>
      </c>
      <c r="K1211" s="0" t="n">
        <v>24</v>
      </c>
      <c r="L1211" s="0" t="s">
        <v>2678</v>
      </c>
      <c r="N1211" s="0" t="n">
        <v>0.632</v>
      </c>
      <c r="O1211" s="60" t="n">
        <v>7.27</v>
      </c>
    </row>
    <row r="1212" customFormat="false" ht="15" hidden="false" customHeight="false" outlineLevel="0" collapsed="false">
      <c r="A1212" s="0" t="n">
        <v>3</v>
      </c>
      <c r="B1212" s="59" t="n">
        <v>46221</v>
      </c>
      <c r="C1212" s="0" t="n">
        <v>22</v>
      </c>
      <c r="D1212" s="0" t="s">
        <v>2172</v>
      </c>
      <c r="E1212" s="0" t="n">
        <v>42</v>
      </c>
      <c r="F1212" s="0" t="s">
        <v>81</v>
      </c>
      <c r="I1212" s="0" t="n">
        <v>4394</v>
      </c>
      <c r="J1212" s="0" t="n">
        <v>100053</v>
      </c>
      <c r="K1212" s="0" t="n">
        <v>54</v>
      </c>
      <c r="L1212" s="0" t="s">
        <v>2238</v>
      </c>
      <c r="N1212" s="0" t="n">
        <v>1.878</v>
      </c>
      <c r="O1212" s="60" t="n">
        <v>69.43</v>
      </c>
    </row>
    <row r="1213" customFormat="false" ht="15" hidden="false" customHeight="false" outlineLevel="0" collapsed="false">
      <c r="A1213" s="0" t="n">
        <v>3</v>
      </c>
      <c r="B1213" s="59" t="n">
        <v>46221</v>
      </c>
      <c r="C1213" s="0" t="n">
        <v>22</v>
      </c>
      <c r="D1213" s="0" t="s">
        <v>2172</v>
      </c>
      <c r="E1213" s="0" t="n">
        <v>42</v>
      </c>
      <c r="F1213" s="0" t="s">
        <v>81</v>
      </c>
      <c r="I1213" s="0" t="n">
        <v>4394</v>
      </c>
      <c r="J1213" s="0" t="n">
        <v>100638</v>
      </c>
      <c r="K1213" s="0" t="n">
        <v>508</v>
      </c>
      <c r="L1213" s="0" t="s">
        <v>2178</v>
      </c>
      <c r="N1213" s="0" t="n">
        <v>2.748</v>
      </c>
      <c r="O1213" s="60" t="n">
        <v>4.49</v>
      </c>
    </row>
    <row r="1214" customFormat="false" ht="15" hidden="false" customHeight="false" outlineLevel="0" collapsed="false">
      <c r="A1214" s="0" t="n">
        <v>3</v>
      </c>
      <c r="B1214" s="59" t="n">
        <v>46221</v>
      </c>
      <c r="C1214" s="0" t="n">
        <v>22</v>
      </c>
      <c r="D1214" s="0" t="s">
        <v>2172</v>
      </c>
      <c r="E1214" s="0" t="n">
        <v>42</v>
      </c>
      <c r="F1214" s="0" t="s">
        <v>81</v>
      </c>
      <c r="I1214" s="0" t="n">
        <v>4394</v>
      </c>
      <c r="J1214" s="0" t="n">
        <v>100638</v>
      </c>
      <c r="K1214" s="0" t="n">
        <v>508</v>
      </c>
      <c r="L1214" s="0" t="s">
        <v>2178</v>
      </c>
      <c r="N1214" s="0" t="n">
        <v>4.876</v>
      </c>
      <c r="O1214" s="60" t="n">
        <v>7.29</v>
      </c>
    </row>
    <row r="1215" customFormat="false" ht="15" hidden="false" customHeight="false" outlineLevel="0" collapsed="false">
      <c r="A1215" s="0" t="n">
        <v>3</v>
      </c>
      <c r="B1215" s="59" t="n">
        <v>46221</v>
      </c>
      <c r="C1215" s="0" t="n">
        <v>22</v>
      </c>
      <c r="D1215" s="0" t="s">
        <v>2172</v>
      </c>
      <c r="E1215" s="0" t="n">
        <v>42</v>
      </c>
      <c r="F1215" s="0" t="s">
        <v>81</v>
      </c>
      <c r="I1215" s="0" t="n">
        <v>4394</v>
      </c>
      <c r="J1215" s="0" t="n">
        <v>100520</v>
      </c>
      <c r="K1215" s="0" t="n">
        <v>507</v>
      </c>
      <c r="L1215" s="0" t="s">
        <v>2179</v>
      </c>
      <c r="N1215" s="0" t="n">
        <v>10.02</v>
      </c>
      <c r="O1215" s="60" t="n">
        <v>24.62</v>
      </c>
    </row>
    <row r="1216" customFormat="false" ht="15" hidden="false" customHeight="false" outlineLevel="0" collapsed="false">
      <c r="A1216" s="0" t="n">
        <v>3</v>
      </c>
      <c r="B1216" s="59" t="n">
        <v>46221</v>
      </c>
      <c r="C1216" s="0" t="n">
        <v>22</v>
      </c>
      <c r="D1216" s="0" t="s">
        <v>2172</v>
      </c>
      <c r="E1216" s="0" t="n">
        <v>42</v>
      </c>
      <c r="F1216" s="0" t="s">
        <v>81</v>
      </c>
      <c r="I1216" s="0" t="n">
        <v>4394</v>
      </c>
      <c r="J1216" s="0" t="n">
        <v>100520</v>
      </c>
      <c r="K1216" s="0" t="n">
        <v>507</v>
      </c>
      <c r="L1216" s="0" t="s">
        <v>2179</v>
      </c>
      <c r="N1216" s="0" t="n">
        <v>5.324</v>
      </c>
      <c r="O1216" s="60" t="n">
        <v>11.96</v>
      </c>
    </row>
    <row r="1217" customFormat="false" ht="15" hidden="false" customHeight="false" outlineLevel="0" collapsed="false">
      <c r="A1217" s="0" t="n">
        <v>3</v>
      </c>
      <c r="B1217" s="59" t="n">
        <v>46221</v>
      </c>
      <c r="C1217" s="0" t="n">
        <v>22</v>
      </c>
      <c r="D1217" s="0" t="s">
        <v>2172</v>
      </c>
      <c r="E1217" s="0" t="n">
        <v>42</v>
      </c>
      <c r="F1217" s="0" t="s">
        <v>81</v>
      </c>
      <c r="I1217" s="0" t="n">
        <v>4394</v>
      </c>
      <c r="J1217" s="0" t="n">
        <v>110455</v>
      </c>
      <c r="K1217" s="0" t="n">
        <v>53212</v>
      </c>
      <c r="L1217" s="0" t="s">
        <v>2180</v>
      </c>
      <c r="N1217" s="0" t="n">
        <v>1.474</v>
      </c>
      <c r="O1217" s="60" t="n">
        <v>0.01</v>
      </c>
    </row>
    <row r="1218" customFormat="false" ht="15" hidden="false" customHeight="false" outlineLevel="0" collapsed="false">
      <c r="A1218" s="0" t="n">
        <v>3</v>
      </c>
      <c r="B1218" s="59" t="n">
        <v>46221</v>
      </c>
      <c r="C1218" s="0" t="n">
        <v>22</v>
      </c>
      <c r="D1218" s="0" t="s">
        <v>2172</v>
      </c>
      <c r="E1218" s="0" t="n">
        <v>42</v>
      </c>
      <c r="F1218" s="0" t="s">
        <v>81</v>
      </c>
      <c r="I1218" s="0" t="n">
        <v>4394</v>
      </c>
      <c r="J1218" s="0" t="n">
        <v>110455</v>
      </c>
      <c r="K1218" s="0" t="n">
        <v>53212</v>
      </c>
      <c r="L1218" s="0" t="s">
        <v>2180</v>
      </c>
      <c r="N1218" s="0" t="n">
        <v>0.384</v>
      </c>
      <c r="O1218" s="60" t="n">
        <v>0</v>
      </c>
    </row>
    <row r="1219" customFormat="false" ht="15" hidden="false" customHeight="false" outlineLevel="0" collapsed="false">
      <c r="A1219" s="0" t="n">
        <v>3</v>
      </c>
      <c r="B1219" s="59" t="n">
        <v>46221</v>
      </c>
      <c r="C1219" s="0" t="n">
        <v>22</v>
      </c>
      <c r="D1219" s="0" t="s">
        <v>2172</v>
      </c>
      <c r="E1219" s="0" t="n">
        <v>42</v>
      </c>
      <c r="F1219" s="0" t="s">
        <v>81</v>
      </c>
      <c r="I1219" s="0" t="n">
        <v>4396</v>
      </c>
      <c r="J1219" s="0" t="n">
        <v>100006</v>
      </c>
      <c r="K1219" s="0" t="n">
        <v>7</v>
      </c>
      <c r="L1219" s="0" t="s">
        <v>2228</v>
      </c>
      <c r="N1219" s="0" t="n">
        <v>7.37</v>
      </c>
      <c r="O1219" s="60" t="n">
        <v>253.26</v>
      </c>
    </row>
    <row r="1220" customFormat="false" ht="15" hidden="false" customHeight="false" outlineLevel="0" collapsed="false">
      <c r="A1220" s="0" t="n">
        <v>3</v>
      </c>
      <c r="B1220" s="59" t="n">
        <v>46221</v>
      </c>
      <c r="C1220" s="0" t="n">
        <v>22</v>
      </c>
      <c r="D1220" s="0" t="s">
        <v>2172</v>
      </c>
      <c r="E1220" s="0" t="n">
        <v>42</v>
      </c>
      <c r="F1220" s="0" t="s">
        <v>81</v>
      </c>
      <c r="I1220" s="0" t="n">
        <v>4396</v>
      </c>
      <c r="J1220" s="0" t="n">
        <v>100008</v>
      </c>
      <c r="K1220" s="0" t="n">
        <v>9</v>
      </c>
      <c r="L1220" s="0" t="s">
        <v>2229</v>
      </c>
      <c r="N1220" s="0" t="n">
        <v>12.455</v>
      </c>
      <c r="O1220" s="60" t="n">
        <v>438.7</v>
      </c>
    </row>
    <row r="1221" customFormat="false" ht="15" hidden="false" customHeight="false" outlineLevel="0" collapsed="false">
      <c r="A1221" s="0" t="n">
        <v>3</v>
      </c>
      <c r="B1221" s="59" t="n">
        <v>46221</v>
      </c>
      <c r="C1221" s="0" t="n">
        <v>22</v>
      </c>
      <c r="D1221" s="0" t="s">
        <v>2172</v>
      </c>
      <c r="E1221" s="0" t="n">
        <v>42</v>
      </c>
      <c r="F1221" s="0" t="s">
        <v>81</v>
      </c>
      <c r="I1221" s="0" t="n">
        <v>4396</v>
      </c>
      <c r="J1221" s="0" t="n">
        <v>100010</v>
      </c>
      <c r="K1221" s="0" t="n">
        <v>11</v>
      </c>
      <c r="L1221" s="0" t="s">
        <v>2230</v>
      </c>
      <c r="N1221" s="0" t="n">
        <v>2.306</v>
      </c>
      <c r="O1221" s="60" t="n">
        <v>93.11</v>
      </c>
    </row>
    <row r="1222" customFormat="false" ht="15" hidden="false" customHeight="false" outlineLevel="0" collapsed="false">
      <c r="A1222" s="0" t="n">
        <v>3</v>
      </c>
      <c r="B1222" s="59" t="n">
        <v>46221</v>
      </c>
      <c r="C1222" s="0" t="n">
        <v>22</v>
      </c>
      <c r="D1222" s="0" t="s">
        <v>2172</v>
      </c>
      <c r="E1222" s="0" t="n">
        <v>42</v>
      </c>
      <c r="F1222" s="0" t="s">
        <v>81</v>
      </c>
      <c r="I1222" s="0" t="n">
        <v>4396</v>
      </c>
      <c r="J1222" s="0" t="n">
        <v>100011</v>
      </c>
      <c r="K1222" s="0" t="n">
        <v>12</v>
      </c>
      <c r="L1222" s="0" t="s">
        <v>2231</v>
      </c>
      <c r="N1222" s="0" t="n">
        <v>5.706</v>
      </c>
      <c r="O1222" s="60" t="n">
        <v>230.4</v>
      </c>
    </row>
    <row r="1223" customFormat="false" ht="15" hidden="false" customHeight="false" outlineLevel="0" collapsed="false">
      <c r="A1223" s="0" t="n">
        <v>3</v>
      </c>
      <c r="B1223" s="59" t="n">
        <v>46221</v>
      </c>
      <c r="C1223" s="0" t="n">
        <v>22</v>
      </c>
      <c r="D1223" s="0" t="s">
        <v>2172</v>
      </c>
      <c r="E1223" s="0" t="n">
        <v>42</v>
      </c>
      <c r="F1223" s="0" t="s">
        <v>81</v>
      </c>
      <c r="I1223" s="0" t="n">
        <v>4396</v>
      </c>
      <c r="J1223" s="0" t="n">
        <v>100012</v>
      </c>
      <c r="K1223" s="0" t="n">
        <v>13</v>
      </c>
      <c r="L1223" s="0" t="s">
        <v>2232</v>
      </c>
      <c r="N1223" s="0" t="n">
        <v>5.094</v>
      </c>
      <c r="O1223" s="60" t="n">
        <v>223.2</v>
      </c>
    </row>
    <row r="1224" customFormat="false" ht="15" hidden="false" customHeight="false" outlineLevel="0" collapsed="false">
      <c r="A1224" s="0" t="n">
        <v>3</v>
      </c>
      <c r="B1224" s="59" t="n">
        <v>46221</v>
      </c>
      <c r="C1224" s="0" t="n">
        <v>22</v>
      </c>
      <c r="D1224" s="0" t="s">
        <v>2172</v>
      </c>
      <c r="E1224" s="0" t="n">
        <v>42</v>
      </c>
      <c r="F1224" s="0" t="s">
        <v>81</v>
      </c>
      <c r="I1224" s="0" t="n">
        <v>4396</v>
      </c>
      <c r="J1224" s="0" t="n">
        <v>100013</v>
      </c>
      <c r="K1224" s="0" t="n">
        <v>14</v>
      </c>
      <c r="L1224" s="0" t="s">
        <v>2233</v>
      </c>
      <c r="N1224" s="0" t="n">
        <v>9.145</v>
      </c>
      <c r="O1224" s="60" t="n">
        <v>432.13</v>
      </c>
    </row>
    <row r="1225" customFormat="false" ht="15" hidden="false" customHeight="false" outlineLevel="0" collapsed="false">
      <c r="A1225" s="0" t="n">
        <v>3</v>
      </c>
      <c r="B1225" s="59" t="n">
        <v>46221</v>
      </c>
      <c r="C1225" s="0" t="n">
        <v>22</v>
      </c>
      <c r="D1225" s="0" t="s">
        <v>2172</v>
      </c>
      <c r="E1225" s="0" t="n">
        <v>42</v>
      </c>
      <c r="F1225" s="0" t="s">
        <v>81</v>
      </c>
      <c r="I1225" s="0" t="n">
        <v>4396</v>
      </c>
      <c r="J1225" s="0" t="n">
        <v>100014</v>
      </c>
      <c r="K1225" s="0" t="n">
        <v>15</v>
      </c>
      <c r="L1225" s="0" t="s">
        <v>2234</v>
      </c>
      <c r="N1225" s="0" t="n">
        <v>4.176</v>
      </c>
      <c r="O1225" s="60" t="n">
        <v>200.92</v>
      </c>
    </row>
    <row r="1226" customFormat="false" ht="15" hidden="false" customHeight="false" outlineLevel="0" collapsed="false">
      <c r="A1226" s="0" t="n">
        <v>3</v>
      </c>
      <c r="B1226" s="59" t="n">
        <v>46221</v>
      </c>
      <c r="C1226" s="0" t="n">
        <v>22</v>
      </c>
      <c r="D1226" s="0" t="s">
        <v>2172</v>
      </c>
      <c r="E1226" s="0" t="n">
        <v>42</v>
      </c>
      <c r="F1226" s="0" t="s">
        <v>81</v>
      </c>
      <c r="I1226" s="0" t="n">
        <v>4396</v>
      </c>
      <c r="J1226" s="0" t="n">
        <v>100015</v>
      </c>
      <c r="K1226" s="0" t="n">
        <v>16</v>
      </c>
      <c r="L1226" s="0" t="s">
        <v>2235</v>
      </c>
      <c r="N1226" s="0" t="n">
        <v>1.334</v>
      </c>
      <c r="O1226" s="60" t="n">
        <v>58.45</v>
      </c>
    </row>
    <row r="1227" customFormat="false" ht="15" hidden="false" customHeight="false" outlineLevel="0" collapsed="false">
      <c r="A1227" s="0" t="n">
        <v>3</v>
      </c>
      <c r="B1227" s="59" t="n">
        <v>46221</v>
      </c>
      <c r="C1227" s="0" t="n">
        <v>22</v>
      </c>
      <c r="D1227" s="0" t="s">
        <v>2172</v>
      </c>
      <c r="E1227" s="0" t="n">
        <v>42</v>
      </c>
      <c r="F1227" s="0" t="s">
        <v>81</v>
      </c>
      <c r="I1227" s="0" t="n">
        <v>4396</v>
      </c>
      <c r="J1227" s="0" t="n">
        <v>100016</v>
      </c>
      <c r="K1227" s="0" t="n">
        <v>17</v>
      </c>
      <c r="L1227" s="0" t="s">
        <v>2236</v>
      </c>
      <c r="N1227" s="0" t="n">
        <v>1.818</v>
      </c>
      <c r="O1227" s="60" t="n">
        <v>85.91</v>
      </c>
    </row>
    <row r="1228" customFormat="false" ht="15" hidden="false" customHeight="false" outlineLevel="0" collapsed="false">
      <c r="A1228" s="0" t="n">
        <v>3</v>
      </c>
      <c r="B1228" s="59" t="n">
        <v>46221</v>
      </c>
      <c r="C1228" s="0" t="n">
        <v>22</v>
      </c>
      <c r="D1228" s="0" t="s">
        <v>2172</v>
      </c>
      <c r="E1228" s="0" t="n">
        <v>42</v>
      </c>
      <c r="F1228" s="0" t="s">
        <v>81</v>
      </c>
      <c r="I1228" s="0" t="n">
        <v>4396</v>
      </c>
      <c r="J1228" s="0" t="n">
        <v>100017</v>
      </c>
      <c r="K1228" s="0" t="n">
        <v>18</v>
      </c>
      <c r="L1228" s="0" t="s">
        <v>2237</v>
      </c>
      <c r="N1228" s="0" t="n">
        <v>1.346</v>
      </c>
      <c r="O1228" s="60" t="n">
        <v>75.17</v>
      </c>
    </row>
    <row r="1229" customFormat="false" ht="15" hidden="false" customHeight="false" outlineLevel="0" collapsed="false">
      <c r="A1229" s="0" t="n">
        <v>3</v>
      </c>
      <c r="B1229" s="59" t="n">
        <v>46221</v>
      </c>
      <c r="C1229" s="0" t="n">
        <v>22</v>
      </c>
      <c r="D1229" s="0" t="s">
        <v>2172</v>
      </c>
      <c r="E1229" s="0" t="n">
        <v>42</v>
      </c>
      <c r="F1229" s="0" t="s">
        <v>81</v>
      </c>
      <c r="I1229" s="0" t="n">
        <v>4396</v>
      </c>
      <c r="J1229" s="0" t="n">
        <v>100053</v>
      </c>
      <c r="K1229" s="0" t="n">
        <v>54</v>
      </c>
      <c r="L1229" s="0" t="s">
        <v>2238</v>
      </c>
      <c r="N1229" s="0" t="n">
        <v>1.694</v>
      </c>
      <c r="O1229" s="60" t="n">
        <v>65.49</v>
      </c>
    </row>
    <row r="1230" customFormat="false" ht="15" hidden="false" customHeight="false" outlineLevel="0" collapsed="false">
      <c r="A1230" s="0" t="n">
        <v>3</v>
      </c>
      <c r="B1230" s="59" t="n">
        <v>46221</v>
      </c>
      <c r="C1230" s="0" t="n">
        <v>22</v>
      </c>
      <c r="D1230" s="0" t="s">
        <v>2172</v>
      </c>
      <c r="E1230" s="0" t="n">
        <v>42</v>
      </c>
      <c r="F1230" s="0" t="s">
        <v>81</v>
      </c>
      <c r="I1230" s="0" t="n">
        <v>4396</v>
      </c>
      <c r="J1230" s="0" t="n">
        <v>100638</v>
      </c>
      <c r="K1230" s="0" t="n">
        <v>508</v>
      </c>
      <c r="L1230" s="0" t="s">
        <v>2178</v>
      </c>
      <c r="N1230" s="0" t="n">
        <v>3.452</v>
      </c>
      <c r="O1230" s="60" t="n">
        <v>5.9</v>
      </c>
    </row>
    <row r="1231" customFormat="false" ht="15" hidden="false" customHeight="false" outlineLevel="0" collapsed="false">
      <c r="A1231" s="0" t="n">
        <v>3</v>
      </c>
      <c r="B1231" s="59" t="n">
        <v>46221</v>
      </c>
      <c r="C1231" s="0" t="n">
        <v>22</v>
      </c>
      <c r="D1231" s="0" t="s">
        <v>2172</v>
      </c>
      <c r="E1231" s="0" t="n">
        <v>42</v>
      </c>
      <c r="F1231" s="0" t="s">
        <v>81</v>
      </c>
      <c r="I1231" s="0" t="n">
        <v>4396</v>
      </c>
      <c r="J1231" s="0" t="n">
        <v>100520</v>
      </c>
      <c r="K1231" s="0" t="n">
        <v>507</v>
      </c>
      <c r="L1231" s="0" t="s">
        <v>2179</v>
      </c>
      <c r="N1231" s="0" t="n">
        <v>12.052</v>
      </c>
      <c r="O1231" s="60" t="n">
        <v>30.97</v>
      </c>
    </row>
    <row r="1232" customFormat="false" ht="15" hidden="false" customHeight="false" outlineLevel="0" collapsed="false">
      <c r="A1232" s="0" t="n">
        <v>3</v>
      </c>
      <c r="B1232" s="59" t="n">
        <v>46221</v>
      </c>
      <c r="C1232" s="0" t="n">
        <v>22</v>
      </c>
      <c r="D1232" s="0" t="s">
        <v>2172</v>
      </c>
      <c r="E1232" s="0" t="n">
        <v>42</v>
      </c>
      <c r="F1232" s="0" t="s">
        <v>81</v>
      </c>
      <c r="I1232" s="0" t="n">
        <v>4396</v>
      </c>
      <c r="J1232" s="0" t="n">
        <v>110455</v>
      </c>
      <c r="K1232" s="0" t="n">
        <v>53212</v>
      </c>
      <c r="L1232" s="0" t="s">
        <v>2180</v>
      </c>
      <c r="N1232" s="0" t="n">
        <v>0.602</v>
      </c>
      <c r="O1232" s="60" t="n">
        <v>0</v>
      </c>
    </row>
    <row r="1233" customFormat="false" ht="15" hidden="false" customHeight="false" outlineLevel="0" collapsed="false">
      <c r="A1233" s="0" t="n">
        <v>3</v>
      </c>
      <c r="B1233" s="59" t="n">
        <v>46221</v>
      </c>
      <c r="C1233" s="0" t="n">
        <v>100</v>
      </c>
      <c r="D1233" s="0" t="s">
        <v>2181</v>
      </c>
      <c r="E1233" s="0" t="n">
        <v>42</v>
      </c>
      <c r="F1233" s="0" t="s">
        <v>81</v>
      </c>
      <c r="I1233" s="0" t="n">
        <v>1414665</v>
      </c>
      <c r="J1233" s="0" t="n">
        <v>100000</v>
      </c>
      <c r="K1233" s="0" t="n">
        <v>1</v>
      </c>
      <c r="L1233" s="0" t="s">
        <v>2173</v>
      </c>
      <c r="N1233" s="0" t="n">
        <v>4.288</v>
      </c>
      <c r="O1233" s="60" t="n">
        <v>93.41</v>
      </c>
    </row>
    <row r="1234" customFormat="false" ht="15" hidden="false" customHeight="false" outlineLevel="0" collapsed="false">
      <c r="A1234" s="0" t="n">
        <v>3</v>
      </c>
      <c r="B1234" s="59" t="n">
        <v>46221</v>
      </c>
      <c r="C1234" s="0" t="n">
        <v>100</v>
      </c>
      <c r="D1234" s="0" t="s">
        <v>2181</v>
      </c>
      <c r="E1234" s="0" t="n">
        <v>42</v>
      </c>
      <c r="F1234" s="0" t="s">
        <v>81</v>
      </c>
      <c r="I1234" s="0" t="n">
        <v>1414665</v>
      </c>
      <c r="J1234" s="0" t="n">
        <v>100001</v>
      </c>
      <c r="K1234" s="0" t="n">
        <v>2</v>
      </c>
      <c r="L1234" s="0" t="s">
        <v>2174</v>
      </c>
      <c r="N1234" s="0" t="n">
        <v>23.89</v>
      </c>
      <c r="O1234" s="60" t="n">
        <v>556.34</v>
      </c>
    </row>
    <row r="1235" customFormat="false" ht="15" hidden="false" customHeight="false" outlineLevel="0" collapsed="false">
      <c r="A1235" s="0" t="n">
        <v>3</v>
      </c>
      <c r="B1235" s="59" t="n">
        <v>46221</v>
      </c>
      <c r="C1235" s="0" t="n">
        <v>100</v>
      </c>
      <c r="D1235" s="0" t="s">
        <v>2181</v>
      </c>
      <c r="E1235" s="0" t="n">
        <v>42</v>
      </c>
      <c r="F1235" s="0" t="s">
        <v>81</v>
      </c>
      <c r="I1235" s="0" t="n">
        <v>1414665</v>
      </c>
      <c r="J1235" s="0" t="n">
        <v>100002</v>
      </c>
      <c r="K1235" s="0" t="n">
        <v>3</v>
      </c>
      <c r="L1235" s="0" t="s">
        <v>2175</v>
      </c>
      <c r="N1235" s="0" t="n">
        <v>29.465</v>
      </c>
      <c r="O1235" s="60" t="n">
        <v>708.32</v>
      </c>
    </row>
    <row r="1236" customFormat="false" ht="15" hidden="false" customHeight="false" outlineLevel="0" collapsed="false">
      <c r="A1236" s="0" t="n">
        <v>3</v>
      </c>
      <c r="B1236" s="59" t="n">
        <v>46221</v>
      </c>
      <c r="C1236" s="0" t="n">
        <v>100</v>
      </c>
      <c r="D1236" s="0" t="s">
        <v>2181</v>
      </c>
      <c r="E1236" s="0" t="n">
        <v>42</v>
      </c>
      <c r="F1236" s="0" t="s">
        <v>81</v>
      </c>
      <c r="I1236" s="0" t="n">
        <v>1414665</v>
      </c>
      <c r="J1236" s="0" t="n">
        <v>100003</v>
      </c>
      <c r="K1236" s="0" t="n">
        <v>4</v>
      </c>
      <c r="L1236" s="0" t="s">
        <v>2176</v>
      </c>
      <c r="N1236" s="0" t="n">
        <v>29.223</v>
      </c>
      <c r="O1236" s="60" t="n">
        <v>768.38</v>
      </c>
    </row>
    <row r="1237" customFormat="false" ht="15" hidden="false" customHeight="false" outlineLevel="0" collapsed="false">
      <c r="A1237" s="0" t="n">
        <v>3</v>
      </c>
      <c r="B1237" s="59" t="n">
        <v>46221</v>
      </c>
      <c r="C1237" s="0" t="n">
        <v>100</v>
      </c>
      <c r="D1237" s="0" t="s">
        <v>2181</v>
      </c>
      <c r="E1237" s="0" t="n">
        <v>42</v>
      </c>
      <c r="F1237" s="0" t="s">
        <v>81</v>
      </c>
      <c r="I1237" s="0" t="n">
        <v>1414665</v>
      </c>
      <c r="J1237" s="0" t="n">
        <v>100007</v>
      </c>
      <c r="K1237" s="0" t="n">
        <v>8</v>
      </c>
      <c r="L1237" s="0" t="s">
        <v>2177</v>
      </c>
      <c r="N1237" s="0" t="n">
        <v>6.26</v>
      </c>
      <c r="O1237" s="60" t="n">
        <v>159.89</v>
      </c>
    </row>
    <row r="1238" customFormat="false" ht="15" hidden="false" customHeight="false" outlineLevel="0" collapsed="false">
      <c r="A1238" s="0" t="n">
        <v>3</v>
      </c>
      <c r="B1238" s="59" t="n">
        <v>46221</v>
      </c>
      <c r="C1238" s="0" t="n">
        <v>100</v>
      </c>
      <c r="D1238" s="0" t="s">
        <v>2181</v>
      </c>
      <c r="E1238" s="0" t="n">
        <v>42</v>
      </c>
      <c r="F1238" s="0" t="s">
        <v>81</v>
      </c>
      <c r="I1238" s="0" t="n">
        <v>1414665</v>
      </c>
      <c r="J1238" s="0" t="n">
        <v>100638</v>
      </c>
      <c r="K1238" s="0" t="n">
        <v>508</v>
      </c>
      <c r="L1238" s="0" t="s">
        <v>2178</v>
      </c>
      <c r="N1238" s="0" t="n">
        <v>4.876</v>
      </c>
      <c r="O1238" s="60" t="n">
        <v>7.29</v>
      </c>
    </row>
    <row r="1239" customFormat="false" ht="15" hidden="false" customHeight="false" outlineLevel="0" collapsed="false">
      <c r="A1239" s="0" t="n">
        <v>3</v>
      </c>
      <c r="B1239" s="59" t="n">
        <v>46221</v>
      </c>
      <c r="C1239" s="0" t="n">
        <v>100</v>
      </c>
      <c r="D1239" s="0" t="s">
        <v>2181</v>
      </c>
      <c r="E1239" s="0" t="n">
        <v>42</v>
      </c>
      <c r="F1239" s="0" t="s">
        <v>81</v>
      </c>
      <c r="I1239" s="0" t="n">
        <v>1414665</v>
      </c>
      <c r="J1239" s="0" t="n">
        <v>100520</v>
      </c>
      <c r="K1239" s="0" t="n">
        <v>507</v>
      </c>
      <c r="L1239" s="0" t="s">
        <v>2179</v>
      </c>
      <c r="N1239" s="0" t="n">
        <v>5.324</v>
      </c>
      <c r="O1239" s="60" t="n">
        <v>11.96</v>
      </c>
    </row>
    <row r="1240" customFormat="false" ht="15" hidden="false" customHeight="false" outlineLevel="0" collapsed="false">
      <c r="A1240" s="0" t="n">
        <v>3</v>
      </c>
      <c r="B1240" s="59" t="n">
        <v>46221</v>
      </c>
      <c r="C1240" s="0" t="n">
        <v>100</v>
      </c>
      <c r="D1240" s="0" t="s">
        <v>2181</v>
      </c>
      <c r="E1240" s="0" t="n">
        <v>42</v>
      </c>
      <c r="F1240" s="0" t="s">
        <v>81</v>
      </c>
      <c r="I1240" s="0" t="n">
        <v>1414665</v>
      </c>
      <c r="J1240" s="0" t="n">
        <v>110455</v>
      </c>
      <c r="K1240" s="0" t="n">
        <v>53212</v>
      </c>
      <c r="L1240" s="0" t="s">
        <v>2180</v>
      </c>
      <c r="N1240" s="0" t="n">
        <v>1.474</v>
      </c>
      <c r="O1240" s="60" t="n">
        <v>0.01</v>
      </c>
    </row>
    <row r="1241" customFormat="false" ht="15" hidden="false" customHeight="false" outlineLevel="0" collapsed="false">
      <c r="A1241" s="0" t="n">
        <v>3</v>
      </c>
      <c r="B1241" s="59" t="n">
        <v>46221</v>
      </c>
      <c r="C1241" s="0" t="n">
        <v>100</v>
      </c>
      <c r="D1241" s="0" t="s">
        <v>2181</v>
      </c>
      <c r="E1241" s="0" t="n">
        <v>42</v>
      </c>
      <c r="F1241" s="0" t="s">
        <v>81</v>
      </c>
      <c r="I1241" s="0" t="n">
        <v>1414676</v>
      </c>
      <c r="J1241" s="0" t="n">
        <v>100006</v>
      </c>
      <c r="K1241" s="0" t="n">
        <v>7</v>
      </c>
      <c r="L1241" s="0" t="s">
        <v>2228</v>
      </c>
      <c r="N1241" s="0" t="n">
        <v>4.426</v>
      </c>
      <c r="O1241" s="60" t="n">
        <v>145.44</v>
      </c>
    </row>
    <row r="1242" customFormat="false" ht="15" hidden="false" customHeight="false" outlineLevel="0" collapsed="false">
      <c r="A1242" s="0" t="n">
        <v>3</v>
      </c>
      <c r="B1242" s="59" t="n">
        <v>46221</v>
      </c>
      <c r="C1242" s="0" t="n">
        <v>100</v>
      </c>
      <c r="D1242" s="0" t="s">
        <v>2181</v>
      </c>
      <c r="E1242" s="0" t="n">
        <v>42</v>
      </c>
      <c r="F1242" s="0" t="s">
        <v>81</v>
      </c>
      <c r="I1242" s="0" t="n">
        <v>1414676</v>
      </c>
      <c r="J1242" s="0" t="n">
        <v>100008</v>
      </c>
      <c r="K1242" s="0" t="n">
        <v>9</v>
      </c>
      <c r="L1242" s="0" t="s">
        <v>2229</v>
      </c>
      <c r="N1242" s="0" t="n">
        <v>12.325</v>
      </c>
      <c r="O1242" s="60" t="n">
        <v>415.13</v>
      </c>
    </row>
    <row r="1243" customFormat="false" ht="15" hidden="false" customHeight="false" outlineLevel="0" collapsed="false">
      <c r="A1243" s="0" t="n">
        <v>3</v>
      </c>
      <c r="B1243" s="59" t="n">
        <v>46221</v>
      </c>
      <c r="C1243" s="0" t="n">
        <v>100</v>
      </c>
      <c r="D1243" s="0" t="s">
        <v>2181</v>
      </c>
      <c r="E1243" s="0" t="n">
        <v>42</v>
      </c>
      <c r="F1243" s="0" t="s">
        <v>81</v>
      </c>
      <c r="I1243" s="0" t="n">
        <v>1414676</v>
      </c>
      <c r="J1243" s="0" t="n">
        <v>100010</v>
      </c>
      <c r="K1243" s="0" t="n">
        <v>11</v>
      </c>
      <c r="L1243" s="0" t="s">
        <v>2230</v>
      </c>
      <c r="N1243" s="0" t="n">
        <v>2.888</v>
      </c>
      <c r="O1243" s="60" t="n">
        <v>111.51</v>
      </c>
    </row>
    <row r="1244" customFormat="false" ht="15" hidden="false" customHeight="false" outlineLevel="0" collapsed="false">
      <c r="A1244" s="0" t="n">
        <v>3</v>
      </c>
      <c r="B1244" s="59" t="n">
        <v>46221</v>
      </c>
      <c r="C1244" s="0" t="n">
        <v>100</v>
      </c>
      <c r="D1244" s="0" t="s">
        <v>2181</v>
      </c>
      <c r="E1244" s="0" t="n">
        <v>42</v>
      </c>
      <c r="F1244" s="0" t="s">
        <v>81</v>
      </c>
      <c r="I1244" s="0" t="n">
        <v>1414676</v>
      </c>
      <c r="J1244" s="0" t="n">
        <v>100011</v>
      </c>
      <c r="K1244" s="0" t="n">
        <v>12</v>
      </c>
      <c r="L1244" s="0" t="s">
        <v>2231</v>
      </c>
      <c r="N1244" s="0" t="n">
        <v>5.84</v>
      </c>
      <c r="O1244" s="60" t="n">
        <v>225.49</v>
      </c>
    </row>
    <row r="1245" customFormat="false" ht="15" hidden="false" customHeight="false" outlineLevel="0" collapsed="false">
      <c r="A1245" s="0" t="n">
        <v>3</v>
      </c>
      <c r="B1245" s="59" t="n">
        <v>46221</v>
      </c>
      <c r="C1245" s="0" t="n">
        <v>100</v>
      </c>
      <c r="D1245" s="0" t="s">
        <v>2181</v>
      </c>
      <c r="E1245" s="0" t="n">
        <v>42</v>
      </c>
      <c r="F1245" s="0" t="s">
        <v>81</v>
      </c>
      <c r="I1245" s="0" t="n">
        <v>1414676</v>
      </c>
      <c r="J1245" s="0" t="n">
        <v>100012</v>
      </c>
      <c r="K1245" s="0" t="n">
        <v>13</v>
      </c>
      <c r="L1245" s="0" t="s">
        <v>2232</v>
      </c>
      <c r="N1245" s="0" t="n">
        <v>4.97</v>
      </c>
      <c r="O1245" s="60" t="n">
        <v>208.24</v>
      </c>
    </row>
    <row r="1246" customFormat="false" ht="15" hidden="false" customHeight="false" outlineLevel="0" collapsed="false">
      <c r="A1246" s="0" t="n">
        <v>3</v>
      </c>
      <c r="B1246" s="59" t="n">
        <v>46221</v>
      </c>
      <c r="C1246" s="0" t="n">
        <v>100</v>
      </c>
      <c r="D1246" s="0" t="s">
        <v>2181</v>
      </c>
      <c r="E1246" s="0" t="n">
        <v>42</v>
      </c>
      <c r="F1246" s="0" t="s">
        <v>81</v>
      </c>
      <c r="I1246" s="0" t="n">
        <v>1414676</v>
      </c>
      <c r="J1246" s="0" t="n">
        <v>100013</v>
      </c>
      <c r="K1246" s="0" t="n">
        <v>14</v>
      </c>
      <c r="L1246" s="0" t="s">
        <v>2233</v>
      </c>
      <c r="N1246" s="0" t="n">
        <v>9.325</v>
      </c>
      <c r="O1246" s="60" t="n">
        <v>421.35</v>
      </c>
    </row>
    <row r="1247" customFormat="false" ht="15" hidden="false" customHeight="false" outlineLevel="0" collapsed="false">
      <c r="A1247" s="0" t="n">
        <v>3</v>
      </c>
      <c r="B1247" s="59" t="n">
        <v>46221</v>
      </c>
      <c r="C1247" s="0" t="n">
        <v>100</v>
      </c>
      <c r="D1247" s="0" t="s">
        <v>2181</v>
      </c>
      <c r="E1247" s="0" t="n">
        <v>42</v>
      </c>
      <c r="F1247" s="0" t="s">
        <v>81</v>
      </c>
      <c r="I1247" s="0" t="n">
        <v>1414676</v>
      </c>
      <c r="J1247" s="0" t="n">
        <v>100014</v>
      </c>
      <c r="K1247" s="0" t="n">
        <v>15</v>
      </c>
      <c r="L1247" s="0" t="s">
        <v>2234</v>
      </c>
      <c r="N1247" s="0" t="n">
        <v>3.982</v>
      </c>
      <c r="O1247" s="60" t="n">
        <v>183.2</v>
      </c>
    </row>
    <row r="1248" customFormat="false" ht="15" hidden="false" customHeight="false" outlineLevel="0" collapsed="false">
      <c r="A1248" s="0" t="n">
        <v>3</v>
      </c>
      <c r="B1248" s="59" t="n">
        <v>46221</v>
      </c>
      <c r="C1248" s="0" t="n">
        <v>100</v>
      </c>
      <c r="D1248" s="0" t="s">
        <v>2181</v>
      </c>
      <c r="E1248" s="0" t="n">
        <v>42</v>
      </c>
      <c r="F1248" s="0" t="s">
        <v>81</v>
      </c>
      <c r="I1248" s="0" t="n">
        <v>1414676</v>
      </c>
      <c r="J1248" s="0" t="n">
        <v>100015</v>
      </c>
      <c r="K1248" s="0" t="n">
        <v>16</v>
      </c>
      <c r="L1248" s="0" t="s">
        <v>2235</v>
      </c>
      <c r="N1248" s="0" t="n">
        <v>1.382</v>
      </c>
      <c r="O1248" s="60" t="n">
        <v>57.9</v>
      </c>
    </row>
    <row r="1249" customFormat="false" ht="15" hidden="false" customHeight="false" outlineLevel="0" collapsed="false">
      <c r="A1249" s="0" t="n">
        <v>3</v>
      </c>
      <c r="B1249" s="59" t="n">
        <v>46221</v>
      </c>
      <c r="C1249" s="0" t="n">
        <v>100</v>
      </c>
      <c r="D1249" s="0" t="s">
        <v>2181</v>
      </c>
      <c r="E1249" s="0" t="n">
        <v>42</v>
      </c>
      <c r="F1249" s="0" t="s">
        <v>81</v>
      </c>
      <c r="I1249" s="0" t="n">
        <v>1414676</v>
      </c>
      <c r="J1249" s="0" t="n">
        <v>100016</v>
      </c>
      <c r="K1249" s="0" t="n">
        <v>17</v>
      </c>
      <c r="L1249" s="0" t="s">
        <v>2236</v>
      </c>
      <c r="N1249" s="0" t="n">
        <v>1.856</v>
      </c>
      <c r="O1249" s="60" t="n">
        <v>83.86</v>
      </c>
    </row>
    <row r="1250" customFormat="false" ht="15" hidden="false" customHeight="false" outlineLevel="0" collapsed="false">
      <c r="A1250" s="0" t="n">
        <v>3</v>
      </c>
      <c r="B1250" s="59" t="n">
        <v>46221</v>
      </c>
      <c r="C1250" s="0" t="n">
        <v>100</v>
      </c>
      <c r="D1250" s="0" t="s">
        <v>2181</v>
      </c>
      <c r="E1250" s="0" t="n">
        <v>42</v>
      </c>
      <c r="F1250" s="0" t="s">
        <v>81</v>
      </c>
      <c r="I1250" s="0" t="n">
        <v>1414676</v>
      </c>
      <c r="J1250" s="0" t="n">
        <v>100017</v>
      </c>
      <c r="K1250" s="0" t="n">
        <v>18</v>
      </c>
      <c r="L1250" s="0" t="s">
        <v>2237</v>
      </c>
      <c r="N1250" s="0" t="n">
        <v>1.656</v>
      </c>
      <c r="O1250" s="60" t="n">
        <v>88.43</v>
      </c>
    </row>
    <row r="1251" customFormat="false" ht="15" hidden="false" customHeight="false" outlineLevel="0" collapsed="false">
      <c r="A1251" s="0" t="n">
        <v>3</v>
      </c>
      <c r="B1251" s="59" t="n">
        <v>46221</v>
      </c>
      <c r="C1251" s="0" t="n">
        <v>100</v>
      </c>
      <c r="D1251" s="0" t="s">
        <v>2181</v>
      </c>
      <c r="E1251" s="0" t="n">
        <v>42</v>
      </c>
      <c r="F1251" s="0" t="s">
        <v>81</v>
      </c>
      <c r="I1251" s="0" t="n">
        <v>1414676</v>
      </c>
      <c r="J1251" s="0" t="n">
        <v>100019</v>
      </c>
      <c r="K1251" s="0" t="n">
        <v>20</v>
      </c>
      <c r="L1251" s="0" t="s">
        <v>2795</v>
      </c>
      <c r="N1251" s="0" t="n">
        <v>2.274</v>
      </c>
      <c r="O1251" s="60" t="n">
        <v>80.33</v>
      </c>
    </row>
    <row r="1252" customFormat="false" ht="15" hidden="false" customHeight="false" outlineLevel="0" collapsed="false">
      <c r="A1252" s="0" t="n">
        <v>3</v>
      </c>
      <c r="B1252" s="59" t="n">
        <v>46221</v>
      </c>
      <c r="C1252" s="0" t="n">
        <v>100</v>
      </c>
      <c r="D1252" s="0" t="s">
        <v>2181</v>
      </c>
      <c r="E1252" s="0" t="n">
        <v>42</v>
      </c>
      <c r="F1252" s="0" t="s">
        <v>81</v>
      </c>
      <c r="I1252" s="0" t="n">
        <v>1414676</v>
      </c>
      <c r="J1252" s="0" t="n">
        <v>100020</v>
      </c>
      <c r="K1252" s="0" t="n">
        <v>21</v>
      </c>
      <c r="L1252" s="0" t="s">
        <v>2337</v>
      </c>
      <c r="N1252" s="0" t="n">
        <v>2.414</v>
      </c>
      <c r="O1252" s="60" t="n">
        <v>81.31</v>
      </c>
    </row>
    <row r="1253" customFormat="false" ht="15" hidden="false" customHeight="false" outlineLevel="0" collapsed="false">
      <c r="A1253" s="0" t="n">
        <v>3</v>
      </c>
      <c r="B1253" s="59" t="n">
        <v>46221</v>
      </c>
      <c r="C1253" s="0" t="n">
        <v>100</v>
      </c>
      <c r="D1253" s="0" t="s">
        <v>2181</v>
      </c>
      <c r="E1253" s="0" t="n">
        <v>42</v>
      </c>
      <c r="F1253" s="0" t="s">
        <v>81</v>
      </c>
      <c r="I1253" s="0" t="n">
        <v>1414676</v>
      </c>
      <c r="J1253" s="0" t="n">
        <v>100023</v>
      </c>
      <c r="K1253" s="0" t="n">
        <v>24</v>
      </c>
      <c r="L1253" s="0" t="s">
        <v>2678</v>
      </c>
      <c r="N1253" s="0" t="n">
        <v>0.632</v>
      </c>
      <c r="O1253" s="60" t="n">
        <v>7.27</v>
      </c>
    </row>
    <row r="1254" customFormat="false" ht="15" hidden="false" customHeight="false" outlineLevel="0" collapsed="false">
      <c r="A1254" s="0" t="n">
        <v>3</v>
      </c>
      <c r="B1254" s="59" t="n">
        <v>46221</v>
      </c>
      <c r="C1254" s="0" t="n">
        <v>100</v>
      </c>
      <c r="D1254" s="0" t="s">
        <v>2181</v>
      </c>
      <c r="E1254" s="0" t="n">
        <v>42</v>
      </c>
      <c r="F1254" s="0" t="s">
        <v>81</v>
      </c>
      <c r="I1254" s="0" t="n">
        <v>1414676</v>
      </c>
      <c r="J1254" s="0" t="n">
        <v>100053</v>
      </c>
      <c r="K1254" s="0" t="n">
        <v>54</v>
      </c>
      <c r="L1254" s="0" t="s">
        <v>2238</v>
      </c>
      <c r="N1254" s="0" t="n">
        <v>1.878</v>
      </c>
      <c r="O1254" s="60" t="n">
        <v>69.43</v>
      </c>
    </row>
    <row r="1255" customFormat="false" ht="15" hidden="false" customHeight="false" outlineLevel="0" collapsed="false">
      <c r="A1255" s="0" t="n">
        <v>3</v>
      </c>
      <c r="B1255" s="59" t="n">
        <v>46221</v>
      </c>
      <c r="C1255" s="0" t="n">
        <v>100</v>
      </c>
      <c r="D1255" s="0" t="s">
        <v>2181</v>
      </c>
      <c r="E1255" s="0" t="n">
        <v>42</v>
      </c>
      <c r="F1255" s="0" t="s">
        <v>81</v>
      </c>
      <c r="I1255" s="0" t="n">
        <v>1414676</v>
      </c>
      <c r="J1255" s="0" t="n">
        <v>100638</v>
      </c>
      <c r="K1255" s="0" t="n">
        <v>508</v>
      </c>
      <c r="L1255" s="0" t="s">
        <v>2178</v>
      </c>
      <c r="N1255" s="0" t="n">
        <v>2.748</v>
      </c>
      <c r="O1255" s="60" t="n">
        <v>4.49</v>
      </c>
    </row>
    <row r="1256" customFormat="false" ht="15" hidden="false" customHeight="false" outlineLevel="0" collapsed="false">
      <c r="A1256" s="0" t="n">
        <v>3</v>
      </c>
      <c r="B1256" s="59" t="n">
        <v>46221</v>
      </c>
      <c r="C1256" s="0" t="n">
        <v>100</v>
      </c>
      <c r="D1256" s="0" t="s">
        <v>2181</v>
      </c>
      <c r="E1256" s="0" t="n">
        <v>42</v>
      </c>
      <c r="F1256" s="0" t="s">
        <v>81</v>
      </c>
      <c r="I1256" s="0" t="n">
        <v>1414676</v>
      </c>
      <c r="J1256" s="0" t="n">
        <v>100520</v>
      </c>
      <c r="K1256" s="0" t="n">
        <v>507</v>
      </c>
      <c r="L1256" s="0" t="s">
        <v>2179</v>
      </c>
      <c r="N1256" s="0" t="n">
        <v>10.02</v>
      </c>
      <c r="O1256" s="60" t="n">
        <v>24.62</v>
      </c>
    </row>
    <row r="1257" customFormat="false" ht="15" hidden="false" customHeight="false" outlineLevel="0" collapsed="false">
      <c r="A1257" s="0" t="n">
        <v>3</v>
      </c>
      <c r="B1257" s="59" t="n">
        <v>46221</v>
      </c>
      <c r="C1257" s="0" t="n">
        <v>100</v>
      </c>
      <c r="D1257" s="0" t="s">
        <v>2181</v>
      </c>
      <c r="E1257" s="0" t="n">
        <v>42</v>
      </c>
      <c r="F1257" s="0" t="s">
        <v>81</v>
      </c>
      <c r="I1257" s="0" t="n">
        <v>1414676</v>
      </c>
      <c r="J1257" s="0" t="n">
        <v>110455</v>
      </c>
      <c r="K1257" s="0" t="n">
        <v>53212</v>
      </c>
      <c r="L1257" s="0" t="s">
        <v>2180</v>
      </c>
      <c r="N1257" s="0" t="n">
        <v>0.384</v>
      </c>
      <c r="O1257" s="60" t="n">
        <v>0</v>
      </c>
    </row>
    <row r="1258" customFormat="false" ht="15" hidden="false" customHeight="false" outlineLevel="0" collapsed="false">
      <c r="A1258" s="0" t="n">
        <v>3</v>
      </c>
      <c r="B1258" s="59" t="n">
        <v>46221</v>
      </c>
      <c r="C1258" s="0" t="n">
        <v>100</v>
      </c>
      <c r="D1258" s="0" t="s">
        <v>2181</v>
      </c>
      <c r="E1258" s="0" t="n">
        <v>42</v>
      </c>
      <c r="F1258" s="0" t="s">
        <v>81</v>
      </c>
      <c r="I1258" s="0" t="n">
        <v>1414734</v>
      </c>
      <c r="J1258" s="0" t="n">
        <v>100006</v>
      </c>
      <c r="K1258" s="0" t="n">
        <v>7</v>
      </c>
      <c r="L1258" s="0" t="s">
        <v>2228</v>
      </c>
      <c r="N1258" s="0" t="n">
        <v>7.37</v>
      </c>
      <c r="O1258" s="60" t="n">
        <v>253.26</v>
      </c>
    </row>
    <row r="1259" customFormat="false" ht="15" hidden="false" customHeight="false" outlineLevel="0" collapsed="false">
      <c r="A1259" s="0" t="n">
        <v>3</v>
      </c>
      <c r="B1259" s="59" t="n">
        <v>46221</v>
      </c>
      <c r="C1259" s="0" t="n">
        <v>100</v>
      </c>
      <c r="D1259" s="0" t="s">
        <v>2181</v>
      </c>
      <c r="E1259" s="0" t="n">
        <v>42</v>
      </c>
      <c r="F1259" s="0" t="s">
        <v>81</v>
      </c>
      <c r="I1259" s="0" t="n">
        <v>1414734</v>
      </c>
      <c r="J1259" s="0" t="n">
        <v>100008</v>
      </c>
      <c r="K1259" s="0" t="n">
        <v>9</v>
      </c>
      <c r="L1259" s="0" t="s">
        <v>2229</v>
      </c>
      <c r="N1259" s="0" t="n">
        <v>12.455</v>
      </c>
      <c r="O1259" s="60" t="n">
        <v>438.7</v>
      </c>
    </row>
    <row r="1260" customFormat="false" ht="15" hidden="false" customHeight="false" outlineLevel="0" collapsed="false">
      <c r="A1260" s="0" t="n">
        <v>3</v>
      </c>
      <c r="B1260" s="59" t="n">
        <v>46221</v>
      </c>
      <c r="C1260" s="0" t="n">
        <v>100</v>
      </c>
      <c r="D1260" s="0" t="s">
        <v>2181</v>
      </c>
      <c r="E1260" s="0" t="n">
        <v>42</v>
      </c>
      <c r="F1260" s="0" t="s">
        <v>81</v>
      </c>
      <c r="I1260" s="0" t="n">
        <v>1414734</v>
      </c>
      <c r="J1260" s="0" t="n">
        <v>100010</v>
      </c>
      <c r="K1260" s="0" t="n">
        <v>11</v>
      </c>
      <c r="L1260" s="0" t="s">
        <v>2230</v>
      </c>
      <c r="N1260" s="0" t="n">
        <v>2.306</v>
      </c>
      <c r="O1260" s="60" t="n">
        <v>93.11</v>
      </c>
    </row>
    <row r="1261" customFormat="false" ht="15" hidden="false" customHeight="false" outlineLevel="0" collapsed="false">
      <c r="A1261" s="0" t="n">
        <v>3</v>
      </c>
      <c r="B1261" s="59" t="n">
        <v>46221</v>
      </c>
      <c r="C1261" s="0" t="n">
        <v>100</v>
      </c>
      <c r="D1261" s="0" t="s">
        <v>2181</v>
      </c>
      <c r="E1261" s="0" t="n">
        <v>42</v>
      </c>
      <c r="F1261" s="0" t="s">
        <v>81</v>
      </c>
      <c r="I1261" s="0" t="n">
        <v>1414734</v>
      </c>
      <c r="J1261" s="0" t="n">
        <v>100011</v>
      </c>
      <c r="K1261" s="0" t="n">
        <v>12</v>
      </c>
      <c r="L1261" s="0" t="s">
        <v>2231</v>
      </c>
      <c r="N1261" s="0" t="n">
        <v>5.706</v>
      </c>
      <c r="O1261" s="60" t="n">
        <v>230.4</v>
      </c>
    </row>
    <row r="1262" customFormat="false" ht="15" hidden="false" customHeight="false" outlineLevel="0" collapsed="false">
      <c r="A1262" s="0" t="n">
        <v>3</v>
      </c>
      <c r="B1262" s="59" t="n">
        <v>46221</v>
      </c>
      <c r="C1262" s="0" t="n">
        <v>100</v>
      </c>
      <c r="D1262" s="0" t="s">
        <v>2181</v>
      </c>
      <c r="E1262" s="0" t="n">
        <v>42</v>
      </c>
      <c r="F1262" s="0" t="s">
        <v>81</v>
      </c>
      <c r="I1262" s="0" t="n">
        <v>1414734</v>
      </c>
      <c r="J1262" s="0" t="n">
        <v>100012</v>
      </c>
      <c r="K1262" s="0" t="n">
        <v>13</v>
      </c>
      <c r="L1262" s="0" t="s">
        <v>2232</v>
      </c>
      <c r="N1262" s="0" t="n">
        <v>5.094</v>
      </c>
      <c r="O1262" s="60" t="n">
        <v>223.2</v>
      </c>
    </row>
    <row r="1263" customFormat="false" ht="15" hidden="false" customHeight="false" outlineLevel="0" collapsed="false">
      <c r="A1263" s="0" t="n">
        <v>3</v>
      </c>
      <c r="B1263" s="59" t="n">
        <v>46221</v>
      </c>
      <c r="C1263" s="0" t="n">
        <v>100</v>
      </c>
      <c r="D1263" s="0" t="s">
        <v>2181</v>
      </c>
      <c r="E1263" s="0" t="n">
        <v>42</v>
      </c>
      <c r="F1263" s="0" t="s">
        <v>81</v>
      </c>
      <c r="I1263" s="0" t="n">
        <v>1414734</v>
      </c>
      <c r="J1263" s="0" t="n">
        <v>100013</v>
      </c>
      <c r="K1263" s="0" t="n">
        <v>14</v>
      </c>
      <c r="L1263" s="0" t="s">
        <v>2233</v>
      </c>
      <c r="N1263" s="0" t="n">
        <v>9.145</v>
      </c>
      <c r="O1263" s="60" t="n">
        <v>432.13</v>
      </c>
    </row>
    <row r="1264" customFormat="false" ht="15" hidden="false" customHeight="false" outlineLevel="0" collapsed="false">
      <c r="A1264" s="0" t="n">
        <v>3</v>
      </c>
      <c r="B1264" s="59" t="n">
        <v>46221</v>
      </c>
      <c r="C1264" s="0" t="n">
        <v>100</v>
      </c>
      <c r="D1264" s="0" t="s">
        <v>2181</v>
      </c>
      <c r="E1264" s="0" t="n">
        <v>42</v>
      </c>
      <c r="F1264" s="0" t="s">
        <v>81</v>
      </c>
      <c r="I1264" s="0" t="n">
        <v>1414734</v>
      </c>
      <c r="J1264" s="0" t="n">
        <v>100014</v>
      </c>
      <c r="K1264" s="0" t="n">
        <v>15</v>
      </c>
      <c r="L1264" s="0" t="s">
        <v>2234</v>
      </c>
      <c r="N1264" s="0" t="n">
        <v>4.176</v>
      </c>
      <c r="O1264" s="60" t="n">
        <v>200.92</v>
      </c>
    </row>
    <row r="1265" customFormat="false" ht="15" hidden="false" customHeight="false" outlineLevel="0" collapsed="false">
      <c r="A1265" s="0" t="n">
        <v>3</v>
      </c>
      <c r="B1265" s="59" t="n">
        <v>46221</v>
      </c>
      <c r="C1265" s="0" t="n">
        <v>100</v>
      </c>
      <c r="D1265" s="0" t="s">
        <v>2181</v>
      </c>
      <c r="E1265" s="0" t="n">
        <v>42</v>
      </c>
      <c r="F1265" s="0" t="s">
        <v>81</v>
      </c>
      <c r="I1265" s="0" t="n">
        <v>1414734</v>
      </c>
      <c r="J1265" s="0" t="n">
        <v>100015</v>
      </c>
      <c r="K1265" s="0" t="n">
        <v>16</v>
      </c>
      <c r="L1265" s="0" t="s">
        <v>2235</v>
      </c>
      <c r="N1265" s="0" t="n">
        <v>1.334</v>
      </c>
      <c r="O1265" s="60" t="n">
        <v>58.45</v>
      </c>
    </row>
    <row r="1266" customFormat="false" ht="15" hidden="false" customHeight="false" outlineLevel="0" collapsed="false">
      <c r="A1266" s="0" t="n">
        <v>3</v>
      </c>
      <c r="B1266" s="59" t="n">
        <v>46221</v>
      </c>
      <c r="C1266" s="0" t="n">
        <v>100</v>
      </c>
      <c r="D1266" s="0" t="s">
        <v>2181</v>
      </c>
      <c r="E1266" s="0" t="n">
        <v>42</v>
      </c>
      <c r="F1266" s="0" t="s">
        <v>81</v>
      </c>
      <c r="I1266" s="0" t="n">
        <v>1414734</v>
      </c>
      <c r="J1266" s="0" t="n">
        <v>100016</v>
      </c>
      <c r="K1266" s="0" t="n">
        <v>17</v>
      </c>
      <c r="L1266" s="0" t="s">
        <v>2236</v>
      </c>
      <c r="N1266" s="0" t="n">
        <v>1.818</v>
      </c>
      <c r="O1266" s="60" t="n">
        <v>85.91</v>
      </c>
    </row>
    <row r="1267" customFormat="false" ht="15" hidden="false" customHeight="false" outlineLevel="0" collapsed="false">
      <c r="A1267" s="0" t="n">
        <v>3</v>
      </c>
      <c r="B1267" s="59" t="n">
        <v>46221</v>
      </c>
      <c r="C1267" s="0" t="n">
        <v>100</v>
      </c>
      <c r="D1267" s="0" t="s">
        <v>2181</v>
      </c>
      <c r="E1267" s="0" t="n">
        <v>42</v>
      </c>
      <c r="F1267" s="0" t="s">
        <v>81</v>
      </c>
      <c r="I1267" s="0" t="n">
        <v>1414734</v>
      </c>
      <c r="J1267" s="0" t="n">
        <v>100017</v>
      </c>
      <c r="K1267" s="0" t="n">
        <v>18</v>
      </c>
      <c r="L1267" s="0" t="s">
        <v>2237</v>
      </c>
      <c r="N1267" s="0" t="n">
        <v>1.346</v>
      </c>
      <c r="O1267" s="60" t="n">
        <v>75.17</v>
      </c>
    </row>
    <row r="1268" customFormat="false" ht="15" hidden="false" customHeight="false" outlineLevel="0" collapsed="false">
      <c r="A1268" s="0" t="n">
        <v>3</v>
      </c>
      <c r="B1268" s="59" t="n">
        <v>46221</v>
      </c>
      <c r="C1268" s="0" t="n">
        <v>100</v>
      </c>
      <c r="D1268" s="0" t="s">
        <v>2181</v>
      </c>
      <c r="E1268" s="0" t="n">
        <v>42</v>
      </c>
      <c r="F1268" s="0" t="s">
        <v>81</v>
      </c>
      <c r="I1268" s="0" t="n">
        <v>1414734</v>
      </c>
      <c r="J1268" s="0" t="n">
        <v>100053</v>
      </c>
      <c r="K1268" s="0" t="n">
        <v>54</v>
      </c>
      <c r="L1268" s="0" t="s">
        <v>2238</v>
      </c>
      <c r="N1268" s="0" t="n">
        <v>1.694</v>
      </c>
      <c r="O1268" s="60" t="n">
        <v>65.49</v>
      </c>
    </row>
    <row r="1269" customFormat="false" ht="15" hidden="false" customHeight="false" outlineLevel="0" collapsed="false">
      <c r="A1269" s="0" t="n">
        <v>3</v>
      </c>
      <c r="B1269" s="59" t="n">
        <v>46221</v>
      </c>
      <c r="C1269" s="0" t="n">
        <v>100</v>
      </c>
      <c r="D1269" s="0" t="s">
        <v>2181</v>
      </c>
      <c r="E1269" s="0" t="n">
        <v>42</v>
      </c>
      <c r="F1269" s="0" t="s">
        <v>81</v>
      </c>
      <c r="I1269" s="0" t="n">
        <v>1414734</v>
      </c>
      <c r="J1269" s="0" t="n">
        <v>100638</v>
      </c>
      <c r="K1269" s="0" t="n">
        <v>508</v>
      </c>
      <c r="L1269" s="0" t="s">
        <v>2178</v>
      </c>
      <c r="N1269" s="0" t="n">
        <v>3.452</v>
      </c>
      <c r="O1269" s="60" t="n">
        <v>5.9</v>
      </c>
    </row>
    <row r="1270" customFormat="false" ht="15" hidden="false" customHeight="false" outlineLevel="0" collapsed="false">
      <c r="A1270" s="0" t="n">
        <v>3</v>
      </c>
      <c r="B1270" s="59" t="n">
        <v>46221</v>
      </c>
      <c r="C1270" s="0" t="n">
        <v>100</v>
      </c>
      <c r="D1270" s="0" t="s">
        <v>2181</v>
      </c>
      <c r="E1270" s="0" t="n">
        <v>42</v>
      </c>
      <c r="F1270" s="0" t="s">
        <v>81</v>
      </c>
      <c r="I1270" s="0" t="n">
        <v>1414734</v>
      </c>
      <c r="J1270" s="0" t="n">
        <v>100520</v>
      </c>
      <c r="K1270" s="0" t="n">
        <v>507</v>
      </c>
      <c r="L1270" s="0" t="s">
        <v>2179</v>
      </c>
      <c r="N1270" s="0" t="n">
        <v>12.052</v>
      </c>
      <c r="O1270" s="60" t="n">
        <v>30.97</v>
      </c>
    </row>
    <row r="1271" customFormat="false" ht="15" hidden="false" customHeight="false" outlineLevel="0" collapsed="false">
      <c r="A1271" s="0" t="n">
        <v>3</v>
      </c>
      <c r="B1271" s="59" t="n">
        <v>46221</v>
      </c>
      <c r="C1271" s="0" t="n">
        <v>100</v>
      </c>
      <c r="D1271" s="0" t="s">
        <v>2181</v>
      </c>
      <c r="E1271" s="0" t="n">
        <v>42</v>
      </c>
      <c r="F1271" s="0" t="s">
        <v>81</v>
      </c>
      <c r="I1271" s="0" t="n">
        <v>1414734</v>
      </c>
      <c r="J1271" s="0" t="n">
        <v>110455</v>
      </c>
      <c r="K1271" s="0" t="n">
        <v>53212</v>
      </c>
      <c r="L1271" s="0" t="s">
        <v>2180</v>
      </c>
      <c r="N1271" s="0" t="n">
        <v>0.602</v>
      </c>
      <c r="O1271" s="60" t="n">
        <v>0</v>
      </c>
    </row>
    <row r="1272" customFormat="false" ht="15" hidden="false" customHeight="false" outlineLevel="0" collapsed="false">
      <c r="A1272" s="0" t="n">
        <v>3</v>
      </c>
      <c r="B1272" s="59" t="n">
        <v>46223</v>
      </c>
      <c r="C1272" s="0" t="n">
        <v>1</v>
      </c>
      <c r="D1272" s="0" t="s">
        <v>2118</v>
      </c>
      <c r="E1272" s="0" t="n">
        <v>10043</v>
      </c>
      <c r="F1272" s="0" t="s">
        <v>113</v>
      </c>
      <c r="I1272" s="0" t="n">
        <v>789</v>
      </c>
      <c r="J1272" s="0" t="n">
        <v>52096</v>
      </c>
      <c r="K1272" s="0" t="n">
        <v>144315</v>
      </c>
      <c r="L1272" s="0" t="s">
        <v>2415</v>
      </c>
      <c r="N1272" s="0" t="n">
        <v>180</v>
      </c>
      <c r="O1272" s="60" t="n">
        <v>270</v>
      </c>
    </row>
    <row r="1273" customFormat="false" ht="15" hidden="false" customHeight="false" outlineLevel="0" collapsed="false">
      <c r="A1273" s="0" t="n">
        <v>3</v>
      </c>
      <c r="B1273" s="59" t="n">
        <v>46223</v>
      </c>
      <c r="C1273" s="0" t="n">
        <v>6</v>
      </c>
      <c r="D1273" s="0" t="s">
        <v>2125</v>
      </c>
      <c r="E1273" s="0" t="n">
        <v>42</v>
      </c>
      <c r="F1273" s="0" t="s">
        <v>81</v>
      </c>
      <c r="I1273" s="0" t="n">
        <v>4398</v>
      </c>
      <c r="J1273" s="0" t="n">
        <v>109791</v>
      </c>
      <c r="K1273" s="0" t="n">
        <v>9667</v>
      </c>
      <c r="L1273" s="0" t="s">
        <v>2123</v>
      </c>
      <c r="N1273" s="0" t="n">
        <v>8</v>
      </c>
      <c r="O1273" s="60" t="n">
        <v>20</v>
      </c>
    </row>
    <row r="1274" customFormat="false" ht="15" hidden="false" customHeight="false" outlineLevel="0" collapsed="false">
      <c r="A1274" s="0" t="n">
        <v>3</v>
      </c>
      <c r="B1274" s="59" t="n">
        <v>46223</v>
      </c>
      <c r="C1274" s="0" t="n">
        <v>6</v>
      </c>
      <c r="D1274" s="0" t="s">
        <v>2125</v>
      </c>
      <c r="E1274" s="0" t="n">
        <v>42</v>
      </c>
      <c r="F1274" s="0" t="s">
        <v>81</v>
      </c>
      <c r="I1274" s="0" t="n">
        <v>4398</v>
      </c>
      <c r="J1274" s="0" t="n">
        <v>37361</v>
      </c>
      <c r="K1274" s="0" t="n">
        <v>2240817</v>
      </c>
      <c r="L1274" s="0" t="s">
        <v>2124</v>
      </c>
      <c r="N1274" s="0" t="n">
        <v>40</v>
      </c>
      <c r="O1274" s="60" t="n">
        <v>80</v>
      </c>
    </row>
    <row r="1275" customFormat="false" ht="15" hidden="false" customHeight="false" outlineLevel="0" collapsed="false">
      <c r="A1275" s="0" t="n">
        <v>3</v>
      </c>
      <c r="B1275" s="59" t="n">
        <v>46223</v>
      </c>
      <c r="C1275" s="0" t="n">
        <v>6</v>
      </c>
      <c r="D1275" s="0" t="s">
        <v>2125</v>
      </c>
      <c r="E1275" s="0" t="n">
        <v>42</v>
      </c>
      <c r="F1275" s="0" t="s">
        <v>81</v>
      </c>
      <c r="I1275" s="0" t="n">
        <v>4399</v>
      </c>
      <c r="J1275" s="0" t="n">
        <v>100103</v>
      </c>
      <c r="K1275" s="0" t="n">
        <v>104</v>
      </c>
      <c r="L1275" s="0" t="s">
        <v>2193</v>
      </c>
      <c r="N1275" s="0" t="n">
        <v>20</v>
      </c>
      <c r="O1275" s="60" t="n">
        <v>120</v>
      </c>
    </row>
    <row r="1276" customFormat="false" ht="15" hidden="false" customHeight="false" outlineLevel="0" collapsed="false">
      <c r="A1276" s="0" t="n">
        <v>3</v>
      </c>
      <c r="B1276" s="59" t="n">
        <v>46223</v>
      </c>
      <c r="C1276" s="0" t="n">
        <v>11</v>
      </c>
      <c r="D1276" s="0" t="s">
        <v>2126</v>
      </c>
      <c r="E1276" s="0" t="n">
        <v>642</v>
      </c>
      <c r="F1276" s="0" t="s">
        <v>136</v>
      </c>
      <c r="I1276" s="0" t="n">
        <v>536</v>
      </c>
      <c r="J1276" s="0" t="n">
        <v>71766</v>
      </c>
      <c r="K1276" s="0" t="n">
        <v>779180</v>
      </c>
      <c r="L1276" s="0" t="s">
        <v>2340</v>
      </c>
      <c r="N1276" s="0" t="n">
        <v>15</v>
      </c>
      <c r="O1276" s="60" t="n">
        <v>180</v>
      </c>
    </row>
    <row r="1277" customFormat="false" ht="15" hidden="false" customHeight="false" outlineLevel="0" collapsed="false">
      <c r="A1277" s="0" t="n">
        <v>3</v>
      </c>
      <c r="B1277" s="59" t="n">
        <v>46223</v>
      </c>
      <c r="C1277" s="0" t="n">
        <v>11</v>
      </c>
      <c r="D1277" s="0" t="s">
        <v>2126</v>
      </c>
      <c r="E1277" s="0" t="n">
        <v>1398</v>
      </c>
      <c r="F1277" s="0" t="s">
        <v>1246</v>
      </c>
      <c r="I1277" s="0" t="n">
        <v>1330</v>
      </c>
      <c r="J1277" s="0" t="n">
        <v>36092</v>
      </c>
      <c r="K1277" s="0" t="n">
        <v>7894494000539</v>
      </c>
      <c r="L1277" s="0" t="s">
        <v>2796</v>
      </c>
      <c r="N1277" s="0" t="n">
        <v>10</v>
      </c>
      <c r="O1277" s="60" t="n">
        <v>58.14</v>
      </c>
    </row>
    <row r="1278" customFormat="false" ht="15" hidden="false" customHeight="false" outlineLevel="0" collapsed="false">
      <c r="A1278" s="0" t="n">
        <v>3</v>
      </c>
      <c r="B1278" s="59" t="n">
        <v>46223</v>
      </c>
      <c r="C1278" s="0" t="n">
        <v>11</v>
      </c>
      <c r="D1278" s="0" t="s">
        <v>2126</v>
      </c>
      <c r="E1278" s="0" t="n">
        <v>1398</v>
      </c>
      <c r="F1278" s="0" t="s">
        <v>1246</v>
      </c>
      <c r="I1278" s="0" t="n">
        <v>1330</v>
      </c>
      <c r="J1278" s="0" t="n">
        <v>36298</v>
      </c>
      <c r="K1278" s="0" t="n">
        <v>7894494687532</v>
      </c>
      <c r="L1278" s="0" t="s">
        <v>2797</v>
      </c>
      <c r="N1278" s="0" t="n">
        <v>4</v>
      </c>
      <c r="O1278" s="60" t="n">
        <v>75.15</v>
      </c>
    </row>
    <row r="1279" customFormat="false" ht="15" hidden="false" customHeight="false" outlineLevel="0" collapsed="false">
      <c r="A1279" s="0" t="n">
        <v>3</v>
      </c>
      <c r="B1279" s="59" t="n">
        <v>46223</v>
      </c>
      <c r="C1279" s="0" t="n">
        <v>11</v>
      </c>
      <c r="D1279" s="0" t="s">
        <v>2126</v>
      </c>
      <c r="E1279" s="0" t="n">
        <v>1398</v>
      </c>
      <c r="F1279" s="0" t="s">
        <v>1246</v>
      </c>
      <c r="I1279" s="0" t="n">
        <v>1330</v>
      </c>
      <c r="J1279" s="0" t="n">
        <v>36467</v>
      </c>
      <c r="K1279" s="0" t="n">
        <v>7894494687587</v>
      </c>
      <c r="L1279" s="0" t="s">
        <v>2798</v>
      </c>
      <c r="N1279" s="0" t="n">
        <v>4</v>
      </c>
      <c r="O1279" s="60" t="n">
        <v>59.5</v>
      </c>
    </row>
    <row r="1280" customFormat="false" ht="15" hidden="false" customHeight="false" outlineLevel="0" collapsed="false">
      <c r="A1280" s="0" t="n">
        <v>3</v>
      </c>
      <c r="B1280" s="59" t="n">
        <v>46223</v>
      </c>
      <c r="C1280" s="0" t="n">
        <v>11</v>
      </c>
      <c r="D1280" s="0" t="s">
        <v>2126</v>
      </c>
      <c r="E1280" s="0" t="n">
        <v>1398</v>
      </c>
      <c r="F1280" s="0" t="s">
        <v>1246</v>
      </c>
      <c r="I1280" s="0" t="n">
        <v>1330</v>
      </c>
      <c r="J1280" s="0" t="n">
        <v>44077</v>
      </c>
      <c r="K1280" s="0" t="n">
        <v>7894494188183</v>
      </c>
      <c r="L1280" s="0" t="s">
        <v>2799</v>
      </c>
      <c r="N1280" s="0" t="n">
        <v>10</v>
      </c>
      <c r="O1280" s="60" t="n">
        <v>83.86</v>
      </c>
    </row>
    <row r="1281" customFormat="false" ht="15" hidden="false" customHeight="false" outlineLevel="0" collapsed="false">
      <c r="A1281" s="0" t="n">
        <v>3</v>
      </c>
      <c r="B1281" s="59" t="n">
        <v>46223</v>
      </c>
      <c r="C1281" s="0" t="n">
        <v>11</v>
      </c>
      <c r="D1281" s="0" t="s">
        <v>2126</v>
      </c>
      <c r="E1281" s="0" t="n">
        <v>1398</v>
      </c>
      <c r="F1281" s="0" t="s">
        <v>1246</v>
      </c>
      <c r="I1281" s="0" t="n">
        <v>1330</v>
      </c>
      <c r="J1281" s="0" t="n">
        <v>54692</v>
      </c>
      <c r="K1281" s="0" t="n">
        <v>7894494000546</v>
      </c>
      <c r="L1281" s="0" t="s">
        <v>2800</v>
      </c>
      <c r="N1281" s="0" t="n">
        <v>10</v>
      </c>
      <c r="O1281" s="60" t="n">
        <v>58.14</v>
      </c>
    </row>
    <row r="1282" customFormat="false" ht="15" hidden="false" customHeight="false" outlineLevel="0" collapsed="false">
      <c r="A1282" s="0" t="n">
        <v>3</v>
      </c>
      <c r="B1282" s="59" t="n">
        <v>46223</v>
      </c>
      <c r="C1282" s="0" t="n">
        <v>11</v>
      </c>
      <c r="D1282" s="0" t="s">
        <v>2126</v>
      </c>
      <c r="E1282" s="0" t="n">
        <v>1398</v>
      </c>
      <c r="F1282" s="0" t="s">
        <v>1246</v>
      </c>
      <c r="I1282" s="0" t="n">
        <v>1330</v>
      </c>
      <c r="J1282" s="0" t="n">
        <v>54693</v>
      </c>
      <c r="K1282" s="0" t="n">
        <v>7894494000553</v>
      </c>
      <c r="L1282" s="0" t="s">
        <v>2801</v>
      </c>
      <c r="N1282" s="0" t="n">
        <v>10</v>
      </c>
      <c r="O1282" s="60" t="n">
        <v>58.14</v>
      </c>
    </row>
    <row r="1283" customFormat="false" ht="15" hidden="false" customHeight="false" outlineLevel="0" collapsed="false">
      <c r="A1283" s="0" t="n">
        <v>3</v>
      </c>
      <c r="B1283" s="59" t="n">
        <v>46223</v>
      </c>
      <c r="C1283" s="0" t="n">
        <v>11</v>
      </c>
      <c r="D1283" s="0" t="s">
        <v>2126</v>
      </c>
      <c r="E1283" s="0" t="n">
        <v>1398</v>
      </c>
      <c r="F1283" s="0" t="s">
        <v>1246</v>
      </c>
      <c r="I1283" s="0" t="n">
        <v>1330</v>
      </c>
      <c r="J1283" s="0" t="n">
        <v>61347</v>
      </c>
      <c r="K1283" s="0" t="n">
        <v>7894494716799</v>
      </c>
      <c r="L1283" s="0" t="s">
        <v>2802</v>
      </c>
      <c r="N1283" s="0" t="n">
        <v>5</v>
      </c>
      <c r="O1283" s="60" t="n">
        <v>46</v>
      </c>
    </row>
    <row r="1284" customFormat="false" ht="15" hidden="false" customHeight="false" outlineLevel="0" collapsed="false">
      <c r="A1284" s="0" t="n">
        <v>3</v>
      </c>
      <c r="B1284" s="59" t="n">
        <v>46223</v>
      </c>
      <c r="C1284" s="0" t="n">
        <v>11</v>
      </c>
      <c r="D1284" s="0" t="s">
        <v>2126</v>
      </c>
      <c r="E1284" s="0" t="n">
        <v>1398</v>
      </c>
      <c r="F1284" s="0" t="s">
        <v>1246</v>
      </c>
      <c r="I1284" s="0" t="n">
        <v>1330</v>
      </c>
      <c r="J1284" s="0" t="n">
        <v>62490</v>
      </c>
      <c r="K1284" s="0" t="n">
        <v>7894494000522</v>
      </c>
      <c r="L1284" s="0" t="s">
        <v>2803</v>
      </c>
      <c r="N1284" s="0" t="n">
        <v>10</v>
      </c>
      <c r="O1284" s="60" t="n">
        <v>58.14</v>
      </c>
    </row>
    <row r="1285" customFormat="false" ht="15" hidden="false" customHeight="false" outlineLevel="0" collapsed="false">
      <c r="A1285" s="0" t="n">
        <v>3</v>
      </c>
      <c r="B1285" s="59" t="n">
        <v>46223</v>
      </c>
      <c r="C1285" s="0" t="n">
        <v>11</v>
      </c>
      <c r="D1285" s="0" t="s">
        <v>2126</v>
      </c>
      <c r="E1285" s="0" t="n">
        <v>1398</v>
      </c>
      <c r="F1285" s="0" t="s">
        <v>1246</v>
      </c>
      <c r="I1285" s="0" t="n">
        <v>1330</v>
      </c>
      <c r="J1285" s="0" t="n">
        <v>62531</v>
      </c>
      <c r="K1285" s="0" t="n">
        <v>7894494687938</v>
      </c>
      <c r="L1285" s="0" t="s">
        <v>2804</v>
      </c>
      <c r="N1285" s="0" t="n">
        <v>2</v>
      </c>
      <c r="O1285" s="60" t="n">
        <v>48.78</v>
      </c>
    </row>
    <row r="1286" customFormat="false" ht="15" hidden="false" customHeight="false" outlineLevel="0" collapsed="false">
      <c r="A1286" s="0" t="n">
        <v>3</v>
      </c>
      <c r="B1286" s="59" t="n">
        <v>46223</v>
      </c>
      <c r="C1286" s="0" t="n">
        <v>11</v>
      </c>
      <c r="D1286" s="0" t="s">
        <v>2126</v>
      </c>
      <c r="E1286" s="0" t="n">
        <v>1398</v>
      </c>
      <c r="F1286" s="0" t="s">
        <v>1246</v>
      </c>
      <c r="I1286" s="0" t="n">
        <v>1330</v>
      </c>
      <c r="J1286" s="0" t="n">
        <v>62537</v>
      </c>
      <c r="K1286" s="0" t="n">
        <v>7894494687921</v>
      </c>
      <c r="L1286" s="0" t="s">
        <v>2805</v>
      </c>
      <c r="N1286" s="0" t="n">
        <v>4</v>
      </c>
      <c r="O1286" s="60" t="n">
        <v>75.15</v>
      </c>
    </row>
    <row r="1287" customFormat="false" ht="15" hidden="false" customHeight="false" outlineLevel="0" collapsed="false">
      <c r="A1287" s="0" t="n">
        <v>3</v>
      </c>
      <c r="B1287" s="59" t="n">
        <v>46223</v>
      </c>
      <c r="C1287" s="0" t="n">
        <v>11</v>
      </c>
      <c r="D1287" s="0" t="s">
        <v>2126</v>
      </c>
      <c r="E1287" s="0" t="n">
        <v>1398</v>
      </c>
      <c r="F1287" s="0" t="s">
        <v>1246</v>
      </c>
      <c r="I1287" s="0" t="n">
        <v>1330</v>
      </c>
      <c r="J1287" s="0" t="n">
        <v>62573</v>
      </c>
      <c r="K1287" s="0" t="n">
        <v>7894494187766</v>
      </c>
      <c r="L1287" s="0" t="s">
        <v>2806</v>
      </c>
      <c r="N1287" s="0" t="n">
        <v>4</v>
      </c>
      <c r="O1287" s="60" t="n">
        <v>59.8</v>
      </c>
    </row>
    <row r="1288" customFormat="false" ht="15" hidden="false" customHeight="false" outlineLevel="0" collapsed="false">
      <c r="A1288" s="0" t="n">
        <v>3</v>
      </c>
      <c r="B1288" s="59" t="n">
        <v>46223</v>
      </c>
      <c r="C1288" s="0" t="n">
        <v>11</v>
      </c>
      <c r="D1288" s="0" t="s">
        <v>2126</v>
      </c>
      <c r="E1288" s="0" t="n">
        <v>1398</v>
      </c>
      <c r="F1288" s="0" t="s">
        <v>1246</v>
      </c>
      <c r="I1288" s="0" t="n">
        <v>1330</v>
      </c>
      <c r="J1288" s="0" t="n">
        <v>62582</v>
      </c>
      <c r="K1288" s="0" t="n">
        <v>7894494752841</v>
      </c>
      <c r="L1288" s="0" t="s">
        <v>2807</v>
      </c>
      <c r="N1288" s="0" t="n">
        <v>10</v>
      </c>
      <c r="O1288" s="60" t="n">
        <v>79.2</v>
      </c>
    </row>
    <row r="1289" customFormat="false" ht="15" hidden="false" customHeight="false" outlineLevel="0" collapsed="false">
      <c r="A1289" s="0" t="n">
        <v>3</v>
      </c>
      <c r="B1289" s="59" t="n">
        <v>46223</v>
      </c>
      <c r="C1289" s="0" t="n">
        <v>11</v>
      </c>
      <c r="D1289" s="0" t="s">
        <v>2126</v>
      </c>
      <c r="E1289" s="0" t="n">
        <v>1398</v>
      </c>
      <c r="F1289" s="0" t="s">
        <v>1246</v>
      </c>
      <c r="I1289" s="0" t="n">
        <v>1330</v>
      </c>
      <c r="J1289" s="0" t="n">
        <v>62926</v>
      </c>
      <c r="K1289" s="0" t="n">
        <v>7894494637711</v>
      </c>
      <c r="L1289" s="0" t="s">
        <v>2808</v>
      </c>
      <c r="N1289" s="0" t="n">
        <v>10</v>
      </c>
      <c r="O1289" s="60" t="n">
        <v>58.14</v>
      </c>
    </row>
    <row r="1290" customFormat="false" ht="15" hidden="false" customHeight="false" outlineLevel="0" collapsed="false">
      <c r="A1290" s="0" t="n">
        <v>3</v>
      </c>
      <c r="B1290" s="59" t="n">
        <v>46223</v>
      </c>
      <c r="C1290" s="0" t="n">
        <v>11</v>
      </c>
      <c r="D1290" s="0" t="s">
        <v>2126</v>
      </c>
      <c r="E1290" s="0" t="n">
        <v>1398</v>
      </c>
      <c r="F1290" s="0" t="s">
        <v>1246</v>
      </c>
      <c r="I1290" s="0" t="n">
        <v>1330</v>
      </c>
      <c r="J1290" s="0" t="n">
        <v>63530</v>
      </c>
      <c r="K1290" s="0" t="n">
        <v>7894494187520</v>
      </c>
      <c r="L1290" s="0" t="s">
        <v>2809</v>
      </c>
      <c r="N1290" s="0" t="n">
        <v>4</v>
      </c>
      <c r="O1290" s="60" t="n">
        <v>59.5</v>
      </c>
    </row>
    <row r="1291" customFormat="false" ht="15" hidden="false" customHeight="false" outlineLevel="0" collapsed="false">
      <c r="A1291" s="0" t="n">
        <v>3</v>
      </c>
      <c r="B1291" s="59" t="n">
        <v>46223</v>
      </c>
      <c r="C1291" s="0" t="n">
        <v>11</v>
      </c>
      <c r="D1291" s="0" t="s">
        <v>2126</v>
      </c>
      <c r="E1291" s="0" t="n">
        <v>1398</v>
      </c>
      <c r="F1291" s="0" t="s">
        <v>1246</v>
      </c>
      <c r="I1291" s="0" t="n">
        <v>1330</v>
      </c>
      <c r="J1291" s="0" t="n">
        <v>65865</v>
      </c>
      <c r="K1291" s="0" t="n">
        <v>7894494752810</v>
      </c>
      <c r="L1291" s="0" t="s">
        <v>2810</v>
      </c>
      <c r="N1291" s="0" t="n">
        <v>10</v>
      </c>
      <c r="O1291" s="60" t="n">
        <v>58.14</v>
      </c>
    </row>
    <row r="1292" customFormat="false" ht="15" hidden="false" customHeight="false" outlineLevel="0" collapsed="false">
      <c r="A1292" s="0" t="n">
        <v>3</v>
      </c>
      <c r="B1292" s="59" t="n">
        <v>46223</v>
      </c>
      <c r="C1292" s="0" t="n">
        <v>11</v>
      </c>
      <c r="D1292" s="0" t="s">
        <v>2126</v>
      </c>
      <c r="E1292" s="0" t="n">
        <v>1398</v>
      </c>
      <c r="F1292" s="0" t="s">
        <v>1246</v>
      </c>
      <c r="I1292" s="0" t="n">
        <v>1330</v>
      </c>
      <c r="J1292" s="0" t="n">
        <v>65909</v>
      </c>
      <c r="K1292" s="0" t="n">
        <v>7894494187513</v>
      </c>
      <c r="L1292" s="0" t="s">
        <v>2811</v>
      </c>
      <c r="N1292" s="0" t="n">
        <v>8</v>
      </c>
      <c r="O1292" s="60" t="n">
        <v>94.6</v>
      </c>
    </row>
    <row r="1293" customFormat="false" ht="15" hidden="false" customHeight="false" outlineLevel="0" collapsed="false">
      <c r="A1293" s="0" t="n">
        <v>3</v>
      </c>
      <c r="B1293" s="59" t="n">
        <v>46223</v>
      </c>
      <c r="C1293" s="0" t="n">
        <v>11</v>
      </c>
      <c r="D1293" s="0" t="s">
        <v>2126</v>
      </c>
      <c r="E1293" s="0" t="n">
        <v>1398</v>
      </c>
      <c r="F1293" s="0" t="s">
        <v>1246</v>
      </c>
      <c r="I1293" s="0" t="n">
        <v>1330</v>
      </c>
      <c r="J1293" s="0" t="n">
        <v>65918</v>
      </c>
      <c r="K1293" s="0" t="n">
        <v>7894494594472</v>
      </c>
      <c r="L1293" s="0" t="s">
        <v>2812</v>
      </c>
      <c r="N1293" s="0" t="n">
        <v>10</v>
      </c>
      <c r="O1293" s="60" t="n">
        <v>120.4</v>
      </c>
    </row>
    <row r="1294" customFormat="false" ht="15" hidden="false" customHeight="false" outlineLevel="0" collapsed="false">
      <c r="A1294" s="0" t="n">
        <v>3</v>
      </c>
      <c r="B1294" s="59" t="n">
        <v>46223</v>
      </c>
      <c r="C1294" s="0" t="n">
        <v>11</v>
      </c>
      <c r="D1294" s="0" t="s">
        <v>2126</v>
      </c>
      <c r="E1294" s="0" t="n">
        <v>1398</v>
      </c>
      <c r="F1294" s="0" t="s">
        <v>1246</v>
      </c>
      <c r="I1294" s="0" t="n">
        <v>1330</v>
      </c>
      <c r="J1294" s="0" t="n">
        <v>73136</v>
      </c>
      <c r="K1294" s="0" t="n">
        <v>7895110049000</v>
      </c>
      <c r="L1294" s="0" t="s">
        <v>2813</v>
      </c>
      <c r="N1294" s="0" t="n">
        <v>200</v>
      </c>
      <c r="O1294" s="60" t="n">
        <v>190.98</v>
      </c>
    </row>
    <row r="1295" customFormat="false" ht="15" hidden="false" customHeight="false" outlineLevel="0" collapsed="false">
      <c r="A1295" s="0" t="n">
        <v>3</v>
      </c>
      <c r="B1295" s="59" t="n">
        <v>46223</v>
      </c>
      <c r="C1295" s="0" t="n">
        <v>11</v>
      </c>
      <c r="D1295" s="0" t="s">
        <v>2126</v>
      </c>
      <c r="E1295" s="0" t="n">
        <v>1398</v>
      </c>
      <c r="F1295" s="0" t="s">
        <v>1246</v>
      </c>
      <c r="I1295" s="0" t="n">
        <v>1330</v>
      </c>
      <c r="J1295" s="0" t="n">
        <v>74893</v>
      </c>
      <c r="K1295" s="0" t="n">
        <v>7894494711008</v>
      </c>
      <c r="L1295" s="0" t="s">
        <v>2810</v>
      </c>
      <c r="N1295" s="0" t="n">
        <v>10</v>
      </c>
      <c r="O1295" s="60" t="n">
        <v>75.6</v>
      </c>
    </row>
    <row r="1296" customFormat="false" ht="15" hidden="false" customHeight="false" outlineLevel="0" collapsed="false">
      <c r="A1296" s="0" t="n">
        <v>3</v>
      </c>
      <c r="B1296" s="59" t="n">
        <v>46223</v>
      </c>
      <c r="C1296" s="0" t="n">
        <v>11</v>
      </c>
      <c r="D1296" s="0" t="s">
        <v>2126</v>
      </c>
      <c r="E1296" s="0" t="n">
        <v>1398</v>
      </c>
      <c r="F1296" s="0" t="s">
        <v>1246</v>
      </c>
      <c r="I1296" s="0" t="n">
        <v>1330</v>
      </c>
      <c r="J1296" s="0" t="n">
        <v>74898</v>
      </c>
      <c r="K1296" s="0" t="n">
        <v>7894494687471</v>
      </c>
      <c r="L1296" s="0" t="s">
        <v>2810</v>
      </c>
      <c r="N1296" s="0" t="n">
        <v>10</v>
      </c>
      <c r="O1296" s="60" t="n">
        <v>65.2</v>
      </c>
    </row>
    <row r="1297" customFormat="false" ht="15" hidden="false" customHeight="false" outlineLevel="0" collapsed="false">
      <c r="A1297" s="0" t="n">
        <v>3</v>
      </c>
      <c r="B1297" s="59" t="n">
        <v>46223</v>
      </c>
      <c r="C1297" s="0" t="n">
        <v>11</v>
      </c>
      <c r="D1297" s="0" t="s">
        <v>2126</v>
      </c>
      <c r="E1297" s="0" t="n">
        <v>1398</v>
      </c>
      <c r="F1297" s="0" t="s">
        <v>1246</v>
      </c>
      <c r="I1297" s="0" t="n">
        <v>1330</v>
      </c>
      <c r="J1297" s="0" t="n">
        <v>74900</v>
      </c>
      <c r="K1297" s="0" t="n">
        <v>7894494549458</v>
      </c>
      <c r="L1297" s="0" t="s">
        <v>2807</v>
      </c>
      <c r="N1297" s="0" t="n">
        <v>10</v>
      </c>
      <c r="O1297" s="60" t="n">
        <v>83.86</v>
      </c>
    </row>
    <row r="1298" customFormat="false" ht="15" hidden="false" customHeight="false" outlineLevel="0" collapsed="false">
      <c r="A1298" s="0" t="n">
        <v>3</v>
      </c>
      <c r="B1298" s="59" t="n">
        <v>46223</v>
      </c>
      <c r="C1298" s="0" t="n">
        <v>11</v>
      </c>
      <c r="D1298" s="0" t="s">
        <v>2126</v>
      </c>
      <c r="E1298" s="0" t="n">
        <v>1398</v>
      </c>
      <c r="F1298" s="0" t="s">
        <v>1246</v>
      </c>
      <c r="I1298" s="0" t="n">
        <v>1330</v>
      </c>
      <c r="J1298" s="0" t="n">
        <v>74901</v>
      </c>
      <c r="K1298" s="0" t="n">
        <v>7894494687563</v>
      </c>
      <c r="L1298" s="0" t="s">
        <v>2809</v>
      </c>
      <c r="N1298" s="0" t="n">
        <v>2</v>
      </c>
      <c r="O1298" s="60" t="n">
        <v>64.25</v>
      </c>
    </row>
    <row r="1299" customFormat="false" ht="15" hidden="false" customHeight="false" outlineLevel="0" collapsed="false">
      <c r="A1299" s="0" t="n">
        <v>3</v>
      </c>
      <c r="B1299" s="59" t="n">
        <v>46223</v>
      </c>
      <c r="C1299" s="0" t="n">
        <v>11</v>
      </c>
      <c r="D1299" s="0" t="s">
        <v>2126</v>
      </c>
      <c r="E1299" s="0" t="n">
        <v>1398</v>
      </c>
      <c r="F1299" s="0" t="s">
        <v>1246</v>
      </c>
      <c r="I1299" s="0" t="n">
        <v>1330</v>
      </c>
      <c r="J1299" s="0" t="n">
        <v>74910</v>
      </c>
      <c r="K1299" s="0" t="n">
        <v>7894494187957</v>
      </c>
      <c r="L1299" s="0" t="s">
        <v>2809</v>
      </c>
      <c r="N1299" s="0" t="n">
        <v>2</v>
      </c>
      <c r="O1299" s="60" t="n">
        <v>64.3</v>
      </c>
    </row>
    <row r="1300" customFormat="false" ht="15" hidden="false" customHeight="false" outlineLevel="0" collapsed="false">
      <c r="A1300" s="0" t="n">
        <v>3</v>
      </c>
      <c r="B1300" s="59" t="n">
        <v>46223</v>
      </c>
      <c r="C1300" s="0" t="n">
        <v>11</v>
      </c>
      <c r="D1300" s="0" t="s">
        <v>2126</v>
      </c>
      <c r="E1300" s="0" t="n">
        <v>1398</v>
      </c>
      <c r="F1300" s="0" t="s">
        <v>1246</v>
      </c>
      <c r="I1300" s="0" t="n">
        <v>1330</v>
      </c>
      <c r="J1300" s="0" t="n">
        <v>76264</v>
      </c>
      <c r="K1300" s="0" t="n">
        <v>7894494583674</v>
      </c>
      <c r="L1300" s="0" t="s">
        <v>2814</v>
      </c>
      <c r="N1300" s="0" t="n">
        <v>10</v>
      </c>
      <c r="O1300" s="60" t="n">
        <v>58.14</v>
      </c>
    </row>
    <row r="1301" customFormat="false" ht="15" hidden="false" customHeight="false" outlineLevel="0" collapsed="false">
      <c r="A1301" s="0" t="n">
        <v>3</v>
      </c>
      <c r="B1301" s="59" t="n">
        <v>46223</v>
      </c>
      <c r="C1301" s="0" t="n">
        <v>11</v>
      </c>
      <c r="D1301" s="0" t="s">
        <v>2126</v>
      </c>
      <c r="E1301" s="0" t="n">
        <v>1398</v>
      </c>
      <c r="F1301" s="0" t="s">
        <v>1246</v>
      </c>
      <c r="I1301" s="0" t="n">
        <v>1330</v>
      </c>
      <c r="J1301" s="0" t="n">
        <v>76273</v>
      </c>
      <c r="K1301" s="0" t="n">
        <v>7894494699207</v>
      </c>
      <c r="L1301" s="0" t="s">
        <v>2809</v>
      </c>
      <c r="N1301" s="0" t="n">
        <v>8</v>
      </c>
      <c r="O1301" s="60" t="n">
        <v>141.84</v>
      </c>
    </row>
    <row r="1302" customFormat="false" ht="15" hidden="false" customHeight="false" outlineLevel="0" collapsed="false">
      <c r="A1302" s="0" t="n">
        <v>3</v>
      </c>
      <c r="B1302" s="59" t="n">
        <v>46223</v>
      </c>
      <c r="C1302" s="0" t="n">
        <v>11</v>
      </c>
      <c r="D1302" s="0" t="s">
        <v>2126</v>
      </c>
      <c r="E1302" s="0" t="n">
        <v>1398</v>
      </c>
      <c r="F1302" s="0" t="s">
        <v>1246</v>
      </c>
      <c r="I1302" s="0" t="n">
        <v>1330</v>
      </c>
      <c r="J1302" s="0" t="n">
        <v>76277</v>
      </c>
      <c r="K1302" s="0" t="n">
        <v>7894494759048</v>
      </c>
      <c r="L1302" s="0" t="s">
        <v>2807</v>
      </c>
      <c r="N1302" s="0" t="n">
        <v>10</v>
      </c>
      <c r="O1302" s="60" t="n">
        <v>83.86</v>
      </c>
    </row>
    <row r="1303" customFormat="false" ht="15" hidden="false" customHeight="false" outlineLevel="0" collapsed="false">
      <c r="A1303" s="0" t="n">
        <v>3</v>
      </c>
      <c r="B1303" s="59" t="n">
        <v>46223</v>
      </c>
      <c r="C1303" s="0" t="n">
        <v>11</v>
      </c>
      <c r="D1303" s="0" t="s">
        <v>2126</v>
      </c>
      <c r="E1303" s="0" t="n">
        <v>1398</v>
      </c>
      <c r="F1303" s="0" t="s">
        <v>1246</v>
      </c>
      <c r="I1303" s="0" t="n">
        <v>1330</v>
      </c>
      <c r="J1303" s="0" t="n">
        <v>76278</v>
      </c>
      <c r="K1303" s="0" t="n">
        <v>7894494759055</v>
      </c>
      <c r="L1303" s="0" t="s">
        <v>2807</v>
      </c>
      <c r="N1303" s="0" t="n">
        <v>10</v>
      </c>
      <c r="O1303" s="60" t="n">
        <v>83.86</v>
      </c>
    </row>
    <row r="1304" customFormat="false" ht="15" hidden="false" customHeight="false" outlineLevel="0" collapsed="false">
      <c r="A1304" s="0" t="n">
        <v>3</v>
      </c>
      <c r="B1304" s="59" t="n">
        <v>46223</v>
      </c>
      <c r="C1304" s="0" t="n">
        <v>11</v>
      </c>
      <c r="D1304" s="0" t="s">
        <v>2126</v>
      </c>
      <c r="E1304" s="0" t="n">
        <v>1398</v>
      </c>
      <c r="F1304" s="0" t="s">
        <v>1246</v>
      </c>
      <c r="I1304" s="0" t="n">
        <v>1330</v>
      </c>
      <c r="J1304" s="0" t="n">
        <v>76356</v>
      </c>
      <c r="K1304" s="0" t="n">
        <v>7894494687600</v>
      </c>
      <c r="L1304" s="0" t="s">
        <v>2815</v>
      </c>
      <c r="N1304" s="0" t="n">
        <v>2</v>
      </c>
      <c r="O1304" s="60" t="n">
        <v>48.78</v>
      </c>
    </row>
    <row r="1305" customFormat="false" ht="15" hidden="false" customHeight="false" outlineLevel="0" collapsed="false">
      <c r="A1305" s="0" t="n">
        <v>3</v>
      </c>
      <c r="B1305" s="59" t="n">
        <v>46223</v>
      </c>
      <c r="C1305" s="0" t="n">
        <v>11</v>
      </c>
      <c r="D1305" s="0" t="s">
        <v>2126</v>
      </c>
      <c r="E1305" s="0" t="n">
        <v>1398</v>
      </c>
      <c r="F1305" s="0" t="s">
        <v>1246</v>
      </c>
      <c r="I1305" s="0" t="n">
        <v>1330</v>
      </c>
      <c r="J1305" s="0" t="n">
        <v>79095</v>
      </c>
      <c r="K1305" s="0" t="n">
        <v>7894494711404</v>
      </c>
      <c r="L1305" s="0" t="s">
        <v>2816</v>
      </c>
      <c r="N1305" s="0" t="n">
        <v>4</v>
      </c>
      <c r="O1305" s="60" t="n">
        <v>70.92</v>
      </c>
    </row>
    <row r="1306" customFormat="false" ht="15" hidden="false" customHeight="false" outlineLevel="0" collapsed="false">
      <c r="A1306" s="0" t="n">
        <v>3</v>
      </c>
      <c r="B1306" s="59" t="n">
        <v>46223</v>
      </c>
      <c r="C1306" s="0" t="n">
        <v>11</v>
      </c>
      <c r="D1306" s="0" t="s">
        <v>2126</v>
      </c>
      <c r="E1306" s="0" t="n">
        <v>1398</v>
      </c>
      <c r="F1306" s="0" t="s">
        <v>1246</v>
      </c>
      <c r="I1306" s="0" t="n">
        <v>1330</v>
      </c>
      <c r="J1306" s="0" t="n">
        <v>79111</v>
      </c>
      <c r="K1306" s="0" t="n">
        <v>7894494687624</v>
      </c>
      <c r="L1306" s="0" t="s">
        <v>2817</v>
      </c>
      <c r="N1306" s="0" t="n">
        <v>2</v>
      </c>
      <c r="O1306" s="60" t="n">
        <v>64.3</v>
      </c>
    </row>
    <row r="1307" customFormat="false" ht="15" hidden="false" customHeight="false" outlineLevel="0" collapsed="false">
      <c r="A1307" s="0" t="n">
        <v>3</v>
      </c>
      <c r="B1307" s="59" t="n">
        <v>46223</v>
      </c>
      <c r="C1307" s="0" t="n">
        <v>11</v>
      </c>
      <c r="D1307" s="0" t="s">
        <v>2126</v>
      </c>
      <c r="E1307" s="0" t="n">
        <v>1398</v>
      </c>
      <c r="F1307" s="0" t="s">
        <v>1246</v>
      </c>
      <c r="I1307" s="0" t="n">
        <v>1330</v>
      </c>
      <c r="J1307" s="0" t="n">
        <v>81745</v>
      </c>
      <c r="K1307" s="0" t="n">
        <v>7894494752827</v>
      </c>
      <c r="L1307" s="0" t="s">
        <v>2818</v>
      </c>
      <c r="N1307" s="0" t="n">
        <v>10</v>
      </c>
      <c r="O1307" s="60" t="n">
        <v>58.14</v>
      </c>
    </row>
    <row r="1308" customFormat="false" ht="15" hidden="false" customHeight="false" outlineLevel="0" collapsed="false">
      <c r="A1308" s="0" t="n">
        <v>3</v>
      </c>
      <c r="B1308" s="59" t="n">
        <v>46223</v>
      </c>
      <c r="C1308" s="0" t="n">
        <v>11</v>
      </c>
      <c r="D1308" s="0" t="s">
        <v>2126</v>
      </c>
      <c r="E1308" s="0" t="n">
        <v>1398</v>
      </c>
      <c r="F1308" s="0" t="s">
        <v>1246</v>
      </c>
      <c r="I1308" s="0" t="n">
        <v>1330</v>
      </c>
      <c r="J1308" s="0" t="n">
        <v>81746</v>
      </c>
      <c r="K1308" s="0" t="n">
        <v>7894494782244</v>
      </c>
      <c r="L1308" s="0" t="s">
        <v>2819</v>
      </c>
      <c r="N1308" s="0" t="n">
        <v>24</v>
      </c>
      <c r="O1308" s="60" t="n">
        <v>63.4</v>
      </c>
    </row>
    <row r="1309" customFormat="false" ht="15" hidden="false" customHeight="false" outlineLevel="0" collapsed="false">
      <c r="A1309" s="0" t="n">
        <v>3</v>
      </c>
      <c r="B1309" s="59" t="n">
        <v>46223</v>
      </c>
      <c r="C1309" s="0" t="n">
        <v>11</v>
      </c>
      <c r="D1309" s="0" t="s">
        <v>2126</v>
      </c>
      <c r="E1309" s="0" t="n">
        <v>1828</v>
      </c>
      <c r="F1309" s="0" t="s">
        <v>280</v>
      </c>
      <c r="I1309" s="0" t="n">
        <v>1393</v>
      </c>
      <c r="J1309" s="0" t="n">
        <v>14247</v>
      </c>
      <c r="K1309" s="0" t="n">
        <v>2229416</v>
      </c>
      <c r="L1309" s="0" t="s">
        <v>2247</v>
      </c>
      <c r="N1309" s="0" t="n">
        <v>10</v>
      </c>
      <c r="O1309" s="60" t="n">
        <v>58</v>
      </c>
    </row>
    <row r="1310" customFormat="false" ht="15" hidden="false" customHeight="false" outlineLevel="0" collapsed="false">
      <c r="A1310" s="0" t="n">
        <v>3</v>
      </c>
      <c r="B1310" s="59" t="n">
        <v>46223</v>
      </c>
      <c r="C1310" s="0" t="n">
        <v>11</v>
      </c>
      <c r="D1310" s="0" t="s">
        <v>2126</v>
      </c>
      <c r="E1310" s="0" t="n">
        <v>1828</v>
      </c>
      <c r="F1310" s="0" t="s">
        <v>280</v>
      </c>
      <c r="I1310" s="0" t="n">
        <v>1393</v>
      </c>
      <c r="J1310" s="0" t="n">
        <v>14248</v>
      </c>
      <c r="K1310" s="0" t="n">
        <v>2229423</v>
      </c>
      <c r="L1310" s="0" t="s">
        <v>2248</v>
      </c>
      <c r="N1310" s="0" t="n">
        <v>35</v>
      </c>
      <c r="O1310" s="60" t="n">
        <v>245</v>
      </c>
    </row>
    <row r="1311" customFormat="false" ht="15" hidden="false" customHeight="false" outlineLevel="0" collapsed="false">
      <c r="A1311" s="0" t="n">
        <v>3</v>
      </c>
      <c r="B1311" s="59" t="n">
        <v>46223</v>
      </c>
      <c r="C1311" s="0" t="n">
        <v>11</v>
      </c>
      <c r="D1311" s="0" t="s">
        <v>2126</v>
      </c>
      <c r="E1311" s="0" t="n">
        <v>1828</v>
      </c>
      <c r="F1311" s="0" t="s">
        <v>280</v>
      </c>
      <c r="I1311" s="0" t="n">
        <v>1393</v>
      </c>
      <c r="J1311" s="0" t="n">
        <v>20541</v>
      </c>
      <c r="K1311" s="0" t="n">
        <v>2232829</v>
      </c>
      <c r="L1311" s="0" t="s">
        <v>2249</v>
      </c>
      <c r="N1311" s="0" t="n">
        <v>50</v>
      </c>
      <c r="O1311" s="60" t="n">
        <v>469</v>
      </c>
    </row>
    <row r="1312" customFormat="false" ht="15" hidden="false" customHeight="false" outlineLevel="0" collapsed="false">
      <c r="A1312" s="0" t="n">
        <v>3</v>
      </c>
      <c r="B1312" s="59" t="n">
        <v>46223</v>
      </c>
      <c r="C1312" s="0" t="n">
        <v>11</v>
      </c>
      <c r="D1312" s="0" t="s">
        <v>2126</v>
      </c>
      <c r="E1312" s="0" t="n">
        <v>1166</v>
      </c>
      <c r="F1312" s="0" t="s">
        <v>944</v>
      </c>
      <c r="I1312" s="0" t="n">
        <v>35519</v>
      </c>
      <c r="J1312" s="0" t="n">
        <v>102408</v>
      </c>
      <c r="K1312" s="0" t="n">
        <v>7891515602918</v>
      </c>
      <c r="L1312" s="0" t="s">
        <v>2428</v>
      </c>
      <c r="N1312" s="0" t="n">
        <v>240</v>
      </c>
      <c r="O1312" s="60" t="n">
        <v>768</v>
      </c>
    </row>
    <row r="1313" customFormat="false" ht="15" hidden="false" customHeight="false" outlineLevel="0" collapsed="false">
      <c r="A1313" s="0" t="n">
        <v>3</v>
      </c>
      <c r="B1313" s="59" t="n">
        <v>46223</v>
      </c>
      <c r="C1313" s="0" t="n">
        <v>11</v>
      </c>
      <c r="D1313" s="0" t="s">
        <v>2126</v>
      </c>
      <c r="E1313" s="0" t="n">
        <v>1166</v>
      </c>
      <c r="F1313" s="0" t="s">
        <v>944</v>
      </c>
      <c r="I1313" s="0" t="n">
        <v>35519</v>
      </c>
      <c r="J1313" s="0" t="n">
        <v>70044</v>
      </c>
      <c r="K1313" s="0" t="n">
        <v>7891515220983</v>
      </c>
      <c r="L1313" s="0" t="s">
        <v>2820</v>
      </c>
      <c r="N1313" s="0" t="n">
        <v>60</v>
      </c>
      <c r="O1313" s="60" t="n">
        <v>695.4</v>
      </c>
    </row>
    <row r="1314" customFormat="false" ht="15" hidden="false" customHeight="false" outlineLevel="0" collapsed="false">
      <c r="A1314" s="0" t="n">
        <v>3</v>
      </c>
      <c r="B1314" s="59" t="n">
        <v>46223</v>
      </c>
      <c r="C1314" s="0" t="n">
        <v>11</v>
      </c>
      <c r="D1314" s="0" t="s">
        <v>2126</v>
      </c>
      <c r="E1314" s="0" t="n">
        <v>1166</v>
      </c>
      <c r="F1314" s="0" t="s">
        <v>944</v>
      </c>
      <c r="I1314" s="0" t="n">
        <v>35519</v>
      </c>
      <c r="J1314" s="0" t="n">
        <v>81787</v>
      </c>
      <c r="K1314" s="0" t="n">
        <v>1298</v>
      </c>
      <c r="L1314" s="0" t="s">
        <v>2821</v>
      </c>
      <c r="N1314" s="0" t="n">
        <v>54</v>
      </c>
      <c r="O1314" s="60" t="n">
        <v>431.46</v>
      </c>
    </row>
    <row r="1315" customFormat="false" ht="15" hidden="false" customHeight="false" outlineLevel="0" collapsed="false">
      <c r="A1315" s="0" t="n">
        <v>3</v>
      </c>
      <c r="B1315" s="59" t="n">
        <v>46223</v>
      </c>
      <c r="C1315" s="0" t="n">
        <v>11</v>
      </c>
      <c r="D1315" s="0" t="s">
        <v>2126</v>
      </c>
      <c r="E1315" s="0" t="n">
        <v>1166</v>
      </c>
      <c r="F1315" s="0" t="s">
        <v>944</v>
      </c>
      <c r="I1315" s="0" t="n">
        <v>35548</v>
      </c>
      <c r="J1315" s="0" t="n">
        <v>100035</v>
      </c>
      <c r="K1315" s="0" t="n">
        <v>36</v>
      </c>
      <c r="L1315" s="0" t="s">
        <v>2784</v>
      </c>
      <c r="N1315" s="0" t="n">
        <v>90</v>
      </c>
      <c r="O1315" s="60" t="n">
        <v>809.1</v>
      </c>
    </row>
    <row r="1316" customFormat="false" ht="15" hidden="false" customHeight="false" outlineLevel="0" collapsed="false">
      <c r="A1316" s="0" t="n">
        <v>3</v>
      </c>
      <c r="B1316" s="59" t="n">
        <v>46223</v>
      </c>
      <c r="C1316" s="0" t="n">
        <v>11</v>
      </c>
      <c r="D1316" s="0" t="s">
        <v>2126</v>
      </c>
      <c r="E1316" s="0" t="n">
        <v>1657</v>
      </c>
      <c r="F1316" s="0" t="s">
        <v>257</v>
      </c>
      <c r="I1316" s="0" t="n">
        <v>295040</v>
      </c>
      <c r="J1316" s="0" t="n">
        <v>101345</v>
      </c>
      <c r="K1316" s="0" t="n">
        <v>78913639</v>
      </c>
      <c r="L1316" s="0" t="s">
        <v>2822</v>
      </c>
      <c r="N1316" s="0" t="n">
        <v>72</v>
      </c>
      <c r="O1316" s="60" t="n">
        <v>129.95</v>
      </c>
    </row>
    <row r="1317" customFormat="false" ht="15" hidden="false" customHeight="false" outlineLevel="0" collapsed="false">
      <c r="A1317" s="0" t="n">
        <v>3</v>
      </c>
      <c r="B1317" s="59" t="n">
        <v>46223</v>
      </c>
      <c r="C1317" s="0" t="n">
        <v>11</v>
      </c>
      <c r="D1317" s="0" t="s">
        <v>2126</v>
      </c>
      <c r="E1317" s="0" t="n">
        <v>1657</v>
      </c>
      <c r="F1317" s="0" t="s">
        <v>257</v>
      </c>
      <c r="I1317" s="0" t="n">
        <v>295040</v>
      </c>
      <c r="J1317" s="0" t="n">
        <v>101349</v>
      </c>
      <c r="K1317" s="0" t="n">
        <v>7896075801337</v>
      </c>
      <c r="L1317" s="0" t="s">
        <v>2823</v>
      </c>
      <c r="N1317" s="0" t="n">
        <v>48</v>
      </c>
      <c r="O1317" s="60" t="n">
        <v>105.89</v>
      </c>
    </row>
    <row r="1318" customFormat="false" ht="15" hidden="false" customHeight="false" outlineLevel="0" collapsed="false">
      <c r="A1318" s="0" t="n">
        <v>3</v>
      </c>
      <c r="B1318" s="59" t="n">
        <v>46223</v>
      </c>
      <c r="C1318" s="0" t="n">
        <v>11</v>
      </c>
      <c r="D1318" s="0" t="s">
        <v>2126</v>
      </c>
      <c r="E1318" s="0" t="n">
        <v>1657</v>
      </c>
      <c r="F1318" s="0" t="s">
        <v>257</v>
      </c>
      <c r="I1318" s="0" t="n">
        <v>295040</v>
      </c>
      <c r="J1318" s="0" t="n">
        <v>101352</v>
      </c>
      <c r="K1318" s="0" t="n">
        <v>7896075801306</v>
      </c>
      <c r="L1318" s="0" t="s">
        <v>2824</v>
      </c>
      <c r="N1318" s="0" t="n">
        <v>48</v>
      </c>
      <c r="O1318" s="60" t="n">
        <v>105.89</v>
      </c>
    </row>
    <row r="1319" customFormat="false" ht="15" hidden="false" customHeight="false" outlineLevel="0" collapsed="false">
      <c r="A1319" s="0" t="n">
        <v>3</v>
      </c>
      <c r="B1319" s="59" t="n">
        <v>46223</v>
      </c>
      <c r="C1319" s="0" t="n">
        <v>11</v>
      </c>
      <c r="D1319" s="0" t="s">
        <v>2126</v>
      </c>
      <c r="E1319" s="0" t="n">
        <v>1657</v>
      </c>
      <c r="F1319" s="0" t="s">
        <v>257</v>
      </c>
      <c r="I1319" s="0" t="n">
        <v>295040</v>
      </c>
      <c r="J1319" s="0" t="n">
        <v>101759</v>
      </c>
      <c r="K1319" s="0" t="n">
        <v>7896179500037</v>
      </c>
      <c r="L1319" s="0" t="s">
        <v>2825</v>
      </c>
      <c r="N1319" s="0" t="n">
        <v>12</v>
      </c>
      <c r="O1319" s="60" t="n">
        <v>39.95</v>
      </c>
    </row>
    <row r="1320" customFormat="false" ht="15" hidden="false" customHeight="false" outlineLevel="0" collapsed="false">
      <c r="A1320" s="0" t="n">
        <v>3</v>
      </c>
      <c r="B1320" s="59" t="n">
        <v>46223</v>
      </c>
      <c r="C1320" s="0" t="n">
        <v>11</v>
      </c>
      <c r="D1320" s="0" t="s">
        <v>2126</v>
      </c>
      <c r="E1320" s="0" t="n">
        <v>1657</v>
      </c>
      <c r="F1320" s="0" t="s">
        <v>257</v>
      </c>
      <c r="I1320" s="0" t="n">
        <v>295040</v>
      </c>
      <c r="J1320" s="0" t="n">
        <v>102206</v>
      </c>
      <c r="K1320" s="0" t="n">
        <v>7896028014494</v>
      </c>
      <c r="L1320" s="0" t="s">
        <v>2826</v>
      </c>
      <c r="N1320" s="0" t="n">
        <v>24</v>
      </c>
      <c r="O1320" s="60" t="n">
        <v>57.5</v>
      </c>
    </row>
    <row r="1321" customFormat="false" ht="15" hidden="false" customHeight="false" outlineLevel="0" collapsed="false">
      <c r="A1321" s="0" t="n">
        <v>3</v>
      </c>
      <c r="B1321" s="59" t="n">
        <v>46223</v>
      </c>
      <c r="C1321" s="0" t="n">
        <v>11</v>
      </c>
      <c r="D1321" s="0" t="s">
        <v>2126</v>
      </c>
      <c r="E1321" s="0" t="n">
        <v>1657</v>
      </c>
      <c r="F1321" s="0" t="s">
        <v>257</v>
      </c>
      <c r="I1321" s="0" t="n">
        <v>295040</v>
      </c>
      <c r="J1321" s="0" t="n">
        <v>102271</v>
      </c>
      <c r="K1321" s="0" t="n">
        <v>7898286190316</v>
      </c>
      <c r="L1321" s="0" t="s">
        <v>2827</v>
      </c>
      <c r="N1321" s="0" t="n">
        <v>48</v>
      </c>
      <c r="O1321" s="60" t="n">
        <v>129.9</v>
      </c>
    </row>
    <row r="1322" customFormat="false" ht="15" hidden="false" customHeight="false" outlineLevel="0" collapsed="false">
      <c r="A1322" s="0" t="n">
        <v>3</v>
      </c>
      <c r="B1322" s="59" t="n">
        <v>46223</v>
      </c>
      <c r="C1322" s="0" t="n">
        <v>11</v>
      </c>
      <c r="D1322" s="0" t="s">
        <v>2126</v>
      </c>
      <c r="E1322" s="0" t="n">
        <v>1657</v>
      </c>
      <c r="F1322" s="0" t="s">
        <v>257</v>
      </c>
      <c r="I1322" s="0" t="n">
        <v>295040</v>
      </c>
      <c r="J1322" s="0" t="n">
        <v>102335</v>
      </c>
      <c r="K1322" s="0" t="n">
        <v>7896547500218</v>
      </c>
      <c r="L1322" s="0" t="s">
        <v>2828</v>
      </c>
      <c r="N1322" s="0" t="n">
        <v>6</v>
      </c>
      <c r="O1322" s="60" t="n">
        <v>93.95</v>
      </c>
    </row>
    <row r="1323" customFormat="false" ht="15" hidden="false" customHeight="false" outlineLevel="0" collapsed="false">
      <c r="A1323" s="0" t="n">
        <v>3</v>
      </c>
      <c r="B1323" s="59" t="n">
        <v>46223</v>
      </c>
      <c r="C1323" s="0" t="n">
        <v>11</v>
      </c>
      <c r="D1323" s="0" t="s">
        <v>2126</v>
      </c>
      <c r="E1323" s="0" t="n">
        <v>1657</v>
      </c>
      <c r="F1323" s="0" t="s">
        <v>257</v>
      </c>
      <c r="I1323" s="0" t="n">
        <v>295040</v>
      </c>
      <c r="J1323" s="0" t="n">
        <v>103680</v>
      </c>
      <c r="K1323" s="0" t="n">
        <v>7896024801104</v>
      </c>
      <c r="L1323" s="0" t="s">
        <v>2829</v>
      </c>
      <c r="N1323" s="0" t="n">
        <v>12</v>
      </c>
      <c r="O1323" s="60" t="n">
        <v>62</v>
      </c>
    </row>
    <row r="1324" customFormat="false" ht="15" hidden="false" customHeight="false" outlineLevel="0" collapsed="false">
      <c r="A1324" s="0" t="n">
        <v>3</v>
      </c>
      <c r="B1324" s="59" t="n">
        <v>46223</v>
      </c>
      <c r="C1324" s="0" t="n">
        <v>11</v>
      </c>
      <c r="D1324" s="0" t="s">
        <v>2126</v>
      </c>
      <c r="E1324" s="0" t="n">
        <v>1657</v>
      </c>
      <c r="F1324" s="0" t="s">
        <v>257</v>
      </c>
      <c r="I1324" s="0" t="n">
        <v>295040</v>
      </c>
      <c r="J1324" s="0" t="n">
        <v>103781</v>
      </c>
      <c r="K1324" s="0" t="n">
        <v>7897006310027</v>
      </c>
      <c r="L1324" s="0" t="s">
        <v>2830</v>
      </c>
      <c r="N1324" s="0" t="n">
        <v>24</v>
      </c>
      <c r="O1324" s="60" t="n">
        <v>59</v>
      </c>
    </row>
    <row r="1325" customFormat="false" ht="15" hidden="false" customHeight="false" outlineLevel="0" collapsed="false">
      <c r="A1325" s="0" t="n">
        <v>3</v>
      </c>
      <c r="B1325" s="59" t="n">
        <v>46223</v>
      </c>
      <c r="C1325" s="0" t="n">
        <v>11</v>
      </c>
      <c r="D1325" s="0" t="s">
        <v>2126</v>
      </c>
      <c r="E1325" s="0" t="n">
        <v>1657</v>
      </c>
      <c r="F1325" s="0" t="s">
        <v>257</v>
      </c>
      <c r="I1325" s="0" t="n">
        <v>295040</v>
      </c>
      <c r="J1325" s="0" t="n">
        <v>103791</v>
      </c>
      <c r="K1325" s="0" t="n">
        <v>7897006310010</v>
      </c>
      <c r="L1325" s="0" t="s">
        <v>2831</v>
      </c>
      <c r="N1325" s="0" t="n">
        <v>12</v>
      </c>
      <c r="O1325" s="60" t="n">
        <v>20.95</v>
      </c>
    </row>
    <row r="1326" customFormat="false" ht="15" hidden="false" customHeight="false" outlineLevel="0" collapsed="false">
      <c r="A1326" s="0" t="n">
        <v>3</v>
      </c>
      <c r="B1326" s="59" t="n">
        <v>46223</v>
      </c>
      <c r="C1326" s="0" t="n">
        <v>11</v>
      </c>
      <c r="D1326" s="0" t="s">
        <v>2126</v>
      </c>
      <c r="E1326" s="0" t="n">
        <v>1657</v>
      </c>
      <c r="F1326" s="0" t="s">
        <v>257</v>
      </c>
      <c r="I1326" s="0" t="n">
        <v>295040</v>
      </c>
      <c r="J1326" s="0" t="n">
        <v>103801</v>
      </c>
      <c r="K1326" s="0" t="n">
        <v>7897006310133</v>
      </c>
      <c r="L1326" s="0" t="s">
        <v>2832</v>
      </c>
      <c r="N1326" s="0" t="n">
        <v>12</v>
      </c>
      <c r="O1326" s="60" t="n">
        <v>26.95</v>
      </c>
    </row>
    <row r="1327" customFormat="false" ht="15" hidden="false" customHeight="false" outlineLevel="0" collapsed="false">
      <c r="A1327" s="0" t="n">
        <v>3</v>
      </c>
      <c r="B1327" s="59" t="n">
        <v>46223</v>
      </c>
      <c r="C1327" s="0" t="n">
        <v>11</v>
      </c>
      <c r="D1327" s="0" t="s">
        <v>2126</v>
      </c>
      <c r="E1327" s="0" t="n">
        <v>1657</v>
      </c>
      <c r="F1327" s="0" t="s">
        <v>257</v>
      </c>
      <c r="I1327" s="0" t="n">
        <v>295040</v>
      </c>
      <c r="J1327" s="0" t="n">
        <v>104032</v>
      </c>
      <c r="K1327" s="0" t="n">
        <v>7897006310072</v>
      </c>
      <c r="L1327" s="0" t="s">
        <v>2833</v>
      </c>
      <c r="N1327" s="0" t="n">
        <v>12</v>
      </c>
      <c r="O1327" s="60" t="n">
        <v>24.95</v>
      </c>
    </row>
    <row r="1328" customFormat="false" ht="15" hidden="false" customHeight="false" outlineLevel="0" collapsed="false">
      <c r="A1328" s="0" t="n">
        <v>3</v>
      </c>
      <c r="B1328" s="59" t="n">
        <v>46223</v>
      </c>
      <c r="C1328" s="0" t="n">
        <v>11</v>
      </c>
      <c r="D1328" s="0" t="s">
        <v>2126</v>
      </c>
      <c r="E1328" s="0" t="n">
        <v>1657</v>
      </c>
      <c r="F1328" s="0" t="s">
        <v>257</v>
      </c>
      <c r="I1328" s="0" t="n">
        <v>295040</v>
      </c>
      <c r="J1328" s="0" t="n">
        <v>104252</v>
      </c>
      <c r="K1328" s="0" t="n">
        <v>7897006310089</v>
      </c>
      <c r="L1328" s="0" t="s">
        <v>2834</v>
      </c>
      <c r="N1328" s="0" t="n">
        <v>12</v>
      </c>
      <c r="O1328" s="60" t="n">
        <v>24.95</v>
      </c>
    </row>
    <row r="1329" customFormat="false" ht="15" hidden="false" customHeight="false" outlineLevel="0" collapsed="false">
      <c r="A1329" s="0" t="n">
        <v>3</v>
      </c>
      <c r="B1329" s="59" t="n">
        <v>46223</v>
      </c>
      <c r="C1329" s="0" t="n">
        <v>11</v>
      </c>
      <c r="D1329" s="0" t="s">
        <v>2126</v>
      </c>
      <c r="E1329" s="0" t="n">
        <v>1657</v>
      </c>
      <c r="F1329" s="0" t="s">
        <v>257</v>
      </c>
      <c r="I1329" s="0" t="n">
        <v>295040</v>
      </c>
      <c r="J1329" s="0" t="n">
        <v>104477</v>
      </c>
      <c r="K1329" s="0" t="n">
        <v>7898286190323</v>
      </c>
      <c r="L1329" s="0" t="s">
        <v>2835</v>
      </c>
      <c r="N1329" s="0" t="n">
        <v>24</v>
      </c>
      <c r="O1329" s="60" t="n">
        <v>66.95</v>
      </c>
    </row>
    <row r="1330" customFormat="false" ht="15" hidden="false" customHeight="false" outlineLevel="0" collapsed="false">
      <c r="A1330" s="0" t="n">
        <v>3</v>
      </c>
      <c r="B1330" s="59" t="n">
        <v>46223</v>
      </c>
      <c r="C1330" s="0" t="n">
        <v>11</v>
      </c>
      <c r="D1330" s="0" t="s">
        <v>2126</v>
      </c>
      <c r="E1330" s="0" t="n">
        <v>1657</v>
      </c>
      <c r="F1330" s="0" t="s">
        <v>257</v>
      </c>
      <c r="I1330" s="0" t="n">
        <v>295040</v>
      </c>
      <c r="J1330" s="0" t="n">
        <v>104479</v>
      </c>
      <c r="K1330" s="0" t="n">
        <v>7898286200015</v>
      </c>
      <c r="L1330" s="0" t="s">
        <v>2836</v>
      </c>
      <c r="N1330" s="0" t="n">
        <v>100</v>
      </c>
      <c r="O1330" s="60" t="n">
        <v>123.5</v>
      </c>
    </row>
    <row r="1331" customFormat="false" ht="15" hidden="false" customHeight="false" outlineLevel="0" collapsed="false">
      <c r="A1331" s="0" t="n">
        <v>3</v>
      </c>
      <c r="B1331" s="59" t="n">
        <v>46223</v>
      </c>
      <c r="C1331" s="0" t="n">
        <v>11</v>
      </c>
      <c r="D1331" s="0" t="s">
        <v>2126</v>
      </c>
      <c r="E1331" s="0" t="n">
        <v>1657</v>
      </c>
      <c r="F1331" s="0" t="s">
        <v>257</v>
      </c>
      <c r="I1331" s="0" t="n">
        <v>295040</v>
      </c>
      <c r="J1331" s="0" t="n">
        <v>104658</v>
      </c>
      <c r="K1331" s="0" t="n">
        <v>7896547500058</v>
      </c>
      <c r="L1331" s="0" t="s">
        <v>2837</v>
      </c>
      <c r="N1331" s="0" t="n">
        <v>12</v>
      </c>
      <c r="O1331" s="60" t="n">
        <v>92.95</v>
      </c>
    </row>
    <row r="1332" customFormat="false" ht="15" hidden="false" customHeight="false" outlineLevel="0" collapsed="false">
      <c r="A1332" s="0" t="n">
        <v>3</v>
      </c>
      <c r="B1332" s="59" t="n">
        <v>46223</v>
      </c>
      <c r="C1332" s="0" t="n">
        <v>11</v>
      </c>
      <c r="D1332" s="0" t="s">
        <v>2126</v>
      </c>
      <c r="E1332" s="0" t="n">
        <v>1657</v>
      </c>
      <c r="F1332" s="0" t="s">
        <v>257</v>
      </c>
      <c r="I1332" s="0" t="n">
        <v>295040</v>
      </c>
      <c r="J1332" s="0" t="n">
        <v>11519</v>
      </c>
      <c r="K1332" s="0" t="n">
        <v>7897312400924</v>
      </c>
      <c r="L1332" s="0" t="s">
        <v>2838</v>
      </c>
      <c r="N1332" s="0" t="n">
        <v>36</v>
      </c>
      <c r="O1332" s="60" t="n">
        <v>53.85</v>
      </c>
    </row>
    <row r="1333" customFormat="false" ht="15" hidden="false" customHeight="false" outlineLevel="0" collapsed="false">
      <c r="A1333" s="0" t="n">
        <v>3</v>
      </c>
      <c r="B1333" s="59" t="n">
        <v>46223</v>
      </c>
      <c r="C1333" s="0" t="n">
        <v>11</v>
      </c>
      <c r="D1333" s="0" t="s">
        <v>2126</v>
      </c>
      <c r="E1333" s="0" t="n">
        <v>1657</v>
      </c>
      <c r="F1333" s="0" t="s">
        <v>257</v>
      </c>
      <c r="I1333" s="0" t="n">
        <v>295040</v>
      </c>
      <c r="J1333" s="0" t="n">
        <v>11769</v>
      </c>
      <c r="K1333" s="0" t="n">
        <v>7897312400948</v>
      </c>
      <c r="L1333" s="0" t="s">
        <v>2839</v>
      </c>
      <c r="N1333" s="0" t="n">
        <v>36</v>
      </c>
      <c r="O1333" s="60" t="n">
        <v>53.85</v>
      </c>
    </row>
    <row r="1334" customFormat="false" ht="15" hidden="false" customHeight="false" outlineLevel="0" collapsed="false">
      <c r="A1334" s="0" t="n">
        <v>3</v>
      </c>
      <c r="B1334" s="59" t="n">
        <v>46223</v>
      </c>
      <c r="C1334" s="0" t="n">
        <v>11</v>
      </c>
      <c r="D1334" s="0" t="s">
        <v>2126</v>
      </c>
      <c r="E1334" s="0" t="n">
        <v>1657</v>
      </c>
      <c r="F1334" s="0" t="s">
        <v>257</v>
      </c>
      <c r="I1334" s="0" t="n">
        <v>295040</v>
      </c>
      <c r="J1334" s="0" t="n">
        <v>11770</v>
      </c>
      <c r="K1334" s="0" t="n">
        <v>7897312400962</v>
      </c>
      <c r="L1334" s="0" t="s">
        <v>2840</v>
      </c>
      <c r="N1334" s="0" t="n">
        <v>36</v>
      </c>
      <c r="O1334" s="60" t="n">
        <v>53.85</v>
      </c>
    </row>
    <row r="1335" customFormat="false" ht="15" hidden="false" customHeight="false" outlineLevel="0" collapsed="false">
      <c r="A1335" s="0" t="n">
        <v>3</v>
      </c>
      <c r="B1335" s="59" t="n">
        <v>46223</v>
      </c>
      <c r="C1335" s="0" t="n">
        <v>11</v>
      </c>
      <c r="D1335" s="0" t="s">
        <v>2126</v>
      </c>
      <c r="E1335" s="0" t="n">
        <v>1657</v>
      </c>
      <c r="F1335" s="0" t="s">
        <v>257</v>
      </c>
      <c r="I1335" s="0" t="n">
        <v>295040</v>
      </c>
      <c r="J1335" s="0" t="n">
        <v>11881</v>
      </c>
      <c r="K1335" s="0" t="n">
        <v>7892300030688</v>
      </c>
      <c r="L1335" s="0" t="s">
        <v>2841</v>
      </c>
      <c r="N1335" s="0" t="n">
        <v>24</v>
      </c>
      <c r="O1335" s="60" t="n">
        <v>60.95</v>
      </c>
    </row>
    <row r="1336" customFormat="false" ht="15" hidden="false" customHeight="false" outlineLevel="0" collapsed="false">
      <c r="A1336" s="0" t="n">
        <v>3</v>
      </c>
      <c r="B1336" s="59" t="n">
        <v>46223</v>
      </c>
      <c r="C1336" s="0" t="n">
        <v>11</v>
      </c>
      <c r="D1336" s="0" t="s">
        <v>2126</v>
      </c>
      <c r="E1336" s="0" t="n">
        <v>1657</v>
      </c>
      <c r="F1336" s="0" t="s">
        <v>257</v>
      </c>
      <c r="I1336" s="0" t="n">
        <v>295040</v>
      </c>
      <c r="J1336" s="0" t="n">
        <v>12122</v>
      </c>
      <c r="K1336" s="0" t="n">
        <v>7898286190354</v>
      </c>
      <c r="L1336" s="0" t="s">
        <v>2842</v>
      </c>
      <c r="N1336" s="0" t="n">
        <v>24</v>
      </c>
      <c r="O1336" s="60" t="n">
        <v>66.95</v>
      </c>
    </row>
    <row r="1337" customFormat="false" ht="15" hidden="false" customHeight="false" outlineLevel="0" collapsed="false">
      <c r="A1337" s="0" t="n">
        <v>3</v>
      </c>
      <c r="B1337" s="59" t="n">
        <v>46223</v>
      </c>
      <c r="C1337" s="0" t="n">
        <v>11</v>
      </c>
      <c r="D1337" s="0" t="s">
        <v>2126</v>
      </c>
      <c r="E1337" s="0" t="n">
        <v>1657</v>
      </c>
      <c r="F1337" s="0" t="s">
        <v>257</v>
      </c>
      <c r="I1337" s="0" t="n">
        <v>295040</v>
      </c>
      <c r="J1337" s="0" t="n">
        <v>15551</v>
      </c>
      <c r="K1337" s="0" t="n">
        <v>7897006310140</v>
      </c>
      <c r="L1337" s="0" t="s">
        <v>2843</v>
      </c>
      <c r="N1337" s="0" t="n">
        <v>24</v>
      </c>
      <c r="O1337" s="60" t="n">
        <v>71.9</v>
      </c>
    </row>
    <row r="1338" customFormat="false" ht="15" hidden="false" customHeight="false" outlineLevel="0" collapsed="false">
      <c r="A1338" s="0" t="n">
        <v>3</v>
      </c>
      <c r="B1338" s="59" t="n">
        <v>46223</v>
      </c>
      <c r="C1338" s="0" t="n">
        <v>11</v>
      </c>
      <c r="D1338" s="0" t="s">
        <v>2126</v>
      </c>
      <c r="E1338" s="0" t="n">
        <v>1657</v>
      </c>
      <c r="F1338" s="0" t="s">
        <v>257</v>
      </c>
      <c r="I1338" s="0" t="n">
        <v>295040</v>
      </c>
      <c r="J1338" s="0" t="n">
        <v>21197</v>
      </c>
      <c r="K1338" s="0" t="n">
        <v>7898956358022</v>
      </c>
      <c r="L1338" s="0" t="s">
        <v>2844</v>
      </c>
      <c r="N1338" s="0" t="n">
        <v>24</v>
      </c>
      <c r="O1338" s="60" t="n">
        <v>85.9</v>
      </c>
    </row>
    <row r="1339" customFormat="false" ht="15" hidden="false" customHeight="false" outlineLevel="0" collapsed="false">
      <c r="A1339" s="0" t="n">
        <v>3</v>
      </c>
      <c r="B1339" s="59" t="n">
        <v>46223</v>
      </c>
      <c r="C1339" s="0" t="n">
        <v>11</v>
      </c>
      <c r="D1339" s="0" t="s">
        <v>2126</v>
      </c>
      <c r="E1339" s="0" t="n">
        <v>1657</v>
      </c>
      <c r="F1339" s="0" t="s">
        <v>257</v>
      </c>
      <c r="I1339" s="0" t="n">
        <v>295040</v>
      </c>
      <c r="J1339" s="0" t="n">
        <v>21283</v>
      </c>
      <c r="K1339" s="0" t="n">
        <v>7897006310102</v>
      </c>
      <c r="L1339" s="0" t="s">
        <v>2845</v>
      </c>
      <c r="N1339" s="0" t="n">
        <v>12</v>
      </c>
      <c r="O1339" s="60" t="n">
        <v>32.95</v>
      </c>
    </row>
    <row r="1340" customFormat="false" ht="15" hidden="false" customHeight="false" outlineLevel="0" collapsed="false">
      <c r="A1340" s="0" t="n">
        <v>3</v>
      </c>
      <c r="B1340" s="59" t="n">
        <v>46223</v>
      </c>
      <c r="C1340" s="0" t="n">
        <v>11</v>
      </c>
      <c r="D1340" s="0" t="s">
        <v>2126</v>
      </c>
      <c r="E1340" s="0" t="n">
        <v>1657</v>
      </c>
      <c r="F1340" s="0" t="s">
        <v>257</v>
      </c>
      <c r="I1340" s="0" t="n">
        <v>295040</v>
      </c>
      <c r="J1340" s="0" t="n">
        <v>27697</v>
      </c>
      <c r="K1340" s="0" t="n">
        <v>7897664171756</v>
      </c>
      <c r="L1340" s="0" t="s">
        <v>2846</v>
      </c>
      <c r="N1340" s="0" t="n">
        <v>36</v>
      </c>
      <c r="O1340" s="60" t="n">
        <v>59.85</v>
      </c>
    </row>
    <row r="1341" customFormat="false" ht="15" hidden="false" customHeight="false" outlineLevel="0" collapsed="false">
      <c r="A1341" s="0" t="n">
        <v>3</v>
      </c>
      <c r="B1341" s="59" t="n">
        <v>46223</v>
      </c>
      <c r="C1341" s="0" t="n">
        <v>11</v>
      </c>
      <c r="D1341" s="0" t="s">
        <v>2126</v>
      </c>
      <c r="E1341" s="0" t="n">
        <v>1657</v>
      </c>
      <c r="F1341" s="0" t="s">
        <v>257</v>
      </c>
      <c r="I1341" s="0" t="n">
        <v>295040</v>
      </c>
      <c r="J1341" s="0" t="n">
        <v>27698</v>
      </c>
      <c r="K1341" s="0" t="n">
        <v>7897664171732</v>
      </c>
      <c r="L1341" s="0" t="s">
        <v>2847</v>
      </c>
      <c r="N1341" s="0" t="n">
        <v>36</v>
      </c>
      <c r="O1341" s="60" t="n">
        <v>59.85</v>
      </c>
    </row>
    <row r="1342" customFormat="false" ht="15" hidden="false" customHeight="false" outlineLevel="0" collapsed="false">
      <c r="A1342" s="0" t="n">
        <v>3</v>
      </c>
      <c r="B1342" s="59" t="n">
        <v>46223</v>
      </c>
      <c r="C1342" s="0" t="n">
        <v>11</v>
      </c>
      <c r="D1342" s="0" t="s">
        <v>2126</v>
      </c>
      <c r="E1342" s="0" t="n">
        <v>1657</v>
      </c>
      <c r="F1342" s="0" t="s">
        <v>257</v>
      </c>
      <c r="I1342" s="0" t="n">
        <v>295040</v>
      </c>
      <c r="J1342" s="0" t="n">
        <v>27699</v>
      </c>
      <c r="K1342" s="0" t="n">
        <v>7897664171701</v>
      </c>
      <c r="L1342" s="0" t="s">
        <v>2848</v>
      </c>
      <c r="N1342" s="0" t="n">
        <v>36</v>
      </c>
      <c r="O1342" s="60" t="n">
        <v>59.85</v>
      </c>
    </row>
    <row r="1343" customFormat="false" ht="15" hidden="false" customHeight="false" outlineLevel="0" collapsed="false">
      <c r="A1343" s="0" t="n">
        <v>3</v>
      </c>
      <c r="B1343" s="59" t="n">
        <v>46223</v>
      </c>
      <c r="C1343" s="0" t="n">
        <v>11</v>
      </c>
      <c r="D1343" s="0" t="s">
        <v>2126</v>
      </c>
      <c r="E1343" s="0" t="n">
        <v>1657</v>
      </c>
      <c r="F1343" s="0" t="s">
        <v>257</v>
      </c>
      <c r="I1343" s="0" t="n">
        <v>295040</v>
      </c>
      <c r="J1343" s="0" t="n">
        <v>27701</v>
      </c>
      <c r="K1343" s="0" t="n">
        <v>7897664171749</v>
      </c>
      <c r="L1343" s="0" t="s">
        <v>2849</v>
      </c>
      <c r="N1343" s="0" t="n">
        <v>36</v>
      </c>
      <c r="O1343" s="60" t="n">
        <v>59.85</v>
      </c>
    </row>
    <row r="1344" customFormat="false" ht="15" hidden="false" customHeight="false" outlineLevel="0" collapsed="false">
      <c r="A1344" s="0" t="n">
        <v>3</v>
      </c>
      <c r="B1344" s="59" t="n">
        <v>46223</v>
      </c>
      <c r="C1344" s="0" t="n">
        <v>11</v>
      </c>
      <c r="D1344" s="0" t="s">
        <v>2126</v>
      </c>
      <c r="E1344" s="0" t="n">
        <v>1657</v>
      </c>
      <c r="F1344" s="0" t="s">
        <v>257</v>
      </c>
      <c r="I1344" s="0" t="n">
        <v>295040</v>
      </c>
      <c r="J1344" s="0" t="n">
        <v>27702</v>
      </c>
      <c r="K1344" s="0" t="n">
        <v>7897664171725</v>
      </c>
      <c r="L1344" s="0" t="s">
        <v>2850</v>
      </c>
      <c r="N1344" s="0" t="n">
        <v>36</v>
      </c>
      <c r="O1344" s="60" t="n">
        <v>59.85</v>
      </c>
    </row>
    <row r="1345" customFormat="false" ht="15" hidden="false" customHeight="false" outlineLevel="0" collapsed="false">
      <c r="A1345" s="0" t="n">
        <v>3</v>
      </c>
      <c r="B1345" s="59" t="n">
        <v>46223</v>
      </c>
      <c r="C1345" s="0" t="n">
        <v>11</v>
      </c>
      <c r="D1345" s="0" t="s">
        <v>2126</v>
      </c>
      <c r="E1345" s="0" t="n">
        <v>1657</v>
      </c>
      <c r="F1345" s="0" t="s">
        <v>257</v>
      </c>
      <c r="I1345" s="0" t="n">
        <v>295040</v>
      </c>
      <c r="J1345" s="0" t="n">
        <v>34480</v>
      </c>
      <c r="K1345" s="0" t="n">
        <v>7908324400120</v>
      </c>
      <c r="L1345" s="0" t="s">
        <v>2851</v>
      </c>
      <c r="N1345" s="0" t="n">
        <v>36</v>
      </c>
      <c r="O1345" s="60" t="n">
        <v>59.85</v>
      </c>
    </row>
    <row r="1346" customFormat="false" ht="15" hidden="false" customHeight="false" outlineLevel="0" collapsed="false">
      <c r="A1346" s="0" t="n">
        <v>3</v>
      </c>
      <c r="B1346" s="59" t="n">
        <v>46223</v>
      </c>
      <c r="C1346" s="0" t="n">
        <v>11</v>
      </c>
      <c r="D1346" s="0" t="s">
        <v>2126</v>
      </c>
      <c r="E1346" s="0" t="n">
        <v>1657</v>
      </c>
      <c r="F1346" s="0" t="s">
        <v>257</v>
      </c>
      <c r="I1346" s="0" t="n">
        <v>295040</v>
      </c>
      <c r="J1346" s="0" t="n">
        <v>39258</v>
      </c>
      <c r="K1346" s="0" t="n">
        <v>7897006310096</v>
      </c>
      <c r="L1346" s="0" t="s">
        <v>2852</v>
      </c>
      <c r="N1346" s="0" t="n">
        <v>12</v>
      </c>
      <c r="O1346" s="60" t="n">
        <v>32.95</v>
      </c>
    </row>
    <row r="1347" customFormat="false" ht="15" hidden="false" customHeight="false" outlineLevel="0" collapsed="false">
      <c r="A1347" s="0" t="n">
        <v>3</v>
      </c>
      <c r="B1347" s="59" t="n">
        <v>46223</v>
      </c>
      <c r="C1347" s="0" t="n">
        <v>11</v>
      </c>
      <c r="D1347" s="0" t="s">
        <v>2126</v>
      </c>
      <c r="E1347" s="0" t="n">
        <v>1657</v>
      </c>
      <c r="F1347" s="0" t="s">
        <v>257</v>
      </c>
      <c r="I1347" s="0" t="n">
        <v>295040</v>
      </c>
      <c r="J1347" s="0" t="n">
        <v>45906</v>
      </c>
      <c r="K1347" s="0" t="n">
        <v>7898677310064</v>
      </c>
      <c r="L1347" s="0" t="s">
        <v>2853</v>
      </c>
      <c r="N1347" s="0" t="n">
        <v>12</v>
      </c>
      <c r="O1347" s="60" t="n">
        <v>32.95</v>
      </c>
    </row>
    <row r="1348" customFormat="false" ht="15" hidden="false" customHeight="false" outlineLevel="0" collapsed="false">
      <c r="A1348" s="0" t="n">
        <v>3</v>
      </c>
      <c r="B1348" s="59" t="n">
        <v>46223</v>
      </c>
      <c r="C1348" s="0" t="n">
        <v>11</v>
      </c>
      <c r="D1348" s="0" t="s">
        <v>2126</v>
      </c>
      <c r="E1348" s="0" t="n">
        <v>1657</v>
      </c>
      <c r="F1348" s="0" t="s">
        <v>257</v>
      </c>
      <c r="I1348" s="0" t="n">
        <v>295040</v>
      </c>
      <c r="J1348" s="0" t="n">
        <v>53225</v>
      </c>
      <c r="K1348" s="0" t="n">
        <v>7897312404083</v>
      </c>
      <c r="L1348" s="0" t="s">
        <v>2854</v>
      </c>
      <c r="N1348" s="0" t="n">
        <v>36</v>
      </c>
      <c r="O1348" s="60" t="n">
        <v>53.85</v>
      </c>
    </row>
    <row r="1349" customFormat="false" ht="15" hidden="false" customHeight="false" outlineLevel="0" collapsed="false">
      <c r="A1349" s="0" t="n">
        <v>3</v>
      </c>
      <c r="B1349" s="59" t="n">
        <v>46223</v>
      </c>
      <c r="C1349" s="0" t="n">
        <v>11</v>
      </c>
      <c r="D1349" s="0" t="s">
        <v>2126</v>
      </c>
      <c r="E1349" s="0" t="n">
        <v>1636</v>
      </c>
      <c r="F1349" s="0" t="s">
        <v>50</v>
      </c>
      <c r="I1349" s="0" t="n">
        <v>3218718</v>
      </c>
      <c r="J1349" s="0" t="n">
        <v>14767</v>
      </c>
      <c r="K1349" s="0" t="n">
        <v>7896036095096</v>
      </c>
      <c r="L1349" s="0" t="s">
        <v>2855</v>
      </c>
      <c r="N1349" s="0" t="n">
        <v>54</v>
      </c>
      <c r="O1349" s="60" t="n">
        <v>143.64</v>
      </c>
    </row>
    <row r="1350" customFormat="false" ht="15" hidden="false" customHeight="false" outlineLevel="0" collapsed="false">
      <c r="A1350" s="0" t="n">
        <v>3</v>
      </c>
      <c r="B1350" s="59" t="n">
        <v>46223</v>
      </c>
      <c r="C1350" s="0" t="n">
        <v>11</v>
      </c>
      <c r="D1350" s="0" t="s">
        <v>2126</v>
      </c>
      <c r="E1350" s="0" t="n">
        <v>1636</v>
      </c>
      <c r="F1350" s="0" t="s">
        <v>50</v>
      </c>
      <c r="I1350" s="0" t="n">
        <v>3218718</v>
      </c>
      <c r="J1350" s="0" t="n">
        <v>14874</v>
      </c>
      <c r="K1350" s="0" t="n">
        <v>7896036095102</v>
      </c>
      <c r="L1350" s="0" t="s">
        <v>2856</v>
      </c>
      <c r="N1350" s="0" t="n">
        <v>24</v>
      </c>
      <c r="O1350" s="60" t="n">
        <v>108.73</v>
      </c>
    </row>
    <row r="1351" customFormat="false" ht="15" hidden="false" customHeight="false" outlineLevel="0" collapsed="false">
      <c r="A1351" s="0" t="n">
        <v>3</v>
      </c>
      <c r="B1351" s="59" t="n">
        <v>46223</v>
      </c>
      <c r="C1351" s="0" t="n">
        <v>11</v>
      </c>
      <c r="D1351" s="0" t="s">
        <v>2126</v>
      </c>
      <c r="E1351" s="0" t="n">
        <v>1636</v>
      </c>
      <c r="F1351" s="0" t="s">
        <v>50</v>
      </c>
      <c r="I1351" s="0" t="n">
        <v>3218718</v>
      </c>
      <c r="J1351" s="0" t="n">
        <v>18509</v>
      </c>
      <c r="K1351" s="0" t="n">
        <v>7896036094815</v>
      </c>
      <c r="L1351" s="0" t="s">
        <v>2857</v>
      </c>
      <c r="N1351" s="0" t="n">
        <v>24</v>
      </c>
      <c r="O1351" s="60" t="n">
        <v>47.76</v>
      </c>
    </row>
    <row r="1352" customFormat="false" ht="15" hidden="false" customHeight="false" outlineLevel="0" collapsed="false">
      <c r="A1352" s="0" t="n">
        <v>3</v>
      </c>
      <c r="B1352" s="59" t="n">
        <v>46223</v>
      </c>
      <c r="C1352" s="0" t="n">
        <v>11</v>
      </c>
      <c r="D1352" s="0" t="s">
        <v>2126</v>
      </c>
      <c r="E1352" s="0" t="n">
        <v>1636</v>
      </c>
      <c r="F1352" s="0" t="s">
        <v>50</v>
      </c>
      <c r="I1352" s="0" t="n">
        <v>3218718</v>
      </c>
      <c r="J1352" s="0" t="n">
        <v>29032</v>
      </c>
      <c r="K1352" s="0" t="n">
        <v>7896423419276</v>
      </c>
      <c r="L1352" s="0" t="s">
        <v>2858</v>
      </c>
      <c r="N1352" s="0" t="n">
        <v>36</v>
      </c>
      <c r="O1352" s="60" t="n">
        <v>136.23</v>
      </c>
    </row>
    <row r="1353" customFormat="false" ht="15" hidden="false" customHeight="false" outlineLevel="0" collapsed="false">
      <c r="A1353" s="0" t="n">
        <v>3</v>
      </c>
      <c r="B1353" s="59" t="n">
        <v>46223</v>
      </c>
      <c r="C1353" s="0" t="n">
        <v>11</v>
      </c>
      <c r="D1353" s="0" t="s">
        <v>2126</v>
      </c>
      <c r="E1353" s="0" t="n">
        <v>1636</v>
      </c>
      <c r="F1353" s="0" t="s">
        <v>50</v>
      </c>
      <c r="I1353" s="0" t="n">
        <v>3218718</v>
      </c>
      <c r="J1353" s="0" t="n">
        <v>29676</v>
      </c>
      <c r="K1353" s="0" t="n">
        <v>7896423470994</v>
      </c>
      <c r="L1353" s="0" t="s">
        <v>2859</v>
      </c>
      <c r="N1353" s="0" t="n">
        <v>18</v>
      </c>
      <c r="O1353" s="60" t="n">
        <v>59.05</v>
      </c>
    </row>
    <row r="1354" customFormat="false" ht="15" hidden="false" customHeight="false" outlineLevel="0" collapsed="false">
      <c r="A1354" s="0" t="n">
        <v>3</v>
      </c>
      <c r="B1354" s="59" t="n">
        <v>46223</v>
      </c>
      <c r="C1354" s="0" t="n">
        <v>11</v>
      </c>
      <c r="D1354" s="0" t="s">
        <v>2126</v>
      </c>
      <c r="E1354" s="0" t="n">
        <v>1636</v>
      </c>
      <c r="F1354" s="0" t="s">
        <v>50</v>
      </c>
      <c r="I1354" s="0" t="n">
        <v>3218718</v>
      </c>
      <c r="J1354" s="0" t="n">
        <v>30015</v>
      </c>
      <c r="K1354" s="0" t="n">
        <v>7896423420180</v>
      </c>
      <c r="L1354" s="0" t="s">
        <v>2860</v>
      </c>
      <c r="N1354" s="0" t="n">
        <v>20</v>
      </c>
      <c r="O1354" s="60" t="n">
        <v>55.8</v>
      </c>
    </row>
    <row r="1355" customFormat="false" ht="15" hidden="false" customHeight="false" outlineLevel="0" collapsed="false">
      <c r="A1355" s="0" t="n">
        <v>3</v>
      </c>
      <c r="B1355" s="59" t="n">
        <v>46223</v>
      </c>
      <c r="C1355" s="0" t="n">
        <v>11</v>
      </c>
      <c r="D1355" s="0" t="s">
        <v>2126</v>
      </c>
      <c r="E1355" s="0" t="n">
        <v>1636</v>
      </c>
      <c r="F1355" s="0" t="s">
        <v>50</v>
      </c>
      <c r="I1355" s="0" t="n">
        <v>3218718</v>
      </c>
      <c r="J1355" s="0" t="n">
        <v>37266</v>
      </c>
      <c r="K1355" s="0" t="n">
        <v>7896036098325</v>
      </c>
      <c r="L1355" s="0" t="s">
        <v>2861</v>
      </c>
      <c r="N1355" s="0" t="n">
        <v>6</v>
      </c>
      <c r="O1355" s="60" t="n">
        <v>64.75</v>
      </c>
    </row>
    <row r="1356" customFormat="false" ht="15" hidden="false" customHeight="false" outlineLevel="0" collapsed="false">
      <c r="A1356" s="0" t="n">
        <v>3</v>
      </c>
      <c r="B1356" s="59" t="n">
        <v>46223</v>
      </c>
      <c r="C1356" s="0" t="n">
        <v>11</v>
      </c>
      <c r="D1356" s="0" t="s">
        <v>2126</v>
      </c>
      <c r="E1356" s="0" t="n">
        <v>1636</v>
      </c>
      <c r="F1356" s="0" t="s">
        <v>50</v>
      </c>
      <c r="I1356" s="0" t="n">
        <v>3218718</v>
      </c>
      <c r="J1356" s="0" t="n">
        <v>50363</v>
      </c>
      <c r="K1356" s="0" t="n">
        <v>7896036099377</v>
      </c>
      <c r="L1356" s="0" t="s">
        <v>2862</v>
      </c>
      <c r="N1356" s="0" t="n">
        <v>3</v>
      </c>
      <c r="O1356" s="60" t="n">
        <v>56.14</v>
      </c>
    </row>
    <row r="1357" customFormat="false" ht="15" hidden="false" customHeight="false" outlineLevel="0" collapsed="false">
      <c r="A1357" s="0" t="n">
        <v>3</v>
      </c>
      <c r="B1357" s="59" t="n">
        <v>46223</v>
      </c>
      <c r="C1357" s="0" t="n">
        <v>11</v>
      </c>
      <c r="D1357" s="0" t="s">
        <v>2126</v>
      </c>
      <c r="E1357" s="0" t="n">
        <v>1636</v>
      </c>
      <c r="F1357" s="0" t="s">
        <v>50</v>
      </c>
      <c r="I1357" s="0" t="n">
        <v>3218718</v>
      </c>
      <c r="J1357" s="0" t="n">
        <v>50368</v>
      </c>
      <c r="K1357" s="0" t="n">
        <v>7896036099384</v>
      </c>
      <c r="L1357" s="0" t="s">
        <v>2863</v>
      </c>
      <c r="N1357" s="0" t="n">
        <v>3</v>
      </c>
      <c r="O1357" s="60" t="n">
        <v>40.19</v>
      </c>
    </row>
    <row r="1358" customFormat="false" ht="15" hidden="false" customHeight="false" outlineLevel="0" collapsed="false">
      <c r="A1358" s="0" t="n">
        <v>3</v>
      </c>
      <c r="B1358" s="59" t="n">
        <v>46223</v>
      </c>
      <c r="C1358" s="0" t="n">
        <v>11</v>
      </c>
      <c r="D1358" s="0" t="s">
        <v>2126</v>
      </c>
      <c r="E1358" s="0" t="n">
        <v>1636</v>
      </c>
      <c r="F1358" s="0" t="s">
        <v>50</v>
      </c>
      <c r="I1358" s="0" t="n">
        <v>3218718</v>
      </c>
      <c r="J1358" s="0" t="n">
        <v>57639</v>
      </c>
      <c r="K1358" s="0" t="n">
        <v>7896004006277</v>
      </c>
      <c r="L1358" s="0" t="s">
        <v>2864</v>
      </c>
      <c r="N1358" s="0" t="n">
        <v>54</v>
      </c>
      <c r="O1358" s="60" t="n">
        <v>539.46</v>
      </c>
    </row>
    <row r="1359" customFormat="false" ht="15" hidden="false" customHeight="false" outlineLevel="0" collapsed="false">
      <c r="A1359" s="0" t="n">
        <v>3</v>
      </c>
      <c r="B1359" s="59" t="n">
        <v>46223</v>
      </c>
      <c r="C1359" s="0" t="n">
        <v>11</v>
      </c>
      <c r="D1359" s="0" t="s">
        <v>2126</v>
      </c>
      <c r="E1359" s="0" t="n">
        <v>1636</v>
      </c>
      <c r="F1359" s="0" t="s">
        <v>50</v>
      </c>
      <c r="I1359" s="0" t="n">
        <v>3218718</v>
      </c>
      <c r="J1359" s="0" t="n">
        <v>57878</v>
      </c>
      <c r="K1359" s="0" t="n">
        <v>7896004006239</v>
      </c>
      <c r="L1359" s="0" t="s">
        <v>2865</v>
      </c>
      <c r="N1359" s="0" t="n">
        <v>18</v>
      </c>
      <c r="O1359" s="60" t="n">
        <v>179.82</v>
      </c>
    </row>
    <row r="1360" customFormat="false" ht="15" hidden="false" customHeight="false" outlineLevel="0" collapsed="false">
      <c r="A1360" s="0" t="n">
        <v>3</v>
      </c>
      <c r="B1360" s="59" t="n">
        <v>46223</v>
      </c>
      <c r="C1360" s="0" t="n">
        <v>11</v>
      </c>
      <c r="D1360" s="0" t="s">
        <v>2126</v>
      </c>
      <c r="E1360" s="0" t="n">
        <v>1636</v>
      </c>
      <c r="F1360" s="0" t="s">
        <v>50</v>
      </c>
      <c r="I1360" s="0" t="n">
        <v>3218718</v>
      </c>
      <c r="J1360" s="0" t="n">
        <v>61667</v>
      </c>
      <c r="K1360" s="0" t="n">
        <v>7896004006284</v>
      </c>
      <c r="L1360" s="0" t="s">
        <v>2866</v>
      </c>
      <c r="N1360" s="0" t="n">
        <v>18</v>
      </c>
      <c r="O1360" s="60" t="n">
        <v>179.82</v>
      </c>
    </row>
    <row r="1361" customFormat="false" ht="15" hidden="false" customHeight="false" outlineLevel="0" collapsed="false">
      <c r="A1361" s="0" t="n">
        <v>3</v>
      </c>
      <c r="B1361" s="59" t="n">
        <v>46223</v>
      </c>
      <c r="C1361" s="0" t="n">
        <v>11</v>
      </c>
      <c r="D1361" s="0" t="s">
        <v>2126</v>
      </c>
      <c r="E1361" s="0" t="n">
        <v>1636</v>
      </c>
      <c r="F1361" s="0" t="s">
        <v>50</v>
      </c>
      <c r="I1361" s="0" t="n">
        <v>3218718</v>
      </c>
      <c r="J1361" s="0" t="n">
        <v>63943</v>
      </c>
      <c r="K1361" s="0" t="n">
        <v>7896004008998</v>
      </c>
      <c r="L1361" s="0" t="s">
        <v>2867</v>
      </c>
      <c r="N1361" s="0" t="n">
        <v>18</v>
      </c>
      <c r="O1361" s="60" t="n">
        <v>179.82</v>
      </c>
    </row>
    <row r="1362" customFormat="false" ht="15" hidden="false" customHeight="false" outlineLevel="0" collapsed="false">
      <c r="A1362" s="0" t="n">
        <v>3</v>
      </c>
      <c r="B1362" s="59" t="n">
        <v>46223</v>
      </c>
      <c r="C1362" s="0" t="n">
        <v>11</v>
      </c>
      <c r="D1362" s="0" t="s">
        <v>2126</v>
      </c>
      <c r="E1362" s="0" t="n">
        <v>1636</v>
      </c>
      <c r="F1362" s="0" t="s">
        <v>50</v>
      </c>
      <c r="I1362" s="0" t="n">
        <v>3218718</v>
      </c>
      <c r="J1362" s="0" t="n">
        <v>65885</v>
      </c>
      <c r="K1362" s="0" t="n">
        <v>7896036001219</v>
      </c>
      <c r="L1362" s="0" t="s">
        <v>2868</v>
      </c>
      <c r="N1362" s="0" t="n">
        <v>27</v>
      </c>
      <c r="O1362" s="60" t="n">
        <v>51.42</v>
      </c>
    </row>
    <row r="1363" customFormat="false" ht="15" hidden="false" customHeight="false" outlineLevel="0" collapsed="false">
      <c r="A1363" s="0" t="n">
        <v>3</v>
      </c>
      <c r="B1363" s="59" t="n">
        <v>46223</v>
      </c>
      <c r="C1363" s="0" t="n">
        <v>11</v>
      </c>
      <c r="D1363" s="0" t="s">
        <v>2126</v>
      </c>
      <c r="E1363" s="0" t="n">
        <v>1636</v>
      </c>
      <c r="F1363" s="0" t="s">
        <v>50</v>
      </c>
      <c r="I1363" s="0" t="n">
        <v>3218718</v>
      </c>
      <c r="J1363" s="0" t="n">
        <v>66069</v>
      </c>
      <c r="K1363" s="0" t="n">
        <v>7896004010076</v>
      </c>
      <c r="L1363" s="0" t="s">
        <v>2869</v>
      </c>
      <c r="N1363" s="0" t="n">
        <v>60</v>
      </c>
      <c r="O1363" s="60" t="n">
        <v>273.67</v>
      </c>
    </row>
    <row r="1364" customFormat="false" ht="15" hidden="false" customHeight="false" outlineLevel="0" collapsed="false">
      <c r="A1364" s="0" t="n">
        <v>3</v>
      </c>
      <c r="B1364" s="59" t="n">
        <v>46223</v>
      </c>
      <c r="C1364" s="0" t="n">
        <v>11</v>
      </c>
      <c r="D1364" s="0" t="s">
        <v>2126</v>
      </c>
      <c r="E1364" s="0" t="n">
        <v>1636</v>
      </c>
      <c r="F1364" s="0" t="s">
        <v>50</v>
      </c>
      <c r="I1364" s="0" t="n">
        <v>3218718</v>
      </c>
      <c r="J1364" s="0" t="n">
        <v>67359</v>
      </c>
      <c r="K1364" s="0" t="n">
        <v>7891167831650</v>
      </c>
      <c r="L1364" s="0" t="s">
        <v>2870</v>
      </c>
      <c r="N1364" s="0" t="n">
        <v>12</v>
      </c>
      <c r="O1364" s="60" t="n">
        <v>65.88</v>
      </c>
    </row>
    <row r="1365" customFormat="false" ht="15" hidden="false" customHeight="false" outlineLevel="0" collapsed="false">
      <c r="A1365" s="0" t="n">
        <v>3</v>
      </c>
      <c r="B1365" s="59" t="n">
        <v>46223</v>
      </c>
      <c r="C1365" s="0" t="n">
        <v>11</v>
      </c>
      <c r="D1365" s="0" t="s">
        <v>2126</v>
      </c>
      <c r="E1365" s="0" t="n">
        <v>1636</v>
      </c>
      <c r="F1365" s="0" t="s">
        <v>50</v>
      </c>
      <c r="I1365" s="0" t="n">
        <v>3218718</v>
      </c>
      <c r="J1365" s="0" t="n">
        <v>67363</v>
      </c>
      <c r="K1365" s="0" t="n">
        <v>7891167831667</v>
      </c>
      <c r="L1365" s="0" t="s">
        <v>2871</v>
      </c>
      <c r="N1365" s="0" t="n">
        <v>12</v>
      </c>
      <c r="O1365" s="60" t="n">
        <v>65.88</v>
      </c>
    </row>
    <row r="1366" customFormat="false" ht="15" hidden="false" customHeight="false" outlineLevel="0" collapsed="false">
      <c r="A1366" s="0" t="n">
        <v>3</v>
      </c>
      <c r="B1366" s="59" t="n">
        <v>46223</v>
      </c>
      <c r="C1366" s="0" t="n">
        <v>11</v>
      </c>
      <c r="D1366" s="0" t="s">
        <v>2126</v>
      </c>
      <c r="E1366" s="0" t="n">
        <v>1636</v>
      </c>
      <c r="F1366" s="0" t="s">
        <v>50</v>
      </c>
      <c r="I1366" s="0" t="n">
        <v>3218718</v>
      </c>
      <c r="J1366" s="0" t="n">
        <v>74370</v>
      </c>
      <c r="K1366" s="0" t="n">
        <v>7896036001349</v>
      </c>
      <c r="L1366" s="0" t="s">
        <v>2872</v>
      </c>
      <c r="N1366" s="0" t="n">
        <v>12</v>
      </c>
      <c r="O1366" s="60" t="n">
        <v>42.66</v>
      </c>
    </row>
    <row r="1367" customFormat="false" ht="15" hidden="false" customHeight="false" outlineLevel="0" collapsed="false">
      <c r="A1367" s="0" t="n">
        <v>3</v>
      </c>
      <c r="B1367" s="59" t="n">
        <v>46223</v>
      </c>
      <c r="C1367" s="0" t="n">
        <v>11</v>
      </c>
      <c r="D1367" s="0" t="s">
        <v>2126</v>
      </c>
      <c r="E1367" s="0" t="n">
        <v>1636</v>
      </c>
      <c r="F1367" s="0" t="s">
        <v>50</v>
      </c>
      <c r="I1367" s="0" t="n">
        <v>3218718</v>
      </c>
      <c r="J1367" s="0" t="n">
        <v>77626</v>
      </c>
      <c r="K1367" s="0" t="n">
        <v>7896004011653</v>
      </c>
      <c r="L1367" s="0" t="s">
        <v>2873</v>
      </c>
      <c r="N1367" s="0" t="n">
        <v>18</v>
      </c>
      <c r="O1367" s="60" t="n">
        <v>179.82</v>
      </c>
    </row>
    <row r="1368" customFormat="false" ht="15" hidden="false" customHeight="false" outlineLevel="0" collapsed="false">
      <c r="A1368" s="0" t="n">
        <v>3</v>
      </c>
      <c r="B1368" s="59" t="n">
        <v>46223</v>
      </c>
      <c r="C1368" s="0" t="n">
        <v>11</v>
      </c>
      <c r="D1368" s="0" t="s">
        <v>2126</v>
      </c>
      <c r="E1368" s="0" t="n">
        <v>1636</v>
      </c>
      <c r="F1368" s="0" t="s">
        <v>50</v>
      </c>
      <c r="I1368" s="0" t="n">
        <v>3218718</v>
      </c>
      <c r="J1368" s="0" t="n">
        <v>78138</v>
      </c>
      <c r="K1368" s="0" t="n">
        <v>7896423438703</v>
      </c>
      <c r="L1368" s="0" t="s">
        <v>2874</v>
      </c>
      <c r="N1368" s="0" t="n">
        <v>18</v>
      </c>
      <c r="O1368" s="60" t="n">
        <v>67.51</v>
      </c>
    </row>
    <row r="1369" customFormat="false" ht="15" hidden="false" customHeight="false" outlineLevel="0" collapsed="false">
      <c r="A1369" s="0" t="n">
        <v>3</v>
      </c>
      <c r="B1369" s="59" t="n">
        <v>46223</v>
      </c>
      <c r="C1369" s="0" t="n">
        <v>11</v>
      </c>
      <c r="D1369" s="0" t="s">
        <v>2126</v>
      </c>
      <c r="E1369" s="0" t="n">
        <v>1636</v>
      </c>
      <c r="F1369" s="0" t="s">
        <v>50</v>
      </c>
      <c r="I1369" s="0" t="n">
        <v>3218718</v>
      </c>
      <c r="J1369" s="0" t="n">
        <v>78481</v>
      </c>
      <c r="K1369" s="0" t="n">
        <v>7896423438727</v>
      </c>
      <c r="L1369" s="0" t="s">
        <v>2875</v>
      </c>
      <c r="N1369" s="0" t="n">
        <v>18</v>
      </c>
      <c r="O1369" s="60" t="n">
        <v>67.51</v>
      </c>
    </row>
    <row r="1370" customFormat="false" ht="15" hidden="false" customHeight="false" outlineLevel="0" collapsed="false">
      <c r="A1370" s="0" t="n">
        <v>3</v>
      </c>
      <c r="B1370" s="59" t="n">
        <v>46223</v>
      </c>
      <c r="C1370" s="0" t="n">
        <v>11</v>
      </c>
      <c r="D1370" s="0" t="s">
        <v>2126</v>
      </c>
      <c r="E1370" s="0" t="n">
        <v>1636</v>
      </c>
      <c r="F1370" s="0" t="s">
        <v>50</v>
      </c>
      <c r="I1370" s="0" t="n">
        <v>3218718</v>
      </c>
      <c r="J1370" s="0" t="n">
        <v>81125</v>
      </c>
      <c r="K1370" s="0" t="n">
        <v>7896004012162</v>
      </c>
      <c r="L1370" s="0" t="s">
        <v>2876</v>
      </c>
      <c r="N1370" s="0" t="n">
        <v>18</v>
      </c>
      <c r="O1370" s="60" t="n">
        <v>179.82</v>
      </c>
    </row>
    <row r="1371" customFormat="false" ht="15" hidden="false" customHeight="false" outlineLevel="0" collapsed="false">
      <c r="A1371" s="0" t="n">
        <v>3</v>
      </c>
      <c r="B1371" s="59" t="n">
        <v>46223</v>
      </c>
      <c r="C1371" s="0" t="n">
        <v>171</v>
      </c>
      <c r="D1371" s="0" t="s">
        <v>2182</v>
      </c>
      <c r="E1371" s="0" t="n">
        <v>1955</v>
      </c>
      <c r="F1371" s="0" t="s">
        <v>2052</v>
      </c>
      <c r="I1371" s="0" t="n">
        <v>47445</v>
      </c>
      <c r="J1371" s="0" t="n">
        <v>45154</v>
      </c>
      <c r="K1371" s="0" t="n">
        <v>2246390</v>
      </c>
      <c r="L1371" s="0" t="s">
        <v>2413</v>
      </c>
      <c r="N1371" s="0" t="n">
        <v>60</v>
      </c>
      <c r="O1371" s="60" t="n">
        <v>58.89</v>
      </c>
    </row>
    <row r="1372" customFormat="false" ht="15" hidden="false" customHeight="false" outlineLevel="0" collapsed="false">
      <c r="A1372" s="0" t="n">
        <v>3</v>
      </c>
      <c r="B1372" s="59" t="n">
        <v>46223</v>
      </c>
      <c r="C1372" s="0" t="n">
        <v>171</v>
      </c>
      <c r="D1372" s="0" t="s">
        <v>2182</v>
      </c>
      <c r="E1372" s="0" t="n">
        <v>1955</v>
      </c>
      <c r="F1372" s="0" t="s">
        <v>2052</v>
      </c>
      <c r="I1372" s="0" t="n">
        <v>47445</v>
      </c>
      <c r="J1372" s="0" t="n">
        <v>45155</v>
      </c>
      <c r="K1372" s="0" t="n">
        <v>2246406</v>
      </c>
      <c r="L1372" s="0" t="s">
        <v>2414</v>
      </c>
      <c r="N1372" s="0" t="n">
        <v>70</v>
      </c>
      <c r="O1372" s="60" t="n">
        <v>68.95</v>
      </c>
    </row>
    <row r="1373" customFormat="false" ht="15" hidden="false" customHeight="false" outlineLevel="0" collapsed="false">
      <c r="A1373" s="0" t="n">
        <v>3</v>
      </c>
      <c r="B1373" s="59" t="n">
        <v>46223</v>
      </c>
      <c r="C1373" s="0" t="n">
        <v>171</v>
      </c>
      <c r="D1373" s="0" t="s">
        <v>2182</v>
      </c>
      <c r="E1373" s="0" t="n">
        <v>1636</v>
      </c>
      <c r="F1373" s="0" t="s">
        <v>50</v>
      </c>
      <c r="I1373" s="0" t="n">
        <v>3218719</v>
      </c>
      <c r="J1373" s="0" t="n">
        <v>57639</v>
      </c>
      <c r="K1373" s="0" t="n">
        <v>7896004006277</v>
      </c>
      <c r="L1373" s="0" t="s">
        <v>2864</v>
      </c>
      <c r="N1373" s="0" t="n">
        <v>6</v>
      </c>
      <c r="O1373" s="60" t="n">
        <v>72.56</v>
      </c>
    </row>
    <row r="1374" customFormat="false" ht="15" hidden="false" customHeight="false" outlineLevel="0" collapsed="false">
      <c r="A1374" s="0" t="n">
        <v>3</v>
      </c>
      <c r="B1374" s="59" t="n">
        <v>46224</v>
      </c>
      <c r="C1374" s="0" t="n">
        <v>6</v>
      </c>
      <c r="D1374" s="0" t="s">
        <v>2125</v>
      </c>
      <c r="E1374" s="0" t="n">
        <v>42</v>
      </c>
      <c r="F1374" s="0" t="s">
        <v>81</v>
      </c>
      <c r="I1374" s="0" t="n">
        <v>4402</v>
      </c>
      <c r="J1374" s="0" t="n">
        <v>109791</v>
      </c>
      <c r="K1374" s="0" t="n">
        <v>9667</v>
      </c>
      <c r="L1374" s="0" t="s">
        <v>2123</v>
      </c>
      <c r="N1374" s="0" t="n">
        <v>8</v>
      </c>
      <c r="O1374" s="60" t="n">
        <v>20</v>
      </c>
    </row>
    <row r="1375" customFormat="false" ht="15" hidden="false" customHeight="false" outlineLevel="0" collapsed="false">
      <c r="A1375" s="0" t="n">
        <v>3</v>
      </c>
      <c r="B1375" s="59" t="n">
        <v>46224</v>
      </c>
      <c r="C1375" s="0" t="n">
        <v>6</v>
      </c>
      <c r="D1375" s="0" t="s">
        <v>2125</v>
      </c>
      <c r="E1375" s="0" t="n">
        <v>42</v>
      </c>
      <c r="F1375" s="0" t="s">
        <v>81</v>
      </c>
      <c r="I1375" s="0" t="n">
        <v>4402</v>
      </c>
      <c r="J1375" s="0" t="n">
        <v>37359</v>
      </c>
      <c r="K1375" s="0" t="n">
        <v>55526</v>
      </c>
      <c r="L1375" s="0" t="s">
        <v>2194</v>
      </c>
      <c r="N1375" s="0" t="n">
        <v>7</v>
      </c>
      <c r="O1375" s="60" t="n">
        <v>35</v>
      </c>
    </row>
    <row r="1376" customFormat="false" ht="15" hidden="false" customHeight="false" outlineLevel="0" collapsed="false">
      <c r="A1376" s="0" t="n">
        <v>3</v>
      </c>
      <c r="B1376" s="59" t="n">
        <v>46224</v>
      </c>
      <c r="C1376" s="0" t="n">
        <v>6</v>
      </c>
      <c r="D1376" s="0" t="s">
        <v>2125</v>
      </c>
      <c r="E1376" s="0" t="n">
        <v>42</v>
      </c>
      <c r="F1376" s="0" t="s">
        <v>81</v>
      </c>
      <c r="I1376" s="0" t="n">
        <v>4402</v>
      </c>
      <c r="J1376" s="0" t="n">
        <v>37361</v>
      </c>
      <c r="K1376" s="0" t="n">
        <v>2240817</v>
      </c>
      <c r="L1376" s="0" t="s">
        <v>2124</v>
      </c>
      <c r="N1376" s="0" t="n">
        <v>20</v>
      </c>
      <c r="O1376" s="60" t="n">
        <v>40</v>
      </c>
    </row>
    <row r="1377" customFormat="false" ht="15" hidden="false" customHeight="false" outlineLevel="0" collapsed="false">
      <c r="A1377" s="0" t="n">
        <v>3</v>
      </c>
      <c r="B1377" s="59" t="n">
        <v>46224</v>
      </c>
      <c r="C1377" s="0" t="n">
        <v>6</v>
      </c>
      <c r="D1377" s="0" t="s">
        <v>2125</v>
      </c>
      <c r="E1377" s="0" t="n">
        <v>42</v>
      </c>
      <c r="F1377" s="0" t="s">
        <v>81</v>
      </c>
      <c r="I1377" s="0" t="n">
        <v>4403</v>
      </c>
      <c r="J1377" s="0" t="n">
        <v>72679</v>
      </c>
      <c r="K1377" s="0" t="n">
        <v>246</v>
      </c>
      <c r="L1377" s="0" t="s">
        <v>2195</v>
      </c>
      <c r="N1377" s="0" t="n">
        <v>20</v>
      </c>
      <c r="O1377" s="60" t="n">
        <v>280</v>
      </c>
    </row>
    <row r="1378" customFormat="false" ht="15" hidden="false" customHeight="false" outlineLevel="0" collapsed="false">
      <c r="A1378" s="0" t="n">
        <v>3</v>
      </c>
      <c r="B1378" s="59" t="n">
        <v>46224</v>
      </c>
      <c r="C1378" s="0" t="n">
        <v>6</v>
      </c>
      <c r="D1378" s="0" t="s">
        <v>2125</v>
      </c>
      <c r="E1378" s="0" t="n">
        <v>42</v>
      </c>
      <c r="F1378" s="0" t="s">
        <v>81</v>
      </c>
      <c r="I1378" s="0" t="n">
        <v>4406</v>
      </c>
      <c r="J1378" s="0" t="n">
        <v>100103</v>
      </c>
      <c r="K1378" s="0" t="n">
        <v>104</v>
      </c>
      <c r="L1378" s="0" t="s">
        <v>2193</v>
      </c>
      <c r="N1378" s="0" t="n">
        <v>20</v>
      </c>
      <c r="O1378" s="60" t="n">
        <v>125</v>
      </c>
    </row>
    <row r="1379" customFormat="false" ht="15" hidden="false" customHeight="false" outlineLevel="0" collapsed="false">
      <c r="A1379" s="0" t="n">
        <v>3</v>
      </c>
      <c r="B1379" s="59" t="n">
        <v>46224</v>
      </c>
      <c r="C1379" s="0" t="n">
        <v>6</v>
      </c>
      <c r="D1379" s="0" t="s">
        <v>2125</v>
      </c>
      <c r="E1379" s="0" t="n">
        <v>42</v>
      </c>
      <c r="F1379" s="0" t="s">
        <v>81</v>
      </c>
      <c r="I1379" s="0" t="n">
        <v>4407</v>
      </c>
      <c r="J1379" s="0" t="n">
        <v>100062</v>
      </c>
      <c r="K1379" s="0" t="n">
        <v>63</v>
      </c>
      <c r="L1379" s="0" t="s">
        <v>2259</v>
      </c>
      <c r="N1379" s="0" t="n">
        <v>7</v>
      </c>
      <c r="O1379" s="60" t="n">
        <v>84</v>
      </c>
    </row>
    <row r="1380" customFormat="false" ht="15" hidden="false" customHeight="false" outlineLevel="0" collapsed="false">
      <c r="A1380" s="0" t="n">
        <v>3</v>
      </c>
      <c r="B1380" s="59" t="n">
        <v>46224</v>
      </c>
      <c r="C1380" s="0" t="n">
        <v>6</v>
      </c>
      <c r="D1380" s="0" t="s">
        <v>2125</v>
      </c>
      <c r="E1380" s="0" t="n">
        <v>42</v>
      </c>
      <c r="F1380" s="0" t="s">
        <v>81</v>
      </c>
      <c r="I1380" s="0" t="n">
        <v>4407</v>
      </c>
      <c r="J1380" s="0" t="n">
        <v>100104</v>
      </c>
      <c r="K1380" s="0" t="n">
        <v>105</v>
      </c>
      <c r="L1380" s="0" t="s">
        <v>2260</v>
      </c>
      <c r="N1380" s="0" t="n">
        <v>4</v>
      </c>
      <c r="O1380" s="60" t="n">
        <v>28</v>
      </c>
    </row>
    <row r="1381" customFormat="false" ht="15" hidden="false" customHeight="false" outlineLevel="0" collapsed="false">
      <c r="A1381" s="0" t="n">
        <v>3</v>
      </c>
      <c r="B1381" s="59" t="n">
        <v>46224</v>
      </c>
      <c r="C1381" s="0" t="n">
        <v>6</v>
      </c>
      <c r="D1381" s="0" t="s">
        <v>2125</v>
      </c>
      <c r="E1381" s="0" t="n">
        <v>42</v>
      </c>
      <c r="F1381" s="0" t="s">
        <v>81</v>
      </c>
      <c r="I1381" s="0" t="n">
        <v>4407</v>
      </c>
      <c r="J1381" s="0" t="n">
        <v>100105</v>
      </c>
      <c r="K1381" s="0" t="n">
        <v>106</v>
      </c>
      <c r="L1381" s="0" t="s">
        <v>2620</v>
      </c>
      <c r="N1381" s="0" t="n">
        <v>24</v>
      </c>
      <c r="O1381" s="60" t="n">
        <v>180</v>
      </c>
    </row>
    <row r="1382" customFormat="false" ht="15" hidden="false" customHeight="false" outlineLevel="0" collapsed="false">
      <c r="A1382" s="0" t="n">
        <v>3</v>
      </c>
      <c r="B1382" s="59" t="n">
        <v>46224</v>
      </c>
      <c r="C1382" s="0" t="n">
        <v>6</v>
      </c>
      <c r="D1382" s="0" t="s">
        <v>2125</v>
      </c>
      <c r="E1382" s="0" t="n">
        <v>42</v>
      </c>
      <c r="F1382" s="0" t="s">
        <v>81</v>
      </c>
      <c r="I1382" s="0" t="n">
        <v>4407</v>
      </c>
      <c r="J1382" s="0" t="n">
        <v>100107</v>
      </c>
      <c r="K1382" s="0" t="n">
        <v>108</v>
      </c>
      <c r="L1382" s="0" t="s">
        <v>2877</v>
      </c>
      <c r="N1382" s="0" t="n">
        <v>3</v>
      </c>
      <c r="O1382" s="60" t="n">
        <v>36</v>
      </c>
    </row>
    <row r="1383" customFormat="false" ht="15" hidden="false" customHeight="false" outlineLevel="0" collapsed="false">
      <c r="A1383" s="0" t="n">
        <v>3</v>
      </c>
      <c r="B1383" s="59" t="n">
        <v>46224</v>
      </c>
      <c r="C1383" s="0" t="n">
        <v>6</v>
      </c>
      <c r="D1383" s="0" t="s">
        <v>2125</v>
      </c>
      <c r="E1383" s="0" t="n">
        <v>42</v>
      </c>
      <c r="F1383" s="0" t="s">
        <v>81</v>
      </c>
      <c r="I1383" s="0" t="n">
        <v>4407</v>
      </c>
      <c r="J1383" s="0" t="n">
        <v>100109</v>
      </c>
      <c r="K1383" s="0" t="n">
        <v>110</v>
      </c>
      <c r="L1383" s="0" t="s">
        <v>2261</v>
      </c>
      <c r="N1383" s="0" t="n">
        <v>20</v>
      </c>
      <c r="O1383" s="60" t="n">
        <v>140</v>
      </c>
    </row>
    <row r="1384" customFormat="false" ht="15" hidden="false" customHeight="false" outlineLevel="0" collapsed="false">
      <c r="A1384" s="0" t="n">
        <v>3</v>
      </c>
      <c r="B1384" s="59" t="n">
        <v>46224</v>
      </c>
      <c r="C1384" s="0" t="n">
        <v>6</v>
      </c>
      <c r="D1384" s="0" t="s">
        <v>2125</v>
      </c>
      <c r="E1384" s="0" t="n">
        <v>42</v>
      </c>
      <c r="F1384" s="0" t="s">
        <v>81</v>
      </c>
      <c r="I1384" s="0" t="n">
        <v>4407</v>
      </c>
      <c r="J1384" s="0" t="n">
        <v>100110</v>
      </c>
      <c r="K1384" s="0" t="n">
        <v>111</v>
      </c>
      <c r="L1384" s="0" t="s">
        <v>2262</v>
      </c>
      <c r="N1384" s="0" t="n">
        <v>9.4</v>
      </c>
      <c r="O1384" s="60" t="n">
        <v>84.5</v>
      </c>
    </row>
    <row r="1385" customFormat="false" ht="15" hidden="false" customHeight="false" outlineLevel="0" collapsed="false">
      <c r="A1385" s="0" t="n">
        <v>3</v>
      </c>
      <c r="B1385" s="59" t="n">
        <v>46224</v>
      </c>
      <c r="C1385" s="0" t="n">
        <v>6</v>
      </c>
      <c r="D1385" s="0" t="s">
        <v>2125</v>
      </c>
      <c r="E1385" s="0" t="n">
        <v>42</v>
      </c>
      <c r="F1385" s="0" t="s">
        <v>81</v>
      </c>
      <c r="I1385" s="0" t="n">
        <v>4407</v>
      </c>
      <c r="J1385" s="0" t="n">
        <v>100113</v>
      </c>
      <c r="K1385" s="0" t="n">
        <v>114</v>
      </c>
      <c r="L1385" s="0" t="s">
        <v>2264</v>
      </c>
      <c r="N1385" s="0" t="n">
        <v>40</v>
      </c>
      <c r="O1385" s="60" t="n">
        <v>130</v>
      </c>
    </row>
    <row r="1386" customFormat="false" ht="15" hidden="false" customHeight="false" outlineLevel="0" collapsed="false">
      <c r="A1386" s="0" t="n">
        <v>3</v>
      </c>
      <c r="B1386" s="59" t="n">
        <v>46224</v>
      </c>
      <c r="C1386" s="0" t="n">
        <v>6</v>
      </c>
      <c r="D1386" s="0" t="s">
        <v>2125</v>
      </c>
      <c r="E1386" s="0" t="n">
        <v>42</v>
      </c>
      <c r="F1386" s="0" t="s">
        <v>81</v>
      </c>
      <c r="I1386" s="0" t="n">
        <v>4407</v>
      </c>
      <c r="J1386" s="0" t="n">
        <v>100116</v>
      </c>
      <c r="K1386" s="0" t="n">
        <v>117</v>
      </c>
      <c r="L1386" s="0" t="s">
        <v>2266</v>
      </c>
      <c r="N1386" s="0" t="n">
        <v>4</v>
      </c>
      <c r="O1386" s="60" t="n">
        <v>48</v>
      </c>
    </row>
    <row r="1387" customFormat="false" ht="15" hidden="false" customHeight="false" outlineLevel="0" collapsed="false">
      <c r="A1387" s="0" t="n">
        <v>3</v>
      </c>
      <c r="B1387" s="59" t="n">
        <v>46224</v>
      </c>
      <c r="C1387" s="0" t="n">
        <v>6</v>
      </c>
      <c r="D1387" s="0" t="s">
        <v>2125</v>
      </c>
      <c r="E1387" s="0" t="n">
        <v>42</v>
      </c>
      <c r="F1387" s="0" t="s">
        <v>81</v>
      </c>
      <c r="I1387" s="0" t="n">
        <v>4407</v>
      </c>
      <c r="J1387" s="0" t="n">
        <v>100118</v>
      </c>
      <c r="K1387" s="0" t="n">
        <v>119</v>
      </c>
      <c r="L1387" s="0" t="s">
        <v>2267</v>
      </c>
      <c r="N1387" s="0" t="n">
        <v>10</v>
      </c>
      <c r="O1387" s="60" t="n">
        <v>60</v>
      </c>
    </row>
    <row r="1388" customFormat="false" ht="15" hidden="false" customHeight="false" outlineLevel="0" collapsed="false">
      <c r="A1388" s="0" t="n">
        <v>3</v>
      </c>
      <c r="B1388" s="59" t="n">
        <v>46224</v>
      </c>
      <c r="C1388" s="0" t="n">
        <v>6</v>
      </c>
      <c r="D1388" s="0" t="s">
        <v>2125</v>
      </c>
      <c r="E1388" s="0" t="n">
        <v>42</v>
      </c>
      <c r="F1388" s="0" t="s">
        <v>81</v>
      </c>
      <c r="I1388" s="0" t="n">
        <v>4407</v>
      </c>
      <c r="J1388" s="0" t="n">
        <v>100121</v>
      </c>
      <c r="K1388" s="0" t="n">
        <v>122</v>
      </c>
      <c r="L1388" s="0" t="s">
        <v>2422</v>
      </c>
      <c r="N1388" s="0" t="n">
        <v>10</v>
      </c>
      <c r="O1388" s="60" t="n">
        <v>110</v>
      </c>
    </row>
    <row r="1389" customFormat="false" ht="15" hidden="false" customHeight="false" outlineLevel="0" collapsed="false">
      <c r="A1389" s="0" t="n">
        <v>3</v>
      </c>
      <c r="B1389" s="59" t="n">
        <v>46224</v>
      </c>
      <c r="C1389" s="0" t="n">
        <v>6</v>
      </c>
      <c r="D1389" s="0" t="s">
        <v>2125</v>
      </c>
      <c r="E1389" s="0" t="n">
        <v>42</v>
      </c>
      <c r="F1389" s="0" t="s">
        <v>81</v>
      </c>
      <c r="I1389" s="0" t="n">
        <v>4407</v>
      </c>
      <c r="J1389" s="0" t="n">
        <v>100122</v>
      </c>
      <c r="K1389" s="0" t="n">
        <v>123</v>
      </c>
      <c r="L1389" s="0" t="s">
        <v>2423</v>
      </c>
      <c r="N1389" s="0" t="n">
        <v>10</v>
      </c>
      <c r="O1389" s="60" t="n">
        <v>90</v>
      </c>
    </row>
    <row r="1390" customFormat="false" ht="15" hidden="false" customHeight="false" outlineLevel="0" collapsed="false">
      <c r="A1390" s="0" t="n">
        <v>3</v>
      </c>
      <c r="B1390" s="59" t="n">
        <v>46224</v>
      </c>
      <c r="C1390" s="0" t="n">
        <v>6</v>
      </c>
      <c r="D1390" s="0" t="s">
        <v>2125</v>
      </c>
      <c r="E1390" s="0" t="n">
        <v>42</v>
      </c>
      <c r="F1390" s="0" t="s">
        <v>81</v>
      </c>
      <c r="I1390" s="0" t="n">
        <v>4407</v>
      </c>
      <c r="J1390" s="0" t="n">
        <v>100124</v>
      </c>
      <c r="K1390" s="0" t="n">
        <v>125</v>
      </c>
      <c r="L1390" s="0" t="s">
        <v>2269</v>
      </c>
      <c r="N1390" s="0" t="n">
        <v>9.6</v>
      </c>
      <c r="O1390" s="60" t="n">
        <v>86</v>
      </c>
    </row>
    <row r="1391" customFormat="false" ht="15" hidden="false" customHeight="false" outlineLevel="0" collapsed="false">
      <c r="A1391" s="0" t="n">
        <v>3</v>
      </c>
      <c r="B1391" s="59" t="n">
        <v>46224</v>
      </c>
      <c r="C1391" s="0" t="n">
        <v>6</v>
      </c>
      <c r="D1391" s="0" t="s">
        <v>2125</v>
      </c>
      <c r="E1391" s="0" t="n">
        <v>42</v>
      </c>
      <c r="F1391" s="0" t="s">
        <v>81</v>
      </c>
      <c r="I1391" s="0" t="n">
        <v>4407</v>
      </c>
      <c r="J1391" s="0" t="n">
        <v>100125</v>
      </c>
      <c r="K1391" s="0" t="n">
        <v>126</v>
      </c>
      <c r="L1391" s="0" t="s">
        <v>2424</v>
      </c>
      <c r="N1391" s="0" t="n">
        <v>20</v>
      </c>
      <c r="O1391" s="60" t="n">
        <v>130</v>
      </c>
    </row>
    <row r="1392" customFormat="false" ht="15" hidden="false" customHeight="false" outlineLevel="0" collapsed="false">
      <c r="A1392" s="0" t="n">
        <v>3</v>
      </c>
      <c r="B1392" s="59" t="n">
        <v>46224</v>
      </c>
      <c r="C1392" s="0" t="n">
        <v>6</v>
      </c>
      <c r="D1392" s="0" t="s">
        <v>2125</v>
      </c>
      <c r="E1392" s="0" t="n">
        <v>42</v>
      </c>
      <c r="F1392" s="0" t="s">
        <v>81</v>
      </c>
      <c r="I1392" s="0" t="n">
        <v>4407</v>
      </c>
      <c r="J1392" s="0" t="n">
        <v>100132</v>
      </c>
      <c r="K1392" s="0" t="n">
        <v>133</v>
      </c>
      <c r="L1392" s="0" t="s">
        <v>2270</v>
      </c>
      <c r="N1392" s="0" t="n">
        <v>100</v>
      </c>
      <c r="O1392" s="60" t="n">
        <v>240</v>
      </c>
    </row>
    <row r="1393" customFormat="false" ht="15" hidden="false" customHeight="false" outlineLevel="0" collapsed="false">
      <c r="A1393" s="0" t="n">
        <v>3</v>
      </c>
      <c r="B1393" s="59" t="n">
        <v>46224</v>
      </c>
      <c r="C1393" s="0" t="n">
        <v>6</v>
      </c>
      <c r="D1393" s="0" t="s">
        <v>2125</v>
      </c>
      <c r="E1393" s="0" t="n">
        <v>42</v>
      </c>
      <c r="F1393" s="0" t="s">
        <v>81</v>
      </c>
      <c r="I1393" s="0" t="n">
        <v>4407</v>
      </c>
      <c r="J1393" s="0" t="n">
        <v>100133</v>
      </c>
      <c r="K1393" s="0" t="n">
        <v>134</v>
      </c>
      <c r="L1393" s="0" t="s">
        <v>2271</v>
      </c>
      <c r="N1393" s="0" t="n">
        <v>10</v>
      </c>
      <c r="O1393" s="60" t="n">
        <v>60</v>
      </c>
    </row>
    <row r="1394" customFormat="false" ht="15" hidden="false" customHeight="false" outlineLevel="0" collapsed="false">
      <c r="A1394" s="0" t="n">
        <v>3</v>
      </c>
      <c r="B1394" s="59" t="n">
        <v>46224</v>
      </c>
      <c r="C1394" s="0" t="n">
        <v>6</v>
      </c>
      <c r="D1394" s="0" t="s">
        <v>2125</v>
      </c>
      <c r="E1394" s="0" t="n">
        <v>42</v>
      </c>
      <c r="F1394" s="0" t="s">
        <v>81</v>
      </c>
      <c r="I1394" s="0" t="n">
        <v>4407</v>
      </c>
      <c r="J1394" s="0" t="n">
        <v>100138</v>
      </c>
      <c r="K1394" s="0" t="n">
        <v>139</v>
      </c>
      <c r="L1394" s="0" t="s">
        <v>2426</v>
      </c>
      <c r="N1394" s="0" t="n">
        <v>0.5</v>
      </c>
      <c r="O1394" s="60" t="n">
        <v>25</v>
      </c>
    </row>
    <row r="1395" customFormat="false" ht="15" hidden="false" customHeight="false" outlineLevel="0" collapsed="false">
      <c r="A1395" s="0" t="n">
        <v>3</v>
      </c>
      <c r="B1395" s="59" t="n">
        <v>46224</v>
      </c>
      <c r="C1395" s="0" t="n">
        <v>6</v>
      </c>
      <c r="D1395" s="0" t="s">
        <v>2125</v>
      </c>
      <c r="E1395" s="0" t="n">
        <v>42</v>
      </c>
      <c r="F1395" s="0" t="s">
        <v>81</v>
      </c>
      <c r="I1395" s="0" t="n">
        <v>4407</v>
      </c>
      <c r="J1395" s="0" t="n">
        <v>100148</v>
      </c>
      <c r="K1395" s="0" t="n">
        <v>149</v>
      </c>
      <c r="L1395" s="0" t="s">
        <v>2272</v>
      </c>
      <c r="N1395" s="0" t="n">
        <v>4</v>
      </c>
      <c r="O1395" s="60" t="n">
        <v>48</v>
      </c>
    </row>
    <row r="1396" customFormat="false" ht="15" hidden="false" customHeight="false" outlineLevel="0" collapsed="false">
      <c r="A1396" s="0" t="n">
        <v>3</v>
      </c>
      <c r="B1396" s="59" t="n">
        <v>46224</v>
      </c>
      <c r="C1396" s="0" t="n">
        <v>6</v>
      </c>
      <c r="D1396" s="0" t="s">
        <v>2125</v>
      </c>
      <c r="E1396" s="0" t="n">
        <v>42</v>
      </c>
      <c r="F1396" s="0" t="s">
        <v>81</v>
      </c>
      <c r="I1396" s="0" t="n">
        <v>4407</v>
      </c>
      <c r="J1396" s="0" t="n">
        <v>110142</v>
      </c>
      <c r="K1396" s="0" t="n">
        <v>16699</v>
      </c>
      <c r="L1396" s="0" t="s">
        <v>2273</v>
      </c>
      <c r="N1396" s="0" t="n">
        <v>20</v>
      </c>
      <c r="O1396" s="60" t="n">
        <v>120</v>
      </c>
    </row>
    <row r="1397" customFormat="false" ht="15" hidden="false" customHeight="false" outlineLevel="0" collapsed="false">
      <c r="A1397" s="0" t="n">
        <v>3</v>
      </c>
      <c r="B1397" s="59" t="n">
        <v>46224</v>
      </c>
      <c r="C1397" s="0" t="n">
        <v>11</v>
      </c>
      <c r="D1397" s="0" t="s">
        <v>2126</v>
      </c>
      <c r="E1397" s="0" t="n">
        <v>1625</v>
      </c>
      <c r="F1397" s="0" t="s">
        <v>322</v>
      </c>
      <c r="I1397" s="0" t="n">
        <v>14770</v>
      </c>
      <c r="J1397" s="0" t="n">
        <v>29079</v>
      </c>
      <c r="K1397" s="0" t="n">
        <v>55515</v>
      </c>
      <c r="L1397" s="0" t="s">
        <v>2213</v>
      </c>
      <c r="N1397" s="0" t="n">
        <v>67.7</v>
      </c>
      <c r="O1397" s="60" t="n">
        <v>2200.25</v>
      </c>
    </row>
    <row r="1398" customFormat="false" ht="15" hidden="false" customHeight="false" outlineLevel="0" collapsed="false">
      <c r="A1398" s="0" t="n">
        <v>3</v>
      </c>
      <c r="B1398" s="59" t="n">
        <v>46224</v>
      </c>
      <c r="C1398" s="0" t="n">
        <v>11</v>
      </c>
      <c r="D1398" s="0" t="s">
        <v>2126</v>
      </c>
      <c r="E1398" s="0" t="n">
        <v>1625</v>
      </c>
      <c r="F1398" s="0" t="s">
        <v>322</v>
      </c>
      <c r="I1398" s="0" t="n">
        <v>14770</v>
      </c>
      <c r="J1398" s="0" t="n">
        <v>110231</v>
      </c>
      <c r="K1398" s="0" t="n">
        <v>38306</v>
      </c>
      <c r="L1398" s="0" t="s">
        <v>2878</v>
      </c>
      <c r="N1398" s="0" t="n">
        <v>45.6</v>
      </c>
      <c r="O1398" s="60" t="n">
        <v>1482</v>
      </c>
    </row>
    <row r="1399" customFormat="false" ht="15" hidden="false" customHeight="false" outlineLevel="0" collapsed="false">
      <c r="A1399" s="0" t="n">
        <v>3</v>
      </c>
      <c r="B1399" s="59" t="n">
        <v>46224</v>
      </c>
      <c r="C1399" s="0" t="n">
        <v>11</v>
      </c>
      <c r="D1399" s="0" t="s">
        <v>2126</v>
      </c>
      <c r="E1399" s="0" t="n">
        <v>1723</v>
      </c>
      <c r="F1399" s="0" t="s">
        <v>77</v>
      </c>
      <c r="I1399" s="0" t="n">
        <v>173515</v>
      </c>
      <c r="J1399" s="0" t="n">
        <v>29079</v>
      </c>
      <c r="K1399" s="0" t="n">
        <v>55515</v>
      </c>
      <c r="L1399" s="0" t="s">
        <v>2213</v>
      </c>
      <c r="N1399" s="0" t="n">
        <v>222.1</v>
      </c>
      <c r="O1399" s="60" t="n">
        <v>7107.2</v>
      </c>
    </row>
    <row r="1400" customFormat="false" ht="15" hidden="false" customHeight="false" outlineLevel="0" collapsed="false">
      <c r="A1400" s="0" t="n">
        <v>3</v>
      </c>
      <c r="B1400" s="59" t="n">
        <v>46224</v>
      </c>
      <c r="C1400" s="0" t="n">
        <v>11</v>
      </c>
      <c r="D1400" s="0" t="s">
        <v>2126</v>
      </c>
      <c r="E1400" s="0" t="n">
        <v>1723</v>
      </c>
      <c r="F1400" s="0" t="s">
        <v>77</v>
      </c>
      <c r="I1400" s="0" t="n">
        <v>173515</v>
      </c>
      <c r="J1400" s="0" t="n">
        <v>29080</v>
      </c>
      <c r="K1400" s="0" t="n">
        <v>55516</v>
      </c>
      <c r="L1400" s="0" t="s">
        <v>2137</v>
      </c>
      <c r="N1400" s="0" t="n">
        <v>141.2</v>
      </c>
      <c r="O1400" s="60" t="n">
        <v>3106.4</v>
      </c>
    </row>
    <row r="1401" customFormat="false" ht="15" hidden="false" customHeight="false" outlineLevel="0" collapsed="false">
      <c r="A1401" s="0" t="n">
        <v>3</v>
      </c>
      <c r="B1401" s="59" t="n">
        <v>46224</v>
      </c>
      <c r="C1401" s="0" t="n">
        <v>11</v>
      </c>
      <c r="D1401" s="0" t="s">
        <v>2126</v>
      </c>
      <c r="E1401" s="0" t="n">
        <v>1723</v>
      </c>
      <c r="F1401" s="0" t="s">
        <v>77</v>
      </c>
      <c r="I1401" s="0" t="n">
        <v>173515</v>
      </c>
      <c r="J1401" s="0" t="n">
        <v>78040</v>
      </c>
      <c r="K1401" s="0" t="n">
        <v>780414</v>
      </c>
      <c r="L1401" s="0" t="s">
        <v>2393</v>
      </c>
      <c r="N1401" s="0" t="n">
        <v>39.1</v>
      </c>
      <c r="O1401" s="60" t="n">
        <v>742.9</v>
      </c>
    </row>
    <row r="1402" customFormat="false" ht="15" hidden="false" customHeight="false" outlineLevel="0" collapsed="false">
      <c r="A1402" s="0" t="n">
        <v>3</v>
      </c>
      <c r="B1402" s="59" t="n">
        <v>46224</v>
      </c>
      <c r="C1402" s="0" t="n">
        <v>11</v>
      </c>
      <c r="D1402" s="0" t="s">
        <v>2126</v>
      </c>
      <c r="E1402" s="0" t="n">
        <v>1705</v>
      </c>
      <c r="F1402" s="0" t="s">
        <v>123</v>
      </c>
      <c r="I1402" s="0" t="n">
        <v>1211738</v>
      </c>
      <c r="J1402" s="0" t="n">
        <v>103139</v>
      </c>
      <c r="K1402" s="0" t="n">
        <v>7894900051759</v>
      </c>
      <c r="L1402" s="0" t="s">
        <v>2879</v>
      </c>
      <c r="N1402" s="0" t="n">
        <v>18</v>
      </c>
      <c r="O1402" s="60" t="n">
        <v>100.9</v>
      </c>
    </row>
    <row r="1403" customFormat="false" ht="15" hidden="false" customHeight="false" outlineLevel="0" collapsed="false">
      <c r="A1403" s="0" t="n">
        <v>3</v>
      </c>
      <c r="B1403" s="59" t="n">
        <v>46224</v>
      </c>
      <c r="C1403" s="0" t="n">
        <v>11</v>
      </c>
      <c r="D1403" s="0" t="s">
        <v>2126</v>
      </c>
      <c r="E1403" s="0" t="n">
        <v>1705</v>
      </c>
      <c r="F1403" s="0" t="s">
        <v>123</v>
      </c>
      <c r="I1403" s="0" t="n">
        <v>1211738</v>
      </c>
      <c r="J1403" s="0" t="n">
        <v>103140</v>
      </c>
      <c r="K1403" s="0" t="n">
        <v>7894900031751</v>
      </c>
      <c r="L1403" s="0" t="s">
        <v>2880</v>
      </c>
      <c r="N1403" s="0" t="n">
        <v>30</v>
      </c>
      <c r="O1403" s="60" t="n">
        <v>168.16</v>
      </c>
    </row>
    <row r="1404" customFormat="false" ht="15" hidden="false" customHeight="false" outlineLevel="0" collapsed="false">
      <c r="A1404" s="0" t="n">
        <v>3</v>
      </c>
      <c r="B1404" s="59" t="n">
        <v>46224</v>
      </c>
      <c r="C1404" s="0" t="n">
        <v>11</v>
      </c>
      <c r="D1404" s="0" t="s">
        <v>2126</v>
      </c>
      <c r="E1404" s="0" t="n">
        <v>1705</v>
      </c>
      <c r="F1404" s="0" t="s">
        <v>123</v>
      </c>
      <c r="I1404" s="0" t="n">
        <v>1211738</v>
      </c>
      <c r="J1404" s="0" t="n">
        <v>104575</v>
      </c>
      <c r="K1404" s="0" t="n">
        <v>7898341430098</v>
      </c>
      <c r="L1404" s="0" t="s">
        <v>2771</v>
      </c>
      <c r="N1404" s="0" t="n">
        <v>6</v>
      </c>
      <c r="O1404" s="60" t="n">
        <v>46.94</v>
      </c>
    </row>
    <row r="1405" customFormat="false" ht="15" hidden="false" customHeight="false" outlineLevel="0" collapsed="false">
      <c r="A1405" s="0" t="n">
        <v>3</v>
      </c>
      <c r="B1405" s="59" t="n">
        <v>46224</v>
      </c>
      <c r="C1405" s="0" t="n">
        <v>11</v>
      </c>
      <c r="D1405" s="0" t="s">
        <v>2126</v>
      </c>
      <c r="E1405" s="0" t="n">
        <v>1705</v>
      </c>
      <c r="F1405" s="0" t="s">
        <v>123</v>
      </c>
      <c r="I1405" s="0" t="n">
        <v>1211738</v>
      </c>
      <c r="J1405" s="0" t="n">
        <v>104576</v>
      </c>
      <c r="K1405" s="0" t="n">
        <v>7898341430111</v>
      </c>
      <c r="L1405" s="0" t="s">
        <v>2881</v>
      </c>
      <c r="N1405" s="0" t="n">
        <v>6</v>
      </c>
      <c r="O1405" s="60" t="n">
        <v>46.94</v>
      </c>
    </row>
    <row r="1406" customFormat="false" ht="15" hidden="false" customHeight="false" outlineLevel="0" collapsed="false">
      <c r="A1406" s="0" t="n">
        <v>3</v>
      </c>
      <c r="B1406" s="59" t="n">
        <v>46224</v>
      </c>
      <c r="C1406" s="0" t="n">
        <v>11</v>
      </c>
      <c r="D1406" s="0" t="s">
        <v>2126</v>
      </c>
      <c r="E1406" s="0" t="n">
        <v>1705</v>
      </c>
      <c r="F1406" s="0" t="s">
        <v>123</v>
      </c>
      <c r="I1406" s="0" t="n">
        <v>1211738</v>
      </c>
      <c r="J1406" s="0" t="n">
        <v>24662</v>
      </c>
      <c r="K1406" s="0" t="n">
        <v>7897105250019</v>
      </c>
      <c r="L1406" s="0" t="s">
        <v>2882</v>
      </c>
      <c r="N1406" s="0" t="n">
        <v>24</v>
      </c>
      <c r="O1406" s="60" t="n">
        <v>66.78</v>
      </c>
    </row>
    <row r="1407" customFormat="false" ht="15" hidden="false" customHeight="false" outlineLevel="0" collapsed="false">
      <c r="A1407" s="0" t="n">
        <v>3</v>
      </c>
      <c r="B1407" s="59" t="n">
        <v>46224</v>
      </c>
      <c r="C1407" s="0" t="n">
        <v>11</v>
      </c>
      <c r="D1407" s="0" t="s">
        <v>2126</v>
      </c>
      <c r="E1407" s="0" t="n">
        <v>1705</v>
      </c>
      <c r="F1407" s="0" t="s">
        <v>123</v>
      </c>
      <c r="I1407" s="0" t="n">
        <v>1211738</v>
      </c>
      <c r="J1407" s="0" t="n">
        <v>41322</v>
      </c>
      <c r="K1407" s="0" t="n">
        <v>7897105200076</v>
      </c>
      <c r="L1407" s="0" t="s">
        <v>2883</v>
      </c>
      <c r="N1407" s="0" t="n">
        <v>30</v>
      </c>
      <c r="O1407" s="60" t="n">
        <v>101.32</v>
      </c>
    </row>
    <row r="1408" customFormat="false" ht="15" hidden="false" customHeight="false" outlineLevel="0" collapsed="false">
      <c r="A1408" s="0" t="n">
        <v>3</v>
      </c>
      <c r="B1408" s="59" t="n">
        <v>46224</v>
      </c>
      <c r="C1408" s="0" t="n">
        <v>11</v>
      </c>
      <c r="D1408" s="0" t="s">
        <v>2126</v>
      </c>
      <c r="E1408" s="0" t="n">
        <v>1705</v>
      </c>
      <c r="F1408" s="0" t="s">
        <v>123</v>
      </c>
      <c r="I1408" s="0" t="n">
        <v>1211738</v>
      </c>
      <c r="J1408" s="0" t="n">
        <v>61083</v>
      </c>
      <c r="K1408" s="0" t="n">
        <v>7894900503029</v>
      </c>
      <c r="L1408" s="0" t="s">
        <v>2884</v>
      </c>
      <c r="N1408" s="0" t="n">
        <v>6</v>
      </c>
      <c r="O1408" s="60" t="n">
        <v>29.04</v>
      </c>
    </row>
    <row r="1409" customFormat="false" ht="15" hidden="false" customHeight="false" outlineLevel="0" collapsed="false">
      <c r="A1409" s="0" t="n">
        <v>3</v>
      </c>
      <c r="B1409" s="59" t="n">
        <v>46224</v>
      </c>
      <c r="C1409" s="0" t="n">
        <v>11</v>
      </c>
      <c r="D1409" s="0" t="s">
        <v>2126</v>
      </c>
      <c r="E1409" s="0" t="n">
        <v>1705</v>
      </c>
      <c r="F1409" s="0" t="s">
        <v>123</v>
      </c>
      <c r="I1409" s="0" t="n">
        <v>1211738</v>
      </c>
      <c r="J1409" s="0" t="n">
        <v>77914</v>
      </c>
      <c r="K1409" s="0" t="n">
        <v>7894900530001</v>
      </c>
      <c r="L1409" s="0" t="s">
        <v>2568</v>
      </c>
      <c r="N1409" s="0" t="n">
        <v>24</v>
      </c>
      <c r="O1409" s="60" t="n">
        <v>30</v>
      </c>
    </row>
    <row r="1410" customFormat="false" ht="15" hidden="false" customHeight="false" outlineLevel="0" collapsed="false">
      <c r="A1410" s="0" t="n">
        <v>3</v>
      </c>
      <c r="B1410" s="59" t="n">
        <v>46224</v>
      </c>
      <c r="C1410" s="0" t="n">
        <v>11</v>
      </c>
      <c r="D1410" s="0" t="s">
        <v>2126</v>
      </c>
      <c r="E1410" s="0" t="n">
        <v>1705</v>
      </c>
      <c r="F1410" s="0" t="s">
        <v>123</v>
      </c>
      <c r="I1410" s="0" t="n">
        <v>1211738</v>
      </c>
      <c r="J1410" s="0" t="n">
        <v>78351</v>
      </c>
      <c r="K1410" s="0" t="n">
        <v>7894900530032</v>
      </c>
      <c r="L1410" s="0" t="s">
        <v>2569</v>
      </c>
      <c r="N1410" s="0" t="n">
        <v>120</v>
      </c>
      <c r="O1410" s="60" t="n">
        <v>371.41</v>
      </c>
    </row>
    <row r="1411" customFormat="false" ht="15" hidden="false" customHeight="false" outlineLevel="0" collapsed="false">
      <c r="A1411" s="0" t="n">
        <v>3</v>
      </c>
      <c r="B1411" s="59" t="n">
        <v>46224</v>
      </c>
      <c r="C1411" s="0" t="n">
        <v>11</v>
      </c>
      <c r="D1411" s="0" t="s">
        <v>2126</v>
      </c>
      <c r="E1411" s="0" t="n">
        <v>1705</v>
      </c>
      <c r="F1411" s="0" t="s">
        <v>123</v>
      </c>
      <c r="I1411" s="0" t="n">
        <v>1211738</v>
      </c>
      <c r="J1411" s="0" t="n">
        <v>80906</v>
      </c>
      <c r="K1411" s="0" t="n">
        <v>7894900509700</v>
      </c>
      <c r="L1411" s="0" t="s">
        <v>2885</v>
      </c>
      <c r="N1411" s="0" t="n">
        <v>6</v>
      </c>
      <c r="O1411" s="60" t="n">
        <v>29.04</v>
      </c>
    </row>
    <row r="1412" customFormat="false" ht="15" hidden="false" customHeight="false" outlineLevel="0" collapsed="false">
      <c r="A1412" s="0" t="n">
        <v>3</v>
      </c>
      <c r="B1412" s="59" t="n">
        <v>46224</v>
      </c>
      <c r="C1412" s="0" t="n">
        <v>11</v>
      </c>
      <c r="D1412" s="0" t="s">
        <v>2126</v>
      </c>
      <c r="E1412" s="0" t="n">
        <v>1705</v>
      </c>
      <c r="F1412" s="0" t="s">
        <v>123</v>
      </c>
      <c r="I1412" s="0" t="n">
        <v>1946331</v>
      </c>
      <c r="J1412" s="0" t="n">
        <v>30322</v>
      </c>
      <c r="K1412" s="0" t="n">
        <v>7894900681109</v>
      </c>
      <c r="L1412" s="0" t="s">
        <v>2580</v>
      </c>
      <c r="N1412" s="0" t="n">
        <v>18</v>
      </c>
      <c r="O1412" s="60" t="n">
        <v>103.26</v>
      </c>
    </row>
    <row r="1413" customFormat="false" ht="15" hidden="false" customHeight="false" outlineLevel="0" collapsed="false">
      <c r="A1413" s="0" t="n">
        <v>3</v>
      </c>
      <c r="B1413" s="59" t="n">
        <v>46224</v>
      </c>
      <c r="C1413" s="0" t="n">
        <v>11</v>
      </c>
      <c r="D1413" s="0" t="s">
        <v>2126</v>
      </c>
      <c r="E1413" s="0" t="n">
        <v>1705</v>
      </c>
      <c r="F1413" s="0" t="s">
        <v>123</v>
      </c>
      <c r="I1413" s="0" t="n">
        <v>1946331</v>
      </c>
      <c r="J1413" s="0" t="n">
        <v>103142</v>
      </c>
      <c r="K1413" s="0" t="n">
        <v>7894900011753</v>
      </c>
      <c r="L1413" s="0" t="s">
        <v>2581</v>
      </c>
      <c r="N1413" s="0" t="n">
        <v>90</v>
      </c>
      <c r="O1413" s="60" t="n">
        <v>567.1</v>
      </c>
    </row>
    <row r="1414" customFormat="false" ht="15" hidden="false" customHeight="false" outlineLevel="0" collapsed="false">
      <c r="A1414" s="0" t="n">
        <v>3</v>
      </c>
      <c r="B1414" s="59" t="n">
        <v>46224</v>
      </c>
      <c r="C1414" s="0" t="n">
        <v>11</v>
      </c>
      <c r="D1414" s="0" t="s">
        <v>2126</v>
      </c>
      <c r="E1414" s="0" t="n">
        <v>1705</v>
      </c>
      <c r="F1414" s="0" t="s">
        <v>123</v>
      </c>
      <c r="I1414" s="0" t="n">
        <v>1946331</v>
      </c>
      <c r="J1414" s="0" t="n">
        <v>103146</v>
      </c>
      <c r="K1414" s="0" t="n">
        <v>7894900031515</v>
      </c>
      <c r="L1414" s="0" t="s">
        <v>2583</v>
      </c>
      <c r="N1414" s="0" t="n">
        <v>30</v>
      </c>
      <c r="O1414" s="60" t="n">
        <v>222.91</v>
      </c>
    </row>
    <row r="1415" customFormat="false" ht="15" hidden="false" customHeight="false" outlineLevel="0" collapsed="false">
      <c r="A1415" s="0" t="n">
        <v>3</v>
      </c>
      <c r="B1415" s="59" t="n">
        <v>46224</v>
      </c>
      <c r="C1415" s="0" t="n">
        <v>11</v>
      </c>
      <c r="D1415" s="0" t="s">
        <v>2126</v>
      </c>
      <c r="E1415" s="0" t="n">
        <v>1705</v>
      </c>
      <c r="F1415" s="0" t="s">
        <v>123</v>
      </c>
      <c r="I1415" s="0" t="n">
        <v>1946331</v>
      </c>
      <c r="J1415" s="0" t="n">
        <v>103160</v>
      </c>
      <c r="K1415" s="0" t="n">
        <v>7894900030013</v>
      </c>
      <c r="L1415" s="0" t="s">
        <v>2563</v>
      </c>
      <c r="N1415" s="0" t="n">
        <v>36</v>
      </c>
      <c r="O1415" s="60" t="n">
        <v>100.9</v>
      </c>
    </row>
    <row r="1416" customFormat="false" ht="15" hidden="false" customHeight="false" outlineLevel="0" collapsed="false">
      <c r="A1416" s="0" t="n">
        <v>3</v>
      </c>
      <c r="B1416" s="59" t="n">
        <v>46224</v>
      </c>
      <c r="C1416" s="0" t="n">
        <v>11</v>
      </c>
      <c r="D1416" s="0" t="s">
        <v>2126</v>
      </c>
      <c r="E1416" s="0" t="n">
        <v>1705</v>
      </c>
      <c r="F1416" s="0" t="s">
        <v>123</v>
      </c>
      <c r="I1416" s="0" t="n">
        <v>1946331</v>
      </c>
      <c r="J1416" s="0" t="n">
        <v>105323</v>
      </c>
      <c r="K1416" s="0" t="n">
        <v>7894900701753</v>
      </c>
      <c r="L1416" s="0" t="s">
        <v>2586</v>
      </c>
      <c r="N1416" s="0" t="n">
        <v>60</v>
      </c>
      <c r="O1416" s="60" t="n">
        <v>362.34</v>
      </c>
    </row>
    <row r="1417" customFormat="false" ht="15" hidden="false" customHeight="false" outlineLevel="0" collapsed="false">
      <c r="A1417" s="0" t="n">
        <v>3</v>
      </c>
      <c r="B1417" s="59" t="n">
        <v>46224</v>
      </c>
      <c r="C1417" s="0" t="n">
        <v>11</v>
      </c>
      <c r="D1417" s="0" t="s">
        <v>2126</v>
      </c>
      <c r="E1417" s="0" t="n">
        <v>1705</v>
      </c>
      <c r="F1417" s="0" t="s">
        <v>123</v>
      </c>
      <c r="I1417" s="0" t="n">
        <v>1946331</v>
      </c>
      <c r="J1417" s="0" t="n">
        <v>105631</v>
      </c>
      <c r="K1417" s="0" t="n">
        <v>7894900011609</v>
      </c>
      <c r="L1417" s="0" t="s">
        <v>2587</v>
      </c>
      <c r="N1417" s="0" t="n">
        <v>48</v>
      </c>
      <c r="O1417" s="60" t="n">
        <v>195.99</v>
      </c>
    </row>
    <row r="1418" customFormat="false" ht="15" hidden="false" customHeight="false" outlineLevel="0" collapsed="false">
      <c r="A1418" s="0" t="n">
        <v>3</v>
      </c>
      <c r="B1418" s="59" t="n">
        <v>46224</v>
      </c>
      <c r="C1418" s="0" t="n">
        <v>11</v>
      </c>
      <c r="D1418" s="0" t="s">
        <v>2126</v>
      </c>
      <c r="E1418" s="0" t="n">
        <v>1705</v>
      </c>
      <c r="F1418" s="0" t="s">
        <v>123</v>
      </c>
      <c r="I1418" s="0" t="n">
        <v>1946331</v>
      </c>
      <c r="J1418" s="0" t="n">
        <v>10830</v>
      </c>
      <c r="K1418" s="0" t="n">
        <v>7894900701517</v>
      </c>
      <c r="L1418" s="0" t="s">
        <v>2589</v>
      </c>
      <c r="N1418" s="0" t="n">
        <v>60</v>
      </c>
      <c r="O1418" s="60" t="n">
        <v>508.72</v>
      </c>
    </row>
    <row r="1419" customFormat="false" ht="15" hidden="false" customHeight="false" outlineLevel="0" collapsed="false">
      <c r="A1419" s="0" t="n">
        <v>3</v>
      </c>
      <c r="B1419" s="59" t="n">
        <v>46224</v>
      </c>
      <c r="C1419" s="0" t="n">
        <v>11</v>
      </c>
      <c r="D1419" s="0" t="s">
        <v>2126</v>
      </c>
      <c r="E1419" s="0" t="n">
        <v>1705</v>
      </c>
      <c r="F1419" s="0" t="s">
        <v>123</v>
      </c>
      <c r="I1419" s="0" t="n">
        <v>1946331</v>
      </c>
      <c r="J1419" s="0" t="n">
        <v>21426</v>
      </c>
      <c r="K1419" s="0" t="n">
        <v>7894900014211</v>
      </c>
      <c r="L1419" s="0" t="s">
        <v>2591</v>
      </c>
      <c r="N1419" s="0" t="n">
        <v>108</v>
      </c>
      <c r="O1419" s="60" t="n">
        <v>712.09</v>
      </c>
    </row>
    <row r="1420" customFormat="false" ht="15" hidden="false" customHeight="false" outlineLevel="0" collapsed="false">
      <c r="A1420" s="0" t="n">
        <v>3</v>
      </c>
      <c r="B1420" s="59" t="n">
        <v>46224</v>
      </c>
      <c r="C1420" s="0" t="n">
        <v>11</v>
      </c>
      <c r="D1420" s="0" t="s">
        <v>2126</v>
      </c>
      <c r="E1420" s="0" t="n">
        <v>1705</v>
      </c>
      <c r="F1420" s="0" t="s">
        <v>123</v>
      </c>
      <c r="I1420" s="0" t="n">
        <v>1946331</v>
      </c>
      <c r="J1420" s="0" t="n">
        <v>28739</v>
      </c>
      <c r="K1420" s="0" t="n">
        <v>7894900027044</v>
      </c>
      <c r="L1420" s="0" t="s">
        <v>2593</v>
      </c>
      <c r="N1420" s="0" t="n">
        <v>60</v>
      </c>
      <c r="O1420" s="60" t="n">
        <v>336.33</v>
      </c>
    </row>
    <row r="1421" customFormat="false" ht="15" hidden="false" customHeight="false" outlineLevel="0" collapsed="false">
      <c r="A1421" s="0" t="n">
        <v>3</v>
      </c>
      <c r="B1421" s="59" t="n">
        <v>46224</v>
      </c>
      <c r="C1421" s="0" t="n">
        <v>11</v>
      </c>
      <c r="D1421" s="0" t="s">
        <v>2126</v>
      </c>
      <c r="E1421" s="0" t="n">
        <v>1705</v>
      </c>
      <c r="F1421" s="0" t="s">
        <v>123</v>
      </c>
      <c r="I1421" s="0" t="n">
        <v>1946331</v>
      </c>
      <c r="J1421" s="0" t="n">
        <v>29826</v>
      </c>
      <c r="K1421" s="0" t="n">
        <v>7894900556032</v>
      </c>
      <c r="L1421" s="0" t="s">
        <v>2886</v>
      </c>
      <c r="N1421" s="0" t="n">
        <v>18</v>
      </c>
      <c r="O1421" s="60" t="n">
        <v>88.74</v>
      </c>
    </row>
    <row r="1422" customFormat="false" ht="15" hidden="false" customHeight="false" outlineLevel="0" collapsed="false">
      <c r="A1422" s="0" t="n">
        <v>3</v>
      </c>
      <c r="B1422" s="59" t="n">
        <v>46224</v>
      </c>
      <c r="C1422" s="0" t="n">
        <v>11</v>
      </c>
      <c r="D1422" s="0" t="s">
        <v>2126</v>
      </c>
      <c r="E1422" s="0" t="n">
        <v>1705</v>
      </c>
      <c r="F1422" s="0" t="s">
        <v>123</v>
      </c>
      <c r="I1422" s="0" t="n">
        <v>1946331</v>
      </c>
      <c r="J1422" s="0" t="n">
        <v>30085</v>
      </c>
      <c r="K1422" s="0" t="n">
        <v>7894900054217</v>
      </c>
      <c r="L1422" s="0" t="s">
        <v>2595</v>
      </c>
      <c r="N1422" s="0" t="n">
        <v>18</v>
      </c>
      <c r="O1422" s="60" t="n">
        <v>103.26</v>
      </c>
    </row>
    <row r="1423" customFormat="false" ht="15" hidden="false" customHeight="false" outlineLevel="0" collapsed="false">
      <c r="A1423" s="0" t="n">
        <v>3</v>
      </c>
      <c r="B1423" s="59" t="n">
        <v>46224</v>
      </c>
      <c r="C1423" s="0" t="n">
        <v>11</v>
      </c>
      <c r="D1423" s="0" t="s">
        <v>2126</v>
      </c>
      <c r="E1423" s="0" t="n">
        <v>1705</v>
      </c>
      <c r="F1423" s="0" t="s">
        <v>123</v>
      </c>
      <c r="I1423" s="0" t="n">
        <v>1946331</v>
      </c>
      <c r="J1423" s="0" t="n">
        <v>31367</v>
      </c>
      <c r="K1423" s="0" t="n">
        <v>7894900704211</v>
      </c>
      <c r="L1423" s="0" t="s">
        <v>2596</v>
      </c>
      <c r="N1423" s="0" t="n">
        <v>54</v>
      </c>
      <c r="O1423" s="60" t="n">
        <v>309.77</v>
      </c>
    </row>
    <row r="1424" customFormat="false" ht="15" hidden="false" customHeight="false" outlineLevel="0" collapsed="false">
      <c r="A1424" s="0" t="n">
        <v>3</v>
      </c>
      <c r="B1424" s="59" t="n">
        <v>46224</v>
      </c>
      <c r="C1424" s="0" t="n">
        <v>11</v>
      </c>
      <c r="D1424" s="0" t="s">
        <v>2126</v>
      </c>
      <c r="E1424" s="0" t="n">
        <v>1705</v>
      </c>
      <c r="F1424" s="0" t="s">
        <v>123</v>
      </c>
      <c r="I1424" s="0" t="n">
        <v>1946331</v>
      </c>
      <c r="J1424" s="0" t="n">
        <v>32339</v>
      </c>
      <c r="K1424" s="0" t="n">
        <v>7894900681000</v>
      </c>
      <c r="L1424" s="0" t="s">
        <v>2598</v>
      </c>
      <c r="N1424" s="0" t="n">
        <v>12</v>
      </c>
      <c r="O1424" s="60" t="n">
        <v>89.16</v>
      </c>
    </row>
    <row r="1425" customFormat="false" ht="15" hidden="false" customHeight="false" outlineLevel="0" collapsed="false">
      <c r="A1425" s="0" t="n">
        <v>3</v>
      </c>
      <c r="B1425" s="59" t="n">
        <v>46224</v>
      </c>
      <c r="C1425" s="0" t="n">
        <v>11</v>
      </c>
      <c r="D1425" s="0" t="s">
        <v>2126</v>
      </c>
      <c r="E1425" s="0" t="n">
        <v>1705</v>
      </c>
      <c r="F1425" s="0" t="s">
        <v>123</v>
      </c>
      <c r="I1425" s="0" t="n">
        <v>1946331</v>
      </c>
      <c r="J1425" s="0" t="n">
        <v>37279</v>
      </c>
      <c r="K1425" s="0" t="n">
        <v>7894900027013</v>
      </c>
      <c r="L1425" s="0" t="s">
        <v>2581</v>
      </c>
      <c r="N1425" s="0" t="n">
        <v>120</v>
      </c>
      <c r="O1425" s="60" t="n">
        <v>1048.9</v>
      </c>
    </row>
    <row r="1426" customFormat="false" ht="15" hidden="false" customHeight="false" outlineLevel="0" collapsed="false">
      <c r="A1426" s="0" t="n">
        <v>3</v>
      </c>
      <c r="B1426" s="59" t="n">
        <v>46224</v>
      </c>
      <c r="C1426" s="0" t="n">
        <v>11</v>
      </c>
      <c r="D1426" s="0" t="s">
        <v>2126</v>
      </c>
      <c r="E1426" s="0" t="n">
        <v>1705</v>
      </c>
      <c r="F1426" s="0" t="s">
        <v>123</v>
      </c>
      <c r="I1426" s="0" t="n">
        <v>1946331</v>
      </c>
      <c r="J1426" s="0" t="n">
        <v>38984</v>
      </c>
      <c r="K1426" s="0" t="n">
        <v>7894900027457</v>
      </c>
      <c r="L1426" s="0" t="s">
        <v>2779</v>
      </c>
      <c r="N1426" s="0" t="n">
        <v>24</v>
      </c>
      <c r="O1426" s="60" t="n">
        <v>89.77</v>
      </c>
    </row>
    <row r="1427" customFormat="false" ht="15" hidden="false" customHeight="false" outlineLevel="0" collapsed="false">
      <c r="A1427" s="0" t="n">
        <v>3</v>
      </c>
      <c r="B1427" s="59" t="n">
        <v>46224</v>
      </c>
      <c r="C1427" s="0" t="n">
        <v>22</v>
      </c>
      <c r="D1427" s="0" t="s">
        <v>2172</v>
      </c>
      <c r="E1427" s="0" t="n">
        <v>42</v>
      </c>
      <c r="F1427" s="0" t="s">
        <v>81</v>
      </c>
      <c r="I1427" s="0" t="n">
        <v>4401</v>
      </c>
      <c r="J1427" s="0" t="n">
        <v>100000</v>
      </c>
      <c r="K1427" s="0" t="n">
        <v>1</v>
      </c>
      <c r="L1427" s="0" t="s">
        <v>2173</v>
      </c>
      <c r="N1427" s="0" t="n">
        <v>4.446</v>
      </c>
      <c r="O1427" s="60" t="n">
        <v>93.22</v>
      </c>
    </row>
    <row r="1428" customFormat="false" ht="15" hidden="false" customHeight="false" outlineLevel="0" collapsed="false">
      <c r="A1428" s="0" t="n">
        <v>3</v>
      </c>
      <c r="B1428" s="59" t="n">
        <v>46224</v>
      </c>
      <c r="C1428" s="0" t="n">
        <v>22</v>
      </c>
      <c r="D1428" s="0" t="s">
        <v>2172</v>
      </c>
      <c r="E1428" s="0" t="n">
        <v>42</v>
      </c>
      <c r="F1428" s="0" t="s">
        <v>81</v>
      </c>
      <c r="I1428" s="0" t="n">
        <v>4401</v>
      </c>
      <c r="J1428" s="0" t="n">
        <v>100001</v>
      </c>
      <c r="K1428" s="0" t="n">
        <v>2</v>
      </c>
      <c r="L1428" s="0" t="s">
        <v>2174</v>
      </c>
      <c r="N1428" s="0" t="n">
        <v>23.328</v>
      </c>
      <c r="O1428" s="60" t="n">
        <v>522.86</v>
      </c>
    </row>
    <row r="1429" customFormat="false" ht="15" hidden="false" customHeight="false" outlineLevel="0" collapsed="false">
      <c r="A1429" s="0" t="n">
        <v>3</v>
      </c>
      <c r="B1429" s="59" t="n">
        <v>46224</v>
      </c>
      <c r="C1429" s="0" t="n">
        <v>22</v>
      </c>
      <c r="D1429" s="0" t="s">
        <v>2172</v>
      </c>
      <c r="E1429" s="0" t="n">
        <v>42</v>
      </c>
      <c r="F1429" s="0" t="s">
        <v>81</v>
      </c>
      <c r="I1429" s="0" t="n">
        <v>4401</v>
      </c>
      <c r="J1429" s="0" t="n">
        <v>100002</v>
      </c>
      <c r="K1429" s="0" t="n">
        <v>3</v>
      </c>
      <c r="L1429" s="0" t="s">
        <v>2175</v>
      </c>
      <c r="N1429" s="0" t="n">
        <v>50.65</v>
      </c>
      <c r="O1429" s="60" t="n">
        <v>1171.86</v>
      </c>
    </row>
    <row r="1430" customFormat="false" ht="15" hidden="false" customHeight="false" outlineLevel="0" collapsed="false">
      <c r="A1430" s="0" t="n">
        <v>3</v>
      </c>
      <c r="B1430" s="59" t="n">
        <v>46224</v>
      </c>
      <c r="C1430" s="0" t="n">
        <v>22</v>
      </c>
      <c r="D1430" s="0" t="s">
        <v>2172</v>
      </c>
      <c r="E1430" s="0" t="n">
        <v>42</v>
      </c>
      <c r="F1430" s="0" t="s">
        <v>81</v>
      </c>
      <c r="I1430" s="0" t="n">
        <v>4401</v>
      </c>
      <c r="J1430" s="0" t="n">
        <v>100003</v>
      </c>
      <c r="K1430" s="0" t="n">
        <v>4</v>
      </c>
      <c r="L1430" s="0" t="s">
        <v>2176</v>
      </c>
      <c r="N1430" s="0" t="n">
        <v>37.16</v>
      </c>
      <c r="O1430" s="60" t="n">
        <v>940.38</v>
      </c>
    </row>
    <row r="1431" customFormat="false" ht="15" hidden="false" customHeight="false" outlineLevel="0" collapsed="false">
      <c r="A1431" s="0" t="n">
        <v>3</v>
      </c>
      <c r="B1431" s="59" t="n">
        <v>46224</v>
      </c>
      <c r="C1431" s="0" t="n">
        <v>22</v>
      </c>
      <c r="D1431" s="0" t="s">
        <v>2172</v>
      </c>
      <c r="E1431" s="0" t="n">
        <v>42</v>
      </c>
      <c r="F1431" s="0" t="s">
        <v>81</v>
      </c>
      <c r="I1431" s="0" t="n">
        <v>4401</v>
      </c>
      <c r="J1431" s="0" t="n">
        <v>100004</v>
      </c>
      <c r="K1431" s="0" t="n">
        <v>5</v>
      </c>
      <c r="L1431" s="0" t="s">
        <v>2411</v>
      </c>
      <c r="N1431" s="0" t="n">
        <v>31.88</v>
      </c>
      <c r="O1431" s="60" t="n">
        <v>561.02</v>
      </c>
    </row>
    <row r="1432" customFormat="false" ht="15" hidden="false" customHeight="false" outlineLevel="0" collapsed="false">
      <c r="A1432" s="0" t="n">
        <v>3</v>
      </c>
      <c r="B1432" s="59" t="n">
        <v>46224</v>
      </c>
      <c r="C1432" s="0" t="n">
        <v>22</v>
      </c>
      <c r="D1432" s="0" t="s">
        <v>2172</v>
      </c>
      <c r="E1432" s="0" t="n">
        <v>42</v>
      </c>
      <c r="F1432" s="0" t="s">
        <v>81</v>
      </c>
      <c r="I1432" s="0" t="n">
        <v>4401</v>
      </c>
      <c r="J1432" s="0" t="n">
        <v>100006</v>
      </c>
      <c r="K1432" s="0" t="n">
        <v>7</v>
      </c>
      <c r="L1432" s="0" t="s">
        <v>2228</v>
      </c>
      <c r="N1432" s="0" t="n">
        <v>21.899</v>
      </c>
      <c r="O1432" s="60" t="n">
        <v>727.36</v>
      </c>
    </row>
    <row r="1433" customFormat="false" ht="15" hidden="false" customHeight="false" outlineLevel="0" collapsed="false">
      <c r="A1433" s="0" t="n">
        <v>3</v>
      </c>
      <c r="B1433" s="59" t="n">
        <v>46224</v>
      </c>
      <c r="C1433" s="0" t="n">
        <v>22</v>
      </c>
      <c r="D1433" s="0" t="s">
        <v>2172</v>
      </c>
      <c r="E1433" s="0" t="n">
        <v>42</v>
      </c>
      <c r="F1433" s="0" t="s">
        <v>81</v>
      </c>
      <c r="I1433" s="0" t="n">
        <v>4401</v>
      </c>
      <c r="J1433" s="0" t="n">
        <v>100007</v>
      </c>
      <c r="K1433" s="0" t="n">
        <v>8</v>
      </c>
      <c r="L1433" s="0" t="s">
        <v>2177</v>
      </c>
      <c r="N1433" s="0" t="n">
        <v>14.634</v>
      </c>
      <c r="O1433" s="60" t="n">
        <v>359.75</v>
      </c>
    </row>
    <row r="1434" customFormat="false" ht="15" hidden="false" customHeight="false" outlineLevel="0" collapsed="false">
      <c r="A1434" s="0" t="n">
        <v>3</v>
      </c>
      <c r="B1434" s="59" t="n">
        <v>46224</v>
      </c>
      <c r="C1434" s="0" t="n">
        <v>22</v>
      </c>
      <c r="D1434" s="0" t="s">
        <v>2172</v>
      </c>
      <c r="E1434" s="0" t="n">
        <v>42</v>
      </c>
      <c r="F1434" s="0" t="s">
        <v>81</v>
      </c>
      <c r="I1434" s="0" t="n">
        <v>4401</v>
      </c>
      <c r="J1434" s="0" t="n">
        <v>100008</v>
      </c>
      <c r="K1434" s="0" t="n">
        <v>9</v>
      </c>
      <c r="L1434" s="0" t="s">
        <v>2229</v>
      </c>
      <c r="N1434" s="0" t="n">
        <v>41.875</v>
      </c>
      <c r="O1434" s="60" t="n">
        <v>1425.63</v>
      </c>
    </row>
    <row r="1435" customFormat="false" ht="15" hidden="false" customHeight="false" outlineLevel="0" collapsed="false">
      <c r="A1435" s="0" t="n">
        <v>3</v>
      </c>
      <c r="B1435" s="59" t="n">
        <v>46224</v>
      </c>
      <c r="C1435" s="0" t="n">
        <v>22</v>
      </c>
      <c r="D1435" s="0" t="s">
        <v>2172</v>
      </c>
      <c r="E1435" s="0" t="n">
        <v>42</v>
      </c>
      <c r="F1435" s="0" t="s">
        <v>81</v>
      </c>
      <c r="I1435" s="0" t="n">
        <v>4401</v>
      </c>
      <c r="J1435" s="0" t="n">
        <v>100010</v>
      </c>
      <c r="K1435" s="0" t="n">
        <v>11</v>
      </c>
      <c r="L1435" s="0" t="s">
        <v>2230</v>
      </c>
      <c r="N1435" s="0" t="n">
        <v>8.902</v>
      </c>
      <c r="O1435" s="60" t="n">
        <v>347.43</v>
      </c>
    </row>
    <row r="1436" customFormat="false" ht="15" hidden="false" customHeight="false" outlineLevel="0" collapsed="false">
      <c r="A1436" s="0" t="n">
        <v>3</v>
      </c>
      <c r="B1436" s="59" t="n">
        <v>46224</v>
      </c>
      <c r="C1436" s="0" t="n">
        <v>22</v>
      </c>
      <c r="D1436" s="0" t="s">
        <v>2172</v>
      </c>
      <c r="E1436" s="0" t="n">
        <v>42</v>
      </c>
      <c r="F1436" s="0" t="s">
        <v>81</v>
      </c>
      <c r="I1436" s="0" t="n">
        <v>4401</v>
      </c>
      <c r="J1436" s="0" t="n">
        <v>100011</v>
      </c>
      <c r="K1436" s="0" t="n">
        <v>12</v>
      </c>
      <c r="L1436" s="0" t="s">
        <v>2231</v>
      </c>
      <c r="N1436" s="0" t="n">
        <v>19.669</v>
      </c>
      <c r="O1436" s="60" t="n">
        <v>767.65</v>
      </c>
    </row>
    <row r="1437" customFormat="false" ht="15" hidden="false" customHeight="false" outlineLevel="0" collapsed="false">
      <c r="A1437" s="0" t="n">
        <v>3</v>
      </c>
      <c r="B1437" s="59" t="n">
        <v>46224</v>
      </c>
      <c r="C1437" s="0" t="n">
        <v>22</v>
      </c>
      <c r="D1437" s="0" t="s">
        <v>2172</v>
      </c>
      <c r="E1437" s="0" t="n">
        <v>42</v>
      </c>
      <c r="F1437" s="0" t="s">
        <v>81</v>
      </c>
      <c r="I1437" s="0" t="n">
        <v>4401</v>
      </c>
      <c r="J1437" s="0" t="n">
        <v>100012</v>
      </c>
      <c r="K1437" s="0" t="n">
        <v>13</v>
      </c>
      <c r="L1437" s="0" t="s">
        <v>2232</v>
      </c>
      <c r="N1437" s="0" t="n">
        <v>17.173</v>
      </c>
      <c r="O1437" s="60" t="n">
        <v>727.29</v>
      </c>
    </row>
    <row r="1438" customFormat="false" ht="15" hidden="false" customHeight="false" outlineLevel="0" collapsed="false">
      <c r="A1438" s="0" t="n">
        <v>3</v>
      </c>
      <c r="B1438" s="59" t="n">
        <v>46224</v>
      </c>
      <c r="C1438" s="0" t="n">
        <v>22</v>
      </c>
      <c r="D1438" s="0" t="s">
        <v>2172</v>
      </c>
      <c r="E1438" s="0" t="n">
        <v>42</v>
      </c>
      <c r="F1438" s="0" t="s">
        <v>81</v>
      </c>
      <c r="I1438" s="0" t="n">
        <v>4401</v>
      </c>
      <c r="J1438" s="0" t="n">
        <v>100013</v>
      </c>
      <c r="K1438" s="0" t="n">
        <v>14</v>
      </c>
      <c r="L1438" s="0" t="s">
        <v>2233</v>
      </c>
      <c r="N1438" s="0" t="n">
        <v>32.84</v>
      </c>
      <c r="O1438" s="60" t="n">
        <v>1499.9</v>
      </c>
    </row>
    <row r="1439" customFormat="false" ht="15" hidden="false" customHeight="false" outlineLevel="0" collapsed="false">
      <c r="A1439" s="0" t="n">
        <v>3</v>
      </c>
      <c r="B1439" s="59" t="n">
        <v>46224</v>
      </c>
      <c r="C1439" s="0" t="n">
        <v>22</v>
      </c>
      <c r="D1439" s="0" t="s">
        <v>2172</v>
      </c>
      <c r="E1439" s="0" t="n">
        <v>42</v>
      </c>
      <c r="F1439" s="0" t="s">
        <v>81</v>
      </c>
      <c r="I1439" s="0" t="n">
        <v>4401</v>
      </c>
      <c r="J1439" s="0" t="n">
        <v>100014</v>
      </c>
      <c r="K1439" s="0" t="n">
        <v>15</v>
      </c>
      <c r="L1439" s="0" t="s">
        <v>2234</v>
      </c>
      <c r="N1439" s="0" t="n">
        <v>13.062</v>
      </c>
      <c r="O1439" s="60" t="n">
        <v>607.43</v>
      </c>
    </row>
    <row r="1440" customFormat="false" ht="15" hidden="false" customHeight="false" outlineLevel="0" collapsed="false">
      <c r="A1440" s="0" t="n">
        <v>3</v>
      </c>
      <c r="B1440" s="59" t="n">
        <v>46224</v>
      </c>
      <c r="C1440" s="0" t="n">
        <v>22</v>
      </c>
      <c r="D1440" s="0" t="s">
        <v>2172</v>
      </c>
      <c r="E1440" s="0" t="n">
        <v>42</v>
      </c>
      <c r="F1440" s="0" t="s">
        <v>81</v>
      </c>
      <c r="I1440" s="0" t="n">
        <v>4401</v>
      </c>
      <c r="J1440" s="0" t="n">
        <v>100015</v>
      </c>
      <c r="K1440" s="0" t="n">
        <v>16</v>
      </c>
      <c r="L1440" s="0" t="s">
        <v>2235</v>
      </c>
      <c r="N1440" s="0" t="n">
        <v>4.429</v>
      </c>
      <c r="O1440" s="60" t="n">
        <v>187.57</v>
      </c>
    </row>
    <row r="1441" customFormat="false" ht="15" hidden="false" customHeight="false" outlineLevel="0" collapsed="false">
      <c r="A1441" s="0" t="n">
        <v>3</v>
      </c>
      <c r="B1441" s="59" t="n">
        <v>46224</v>
      </c>
      <c r="C1441" s="0" t="n">
        <v>22</v>
      </c>
      <c r="D1441" s="0" t="s">
        <v>2172</v>
      </c>
      <c r="E1441" s="0" t="n">
        <v>42</v>
      </c>
      <c r="F1441" s="0" t="s">
        <v>81</v>
      </c>
      <c r="I1441" s="0" t="n">
        <v>4401</v>
      </c>
      <c r="J1441" s="0" t="n">
        <v>100016</v>
      </c>
      <c r="K1441" s="0" t="n">
        <v>17</v>
      </c>
      <c r="L1441" s="0" t="s">
        <v>2236</v>
      </c>
      <c r="N1441" s="0" t="n">
        <v>6.15</v>
      </c>
      <c r="O1441" s="60" t="n">
        <v>280.89</v>
      </c>
    </row>
    <row r="1442" customFormat="false" ht="15" hidden="false" customHeight="false" outlineLevel="0" collapsed="false">
      <c r="A1442" s="0" t="n">
        <v>3</v>
      </c>
      <c r="B1442" s="59" t="n">
        <v>46224</v>
      </c>
      <c r="C1442" s="0" t="n">
        <v>22</v>
      </c>
      <c r="D1442" s="0" t="s">
        <v>2172</v>
      </c>
      <c r="E1442" s="0" t="n">
        <v>42</v>
      </c>
      <c r="F1442" s="0" t="s">
        <v>81</v>
      </c>
      <c r="I1442" s="0" t="n">
        <v>4401</v>
      </c>
      <c r="J1442" s="0" t="n">
        <v>100017</v>
      </c>
      <c r="K1442" s="0" t="n">
        <v>18</v>
      </c>
      <c r="L1442" s="0" t="s">
        <v>2237</v>
      </c>
      <c r="N1442" s="0" t="n">
        <v>4.846</v>
      </c>
      <c r="O1442" s="60" t="n">
        <v>261.58</v>
      </c>
    </row>
    <row r="1443" customFormat="false" ht="15" hidden="false" customHeight="false" outlineLevel="0" collapsed="false">
      <c r="A1443" s="0" t="n">
        <v>3</v>
      </c>
      <c r="B1443" s="59" t="n">
        <v>46224</v>
      </c>
      <c r="C1443" s="0" t="n">
        <v>22</v>
      </c>
      <c r="D1443" s="0" t="s">
        <v>2172</v>
      </c>
      <c r="E1443" s="0" t="n">
        <v>42</v>
      </c>
      <c r="F1443" s="0" t="s">
        <v>81</v>
      </c>
      <c r="I1443" s="0" t="n">
        <v>4401</v>
      </c>
      <c r="J1443" s="0" t="n">
        <v>100020</v>
      </c>
      <c r="K1443" s="0" t="n">
        <v>21</v>
      </c>
      <c r="L1443" s="0" t="s">
        <v>2337</v>
      </c>
      <c r="N1443" s="0" t="n">
        <v>5.736</v>
      </c>
      <c r="O1443" s="60" t="n">
        <v>179.97</v>
      </c>
    </row>
    <row r="1444" customFormat="false" ht="15" hidden="false" customHeight="false" outlineLevel="0" collapsed="false">
      <c r="A1444" s="0" t="n">
        <v>3</v>
      </c>
      <c r="B1444" s="59" t="n">
        <v>46224</v>
      </c>
      <c r="C1444" s="0" t="n">
        <v>22</v>
      </c>
      <c r="D1444" s="0" t="s">
        <v>2172</v>
      </c>
      <c r="E1444" s="0" t="n">
        <v>42</v>
      </c>
      <c r="F1444" s="0" t="s">
        <v>81</v>
      </c>
      <c r="I1444" s="0" t="n">
        <v>4401</v>
      </c>
      <c r="J1444" s="0" t="n">
        <v>100053</v>
      </c>
      <c r="K1444" s="0" t="n">
        <v>54</v>
      </c>
      <c r="L1444" s="0" t="s">
        <v>2238</v>
      </c>
      <c r="N1444" s="0" t="n">
        <v>4.553</v>
      </c>
      <c r="O1444" s="60" t="n">
        <v>170.13</v>
      </c>
    </row>
    <row r="1445" customFormat="false" ht="15" hidden="false" customHeight="false" outlineLevel="0" collapsed="false">
      <c r="A1445" s="0" t="n">
        <v>3</v>
      </c>
      <c r="B1445" s="59" t="n">
        <v>46224</v>
      </c>
      <c r="C1445" s="0" t="n">
        <v>22</v>
      </c>
      <c r="D1445" s="0" t="s">
        <v>2172</v>
      </c>
      <c r="E1445" s="0" t="n">
        <v>42</v>
      </c>
      <c r="F1445" s="0" t="s">
        <v>81</v>
      </c>
      <c r="I1445" s="0" t="n">
        <v>4401</v>
      </c>
      <c r="J1445" s="0" t="n">
        <v>100638</v>
      </c>
      <c r="K1445" s="0" t="n">
        <v>508</v>
      </c>
      <c r="L1445" s="0" t="s">
        <v>2178</v>
      </c>
      <c r="N1445" s="0" t="n">
        <v>7.776</v>
      </c>
      <c r="O1445" s="60" t="n">
        <v>12.85</v>
      </c>
    </row>
    <row r="1446" customFormat="false" ht="15" hidden="false" customHeight="false" outlineLevel="0" collapsed="false">
      <c r="A1446" s="0" t="n">
        <v>3</v>
      </c>
      <c r="B1446" s="59" t="n">
        <v>46224</v>
      </c>
      <c r="C1446" s="0" t="n">
        <v>22</v>
      </c>
      <c r="D1446" s="0" t="s">
        <v>2172</v>
      </c>
      <c r="E1446" s="0" t="n">
        <v>42</v>
      </c>
      <c r="F1446" s="0" t="s">
        <v>81</v>
      </c>
      <c r="I1446" s="0" t="n">
        <v>4401</v>
      </c>
      <c r="J1446" s="0" t="n">
        <v>100638</v>
      </c>
      <c r="K1446" s="0" t="n">
        <v>508</v>
      </c>
      <c r="L1446" s="0" t="s">
        <v>2178</v>
      </c>
      <c r="N1446" s="0" t="n">
        <v>4.153</v>
      </c>
      <c r="O1446" s="60" t="n">
        <v>5.98</v>
      </c>
    </row>
    <row r="1447" customFormat="false" ht="15" hidden="false" customHeight="false" outlineLevel="0" collapsed="false">
      <c r="A1447" s="0" t="n">
        <v>3</v>
      </c>
      <c r="B1447" s="59" t="n">
        <v>46224</v>
      </c>
      <c r="C1447" s="0" t="n">
        <v>22</v>
      </c>
      <c r="D1447" s="0" t="s">
        <v>2172</v>
      </c>
      <c r="E1447" s="0" t="n">
        <v>42</v>
      </c>
      <c r="F1447" s="0" t="s">
        <v>81</v>
      </c>
      <c r="I1447" s="0" t="n">
        <v>4401</v>
      </c>
      <c r="J1447" s="0" t="n">
        <v>100638</v>
      </c>
      <c r="K1447" s="0" t="n">
        <v>508</v>
      </c>
      <c r="L1447" s="0" t="s">
        <v>2178</v>
      </c>
      <c r="N1447" s="0" t="n">
        <v>1.254</v>
      </c>
      <c r="O1447" s="60" t="n">
        <v>1.91</v>
      </c>
    </row>
    <row r="1448" customFormat="false" ht="15" hidden="false" customHeight="false" outlineLevel="0" collapsed="false">
      <c r="A1448" s="0" t="n">
        <v>3</v>
      </c>
      <c r="B1448" s="59" t="n">
        <v>46224</v>
      </c>
      <c r="C1448" s="0" t="n">
        <v>22</v>
      </c>
      <c r="D1448" s="0" t="s">
        <v>2172</v>
      </c>
      <c r="E1448" s="0" t="n">
        <v>42</v>
      </c>
      <c r="F1448" s="0" t="s">
        <v>81</v>
      </c>
      <c r="I1448" s="0" t="n">
        <v>4401</v>
      </c>
      <c r="J1448" s="0" t="n">
        <v>100520</v>
      </c>
      <c r="K1448" s="0" t="n">
        <v>507</v>
      </c>
      <c r="L1448" s="0" t="s">
        <v>2179</v>
      </c>
      <c r="N1448" s="0" t="n">
        <v>36.84</v>
      </c>
      <c r="O1448" s="60" t="n">
        <v>91.49</v>
      </c>
    </row>
    <row r="1449" customFormat="false" ht="15" hidden="false" customHeight="false" outlineLevel="0" collapsed="false">
      <c r="A1449" s="0" t="n">
        <v>3</v>
      </c>
      <c r="B1449" s="59" t="n">
        <v>46224</v>
      </c>
      <c r="C1449" s="0" t="n">
        <v>22</v>
      </c>
      <c r="D1449" s="0" t="s">
        <v>2172</v>
      </c>
      <c r="E1449" s="0" t="n">
        <v>42</v>
      </c>
      <c r="F1449" s="0" t="s">
        <v>81</v>
      </c>
      <c r="I1449" s="0" t="n">
        <v>4401</v>
      </c>
      <c r="J1449" s="0" t="n">
        <v>100520</v>
      </c>
      <c r="K1449" s="0" t="n">
        <v>507</v>
      </c>
      <c r="L1449" s="0" t="s">
        <v>2179</v>
      </c>
      <c r="N1449" s="0" t="n">
        <v>5.714</v>
      </c>
      <c r="O1449" s="60" t="n">
        <v>12.36</v>
      </c>
    </row>
    <row r="1450" customFormat="false" ht="15" hidden="false" customHeight="false" outlineLevel="0" collapsed="false">
      <c r="A1450" s="0" t="n">
        <v>3</v>
      </c>
      <c r="B1450" s="59" t="n">
        <v>46224</v>
      </c>
      <c r="C1450" s="0" t="n">
        <v>22</v>
      </c>
      <c r="D1450" s="0" t="s">
        <v>2172</v>
      </c>
      <c r="E1450" s="0" t="n">
        <v>42</v>
      </c>
      <c r="F1450" s="0" t="s">
        <v>81</v>
      </c>
      <c r="I1450" s="0" t="n">
        <v>4401</v>
      </c>
      <c r="J1450" s="0" t="n">
        <v>110455</v>
      </c>
      <c r="K1450" s="0" t="n">
        <v>53212</v>
      </c>
      <c r="L1450" s="0" t="s">
        <v>2180</v>
      </c>
      <c r="N1450" s="0" t="n">
        <v>0.23</v>
      </c>
      <c r="O1450" s="60" t="n">
        <v>0</v>
      </c>
    </row>
    <row r="1451" customFormat="false" ht="15" hidden="false" customHeight="false" outlineLevel="0" collapsed="false">
      <c r="A1451" s="0" t="n">
        <v>3</v>
      </c>
      <c r="B1451" s="59" t="n">
        <v>46224</v>
      </c>
      <c r="C1451" s="0" t="n">
        <v>22</v>
      </c>
      <c r="D1451" s="0" t="s">
        <v>2172</v>
      </c>
      <c r="E1451" s="0" t="n">
        <v>42</v>
      </c>
      <c r="F1451" s="0" t="s">
        <v>81</v>
      </c>
      <c r="I1451" s="0" t="n">
        <v>4401</v>
      </c>
      <c r="J1451" s="0" t="n">
        <v>110455</v>
      </c>
      <c r="K1451" s="0" t="n">
        <v>53212</v>
      </c>
      <c r="L1451" s="0" t="s">
        <v>2180</v>
      </c>
      <c r="N1451" s="0" t="n">
        <v>2.086</v>
      </c>
      <c r="O1451" s="60" t="n">
        <v>0</v>
      </c>
    </row>
    <row r="1452" customFormat="false" ht="15" hidden="false" customHeight="false" outlineLevel="0" collapsed="false">
      <c r="A1452" s="0" t="n">
        <v>3</v>
      </c>
      <c r="B1452" s="59" t="n">
        <v>46224</v>
      </c>
      <c r="C1452" s="0" t="n">
        <v>22</v>
      </c>
      <c r="D1452" s="0" t="s">
        <v>2172</v>
      </c>
      <c r="E1452" s="0" t="n">
        <v>42</v>
      </c>
      <c r="F1452" s="0" t="s">
        <v>81</v>
      </c>
      <c r="I1452" s="0" t="n">
        <v>4401</v>
      </c>
      <c r="J1452" s="0" t="n">
        <v>110455</v>
      </c>
      <c r="K1452" s="0" t="n">
        <v>53212</v>
      </c>
      <c r="L1452" s="0" t="s">
        <v>2180</v>
      </c>
      <c r="N1452" s="0" t="n">
        <v>1.115</v>
      </c>
      <c r="O1452" s="60" t="n">
        <v>0</v>
      </c>
    </row>
    <row r="1453" customFormat="false" ht="15" hidden="false" customHeight="false" outlineLevel="0" collapsed="false">
      <c r="A1453" s="0" t="n">
        <v>3</v>
      </c>
      <c r="B1453" s="59" t="n">
        <v>46224</v>
      </c>
      <c r="C1453" s="0" t="n">
        <v>22</v>
      </c>
      <c r="D1453" s="0" t="s">
        <v>2172</v>
      </c>
      <c r="E1453" s="0" t="n">
        <v>42</v>
      </c>
      <c r="F1453" s="0" t="s">
        <v>81</v>
      </c>
      <c r="I1453" s="0" t="n">
        <v>4405</v>
      </c>
      <c r="J1453" s="0" t="n">
        <v>100006</v>
      </c>
      <c r="K1453" s="0" t="n">
        <v>7</v>
      </c>
      <c r="L1453" s="0" t="s">
        <v>2228</v>
      </c>
      <c r="N1453" s="0" t="n">
        <v>4.366</v>
      </c>
      <c r="O1453" s="60" t="n">
        <v>147.51</v>
      </c>
    </row>
    <row r="1454" customFormat="false" ht="15" hidden="false" customHeight="false" outlineLevel="0" collapsed="false">
      <c r="A1454" s="0" t="n">
        <v>3</v>
      </c>
      <c r="B1454" s="59" t="n">
        <v>46224</v>
      </c>
      <c r="C1454" s="0" t="n">
        <v>22</v>
      </c>
      <c r="D1454" s="0" t="s">
        <v>2172</v>
      </c>
      <c r="E1454" s="0" t="n">
        <v>42</v>
      </c>
      <c r="F1454" s="0" t="s">
        <v>81</v>
      </c>
      <c r="I1454" s="0" t="n">
        <v>4405</v>
      </c>
      <c r="J1454" s="0" t="n">
        <v>100006</v>
      </c>
      <c r="K1454" s="0" t="n">
        <v>7</v>
      </c>
      <c r="L1454" s="0" t="s">
        <v>2228</v>
      </c>
      <c r="N1454" s="0" t="n">
        <v>7.052</v>
      </c>
      <c r="O1454" s="60" t="n">
        <v>239.21</v>
      </c>
    </row>
    <row r="1455" customFormat="false" ht="15" hidden="false" customHeight="false" outlineLevel="0" collapsed="false">
      <c r="A1455" s="0" t="n">
        <v>3</v>
      </c>
      <c r="B1455" s="59" t="n">
        <v>46224</v>
      </c>
      <c r="C1455" s="0" t="n">
        <v>22</v>
      </c>
      <c r="D1455" s="0" t="s">
        <v>2172</v>
      </c>
      <c r="E1455" s="0" t="n">
        <v>42</v>
      </c>
      <c r="F1455" s="0" t="s">
        <v>81</v>
      </c>
      <c r="I1455" s="0" t="n">
        <v>4405</v>
      </c>
      <c r="J1455" s="0" t="n">
        <v>100008</v>
      </c>
      <c r="K1455" s="0" t="n">
        <v>9</v>
      </c>
      <c r="L1455" s="0" t="s">
        <v>2229</v>
      </c>
      <c r="N1455" s="0" t="n">
        <v>9.521</v>
      </c>
      <c r="O1455" s="60" t="n">
        <v>329.72</v>
      </c>
    </row>
    <row r="1456" customFormat="false" ht="15" hidden="false" customHeight="false" outlineLevel="0" collapsed="false">
      <c r="A1456" s="0" t="n">
        <v>3</v>
      </c>
      <c r="B1456" s="59" t="n">
        <v>46224</v>
      </c>
      <c r="C1456" s="0" t="n">
        <v>22</v>
      </c>
      <c r="D1456" s="0" t="s">
        <v>2172</v>
      </c>
      <c r="E1456" s="0" t="n">
        <v>42</v>
      </c>
      <c r="F1456" s="0" t="s">
        <v>81</v>
      </c>
      <c r="I1456" s="0" t="n">
        <v>4405</v>
      </c>
      <c r="J1456" s="0" t="n">
        <v>100010</v>
      </c>
      <c r="K1456" s="0" t="n">
        <v>11</v>
      </c>
      <c r="L1456" s="0" t="s">
        <v>2230</v>
      </c>
      <c r="N1456" s="0" t="n">
        <v>2.093</v>
      </c>
      <c r="O1456" s="60" t="n">
        <v>83.09</v>
      </c>
    </row>
    <row r="1457" customFormat="false" ht="15" hidden="false" customHeight="false" outlineLevel="0" collapsed="false">
      <c r="A1457" s="0" t="n">
        <v>3</v>
      </c>
      <c r="B1457" s="59" t="n">
        <v>46224</v>
      </c>
      <c r="C1457" s="0" t="n">
        <v>22</v>
      </c>
      <c r="D1457" s="0" t="s">
        <v>2172</v>
      </c>
      <c r="E1457" s="0" t="n">
        <v>42</v>
      </c>
      <c r="F1457" s="0" t="s">
        <v>81</v>
      </c>
      <c r="I1457" s="0" t="n">
        <v>4405</v>
      </c>
      <c r="J1457" s="0" t="n">
        <v>100010</v>
      </c>
      <c r="K1457" s="0" t="n">
        <v>11</v>
      </c>
      <c r="L1457" s="0" t="s">
        <v>2230</v>
      </c>
      <c r="N1457" s="0" t="n">
        <v>3.503</v>
      </c>
      <c r="O1457" s="60" t="n">
        <v>139.62</v>
      </c>
    </row>
    <row r="1458" customFormat="false" ht="15" hidden="false" customHeight="false" outlineLevel="0" collapsed="false">
      <c r="A1458" s="0" t="n">
        <v>3</v>
      </c>
      <c r="B1458" s="59" t="n">
        <v>46224</v>
      </c>
      <c r="C1458" s="0" t="n">
        <v>22</v>
      </c>
      <c r="D1458" s="0" t="s">
        <v>2172</v>
      </c>
      <c r="E1458" s="0" t="n">
        <v>42</v>
      </c>
      <c r="F1458" s="0" t="s">
        <v>81</v>
      </c>
      <c r="I1458" s="0" t="n">
        <v>4405</v>
      </c>
      <c r="J1458" s="0" t="n">
        <v>100011</v>
      </c>
      <c r="K1458" s="0" t="n">
        <v>12</v>
      </c>
      <c r="L1458" s="0" t="s">
        <v>2231</v>
      </c>
      <c r="N1458" s="0" t="n">
        <v>3.742</v>
      </c>
      <c r="O1458" s="60" t="n">
        <v>148.56</v>
      </c>
    </row>
    <row r="1459" customFormat="false" ht="15" hidden="false" customHeight="false" outlineLevel="0" collapsed="false">
      <c r="A1459" s="0" t="n">
        <v>3</v>
      </c>
      <c r="B1459" s="59" t="n">
        <v>46224</v>
      </c>
      <c r="C1459" s="0" t="n">
        <v>22</v>
      </c>
      <c r="D1459" s="0" t="s">
        <v>2172</v>
      </c>
      <c r="E1459" s="0" t="n">
        <v>42</v>
      </c>
      <c r="F1459" s="0" t="s">
        <v>81</v>
      </c>
      <c r="I1459" s="0" t="n">
        <v>4405</v>
      </c>
      <c r="J1459" s="0" t="n">
        <v>100011</v>
      </c>
      <c r="K1459" s="0" t="n">
        <v>12</v>
      </c>
      <c r="L1459" s="0" t="s">
        <v>2231</v>
      </c>
      <c r="N1459" s="0" t="n">
        <v>8.848</v>
      </c>
      <c r="O1459" s="60" t="n">
        <v>352.66</v>
      </c>
    </row>
    <row r="1460" customFormat="false" ht="15" hidden="false" customHeight="false" outlineLevel="0" collapsed="false">
      <c r="A1460" s="0" t="n">
        <v>3</v>
      </c>
      <c r="B1460" s="59" t="n">
        <v>46224</v>
      </c>
      <c r="C1460" s="0" t="n">
        <v>22</v>
      </c>
      <c r="D1460" s="0" t="s">
        <v>2172</v>
      </c>
      <c r="E1460" s="0" t="n">
        <v>42</v>
      </c>
      <c r="F1460" s="0" t="s">
        <v>81</v>
      </c>
      <c r="I1460" s="0" t="n">
        <v>4405</v>
      </c>
      <c r="J1460" s="0" t="n">
        <v>100012</v>
      </c>
      <c r="K1460" s="0" t="n">
        <v>13</v>
      </c>
      <c r="L1460" s="0" t="s">
        <v>2232</v>
      </c>
      <c r="N1460" s="0" t="n">
        <v>6.874</v>
      </c>
      <c r="O1460" s="60" t="n">
        <v>297.3</v>
      </c>
    </row>
    <row r="1461" customFormat="false" ht="15" hidden="false" customHeight="false" outlineLevel="0" collapsed="false">
      <c r="A1461" s="0" t="n">
        <v>3</v>
      </c>
      <c r="B1461" s="59" t="n">
        <v>46224</v>
      </c>
      <c r="C1461" s="0" t="n">
        <v>22</v>
      </c>
      <c r="D1461" s="0" t="s">
        <v>2172</v>
      </c>
      <c r="E1461" s="0" t="n">
        <v>42</v>
      </c>
      <c r="F1461" s="0" t="s">
        <v>81</v>
      </c>
      <c r="I1461" s="0" t="n">
        <v>4405</v>
      </c>
      <c r="J1461" s="0" t="n">
        <v>100012</v>
      </c>
      <c r="K1461" s="0" t="n">
        <v>13</v>
      </c>
      <c r="L1461" s="0" t="s">
        <v>2232</v>
      </c>
      <c r="N1461" s="0" t="n">
        <v>3.035</v>
      </c>
      <c r="O1461" s="60" t="n">
        <v>130.75</v>
      </c>
    </row>
    <row r="1462" customFormat="false" ht="15" hidden="false" customHeight="false" outlineLevel="0" collapsed="false">
      <c r="A1462" s="0" t="n">
        <v>3</v>
      </c>
      <c r="B1462" s="59" t="n">
        <v>46224</v>
      </c>
      <c r="C1462" s="0" t="n">
        <v>22</v>
      </c>
      <c r="D1462" s="0" t="s">
        <v>2172</v>
      </c>
      <c r="E1462" s="0" t="n">
        <v>42</v>
      </c>
      <c r="F1462" s="0" t="s">
        <v>81</v>
      </c>
      <c r="I1462" s="0" t="n">
        <v>4405</v>
      </c>
      <c r="J1462" s="0" t="n">
        <v>100013</v>
      </c>
      <c r="K1462" s="0" t="n">
        <v>14</v>
      </c>
      <c r="L1462" s="0" t="s">
        <v>2233</v>
      </c>
      <c r="N1462" s="0" t="n">
        <v>6.581</v>
      </c>
      <c r="O1462" s="60" t="n">
        <v>305.75</v>
      </c>
    </row>
    <row r="1463" customFormat="false" ht="15" hidden="false" customHeight="false" outlineLevel="0" collapsed="false">
      <c r="A1463" s="0" t="n">
        <v>3</v>
      </c>
      <c r="B1463" s="59" t="n">
        <v>46224</v>
      </c>
      <c r="C1463" s="0" t="n">
        <v>22</v>
      </c>
      <c r="D1463" s="0" t="s">
        <v>2172</v>
      </c>
      <c r="E1463" s="0" t="n">
        <v>42</v>
      </c>
      <c r="F1463" s="0" t="s">
        <v>81</v>
      </c>
      <c r="I1463" s="0" t="n">
        <v>4405</v>
      </c>
      <c r="J1463" s="0" t="n">
        <v>100013</v>
      </c>
      <c r="K1463" s="0" t="n">
        <v>14</v>
      </c>
      <c r="L1463" s="0" t="s">
        <v>2233</v>
      </c>
      <c r="N1463" s="0" t="n">
        <v>13.703</v>
      </c>
      <c r="O1463" s="60" t="n">
        <v>639.16</v>
      </c>
    </row>
    <row r="1464" customFormat="false" ht="15" hidden="false" customHeight="false" outlineLevel="0" collapsed="false">
      <c r="A1464" s="0" t="n">
        <v>3</v>
      </c>
      <c r="B1464" s="59" t="n">
        <v>46224</v>
      </c>
      <c r="C1464" s="0" t="n">
        <v>22</v>
      </c>
      <c r="D1464" s="0" t="s">
        <v>2172</v>
      </c>
      <c r="E1464" s="0" t="n">
        <v>42</v>
      </c>
      <c r="F1464" s="0" t="s">
        <v>81</v>
      </c>
      <c r="I1464" s="0" t="n">
        <v>4405</v>
      </c>
      <c r="J1464" s="0" t="n">
        <v>100014</v>
      </c>
      <c r="K1464" s="0" t="n">
        <v>15</v>
      </c>
      <c r="L1464" s="0" t="s">
        <v>2234</v>
      </c>
      <c r="N1464" s="0" t="n">
        <v>2.636</v>
      </c>
      <c r="O1464" s="60" t="n">
        <v>124.69</v>
      </c>
    </row>
    <row r="1465" customFormat="false" ht="15" hidden="false" customHeight="false" outlineLevel="0" collapsed="false">
      <c r="A1465" s="0" t="n">
        <v>3</v>
      </c>
      <c r="B1465" s="59" t="n">
        <v>46224</v>
      </c>
      <c r="C1465" s="0" t="n">
        <v>22</v>
      </c>
      <c r="D1465" s="0" t="s">
        <v>2172</v>
      </c>
      <c r="E1465" s="0" t="n">
        <v>42</v>
      </c>
      <c r="F1465" s="0" t="s">
        <v>81</v>
      </c>
      <c r="I1465" s="0" t="n">
        <v>4405</v>
      </c>
      <c r="J1465" s="0" t="n">
        <v>100014</v>
      </c>
      <c r="K1465" s="0" t="n">
        <v>15</v>
      </c>
      <c r="L1465" s="0" t="s">
        <v>2234</v>
      </c>
      <c r="N1465" s="0" t="n">
        <v>5.309</v>
      </c>
      <c r="O1465" s="60" t="n">
        <v>252.13</v>
      </c>
    </row>
    <row r="1466" customFormat="false" ht="15" hidden="false" customHeight="false" outlineLevel="0" collapsed="false">
      <c r="A1466" s="0" t="n">
        <v>3</v>
      </c>
      <c r="B1466" s="59" t="n">
        <v>46224</v>
      </c>
      <c r="C1466" s="0" t="n">
        <v>22</v>
      </c>
      <c r="D1466" s="0" t="s">
        <v>2172</v>
      </c>
      <c r="E1466" s="0" t="n">
        <v>42</v>
      </c>
      <c r="F1466" s="0" t="s">
        <v>81</v>
      </c>
      <c r="I1466" s="0" t="n">
        <v>4405</v>
      </c>
      <c r="J1466" s="0" t="n">
        <v>100015</v>
      </c>
      <c r="K1466" s="0" t="n">
        <v>16</v>
      </c>
      <c r="L1466" s="0" t="s">
        <v>2235</v>
      </c>
      <c r="N1466" s="0" t="n">
        <v>0.933</v>
      </c>
      <c r="O1466" s="60" t="n">
        <v>40.19</v>
      </c>
    </row>
    <row r="1467" customFormat="false" ht="15" hidden="false" customHeight="false" outlineLevel="0" collapsed="false">
      <c r="A1467" s="0" t="n">
        <v>3</v>
      </c>
      <c r="B1467" s="59" t="n">
        <v>46224</v>
      </c>
      <c r="C1467" s="0" t="n">
        <v>22</v>
      </c>
      <c r="D1467" s="0" t="s">
        <v>2172</v>
      </c>
      <c r="E1467" s="0" t="n">
        <v>42</v>
      </c>
      <c r="F1467" s="0" t="s">
        <v>81</v>
      </c>
      <c r="I1467" s="0" t="n">
        <v>4405</v>
      </c>
      <c r="J1467" s="0" t="n">
        <v>100015</v>
      </c>
      <c r="K1467" s="0" t="n">
        <v>16</v>
      </c>
      <c r="L1467" s="0" t="s">
        <v>2235</v>
      </c>
      <c r="N1467" s="0" t="n">
        <v>2.147</v>
      </c>
      <c r="O1467" s="60" t="n">
        <v>92.86</v>
      </c>
    </row>
    <row r="1468" customFormat="false" ht="15" hidden="false" customHeight="false" outlineLevel="0" collapsed="false">
      <c r="A1468" s="0" t="n">
        <v>3</v>
      </c>
      <c r="B1468" s="59" t="n">
        <v>46224</v>
      </c>
      <c r="C1468" s="0" t="n">
        <v>22</v>
      </c>
      <c r="D1468" s="0" t="s">
        <v>2172</v>
      </c>
      <c r="E1468" s="0" t="n">
        <v>42</v>
      </c>
      <c r="F1468" s="0" t="s">
        <v>81</v>
      </c>
      <c r="I1468" s="0" t="n">
        <v>4405</v>
      </c>
      <c r="J1468" s="0" t="n">
        <v>100016</v>
      </c>
      <c r="K1468" s="0" t="n">
        <v>17</v>
      </c>
      <c r="L1468" s="0" t="s">
        <v>2236</v>
      </c>
      <c r="N1468" s="0" t="n">
        <v>1.234</v>
      </c>
      <c r="O1468" s="60" t="n">
        <v>57.33</v>
      </c>
    </row>
    <row r="1469" customFormat="false" ht="15" hidden="false" customHeight="false" outlineLevel="0" collapsed="false">
      <c r="A1469" s="0" t="n">
        <v>3</v>
      </c>
      <c r="B1469" s="59" t="n">
        <v>46224</v>
      </c>
      <c r="C1469" s="0" t="n">
        <v>22</v>
      </c>
      <c r="D1469" s="0" t="s">
        <v>2172</v>
      </c>
      <c r="E1469" s="0" t="n">
        <v>42</v>
      </c>
      <c r="F1469" s="0" t="s">
        <v>81</v>
      </c>
      <c r="I1469" s="0" t="n">
        <v>4405</v>
      </c>
      <c r="J1469" s="0" t="n">
        <v>100017</v>
      </c>
      <c r="K1469" s="0" t="n">
        <v>18</v>
      </c>
      <c r="L1469" s="0" t="s">
        <v>2237</v>
      </c>
      <c r="N1469" s="0" t="n">
        <v>1.254</v>
      </c>
      <c r="O1469" s="60" t="n">
        <v>68.85</v>
      </c>
    </row>
    <row r="1470" customFormat="false" ht="15" hidden="false" customHeight="false" outlineLevel="0" collapsed="false">
      <c r="A1470" s="0" t="n">
        <v>3</v>
      </c>
      <c r="B1470" s="59" t="n">
        <v>46224</v>
      </c>
      <c r="C1470" s="0" t="n">
        <v>22</v>
      </c>
      <c r="D1470" s="0" t="s">
        <v>2172</v>
      </c>
      <c r="E1470" s="0" t="n">
        <v>42</v>
      </c>
      <c r="F1470" s="0" t="s">
        <v>81</v>
      </c>
      <c r="I1470" s="0" t="n">
        <v>4405</v>
      </c>
      <c r="J1470" s="0" t="n">
        <v>100017</v>
      </c>
      <c r="K1470" s="0" t="n">
        <v>18</v>
      </c>
      <c r="L1470" s="0" t="s">
        <v>2237</v>
      </c>
      <c r="N1470" s="0" t="n">
        <v>2.628</v>
      </c>
      <c r="O1470" s="60" t="n">
        <v>144.87</v>
      </c>
    </row>
    <row r="1471" customFormat="false" ht="15" hidden="false" customHeight="false" outlineLevel="0" collapsed="false">
      <c r="A1471" s="0" t="n">
        <v>3</v>
      </c>
      <c r="B1471" s="59" t="n">
        <v>46224</v>
      </c>
      <c r="C1471" s="0" t="n">
        <v>22</v>
      </c>
      <c r="D1471" s="0" t="s">
        <v>2172</v>
      </c>
      <c r="E1471" s="0" t="n">
        <v>42</v>
      </c>
      <c r="F1471" s="0" t="s">
        <v>81</v>
      </c>
      <c r="I1471" s="0" t="n">
        <v>4405</v>
      </c>
      <c r="J1471" s="0" t="n">
        <v>100023</v>
      </c>
      <c r="K1471" s="0" t="n">
        <v>24</v>
      </c>
      <c r="L1471" s="0" t="s">
        <v>2678</v>
      </c>
      <c r="N1471" s="0" t="n">
        <v>0.499</v>
      </c>
      <c r="O1471" s="60" t="n">
        <v>5.92</v>
      </c>
    </row>
    <row r="1472" customFormat="false" ht="15" hidden="false" customHeight="false" outlineLevel="0" collapsed="false">
      <c r="A1472" s="0" t="n">
        <v>3</v>
      </c>
      <c r="B1472" s="59" t="n">
        <v>46224</v>
      </c>
      <c r="C1472" s="0" t="n">
        <v>22</v>
      </c>
      <c r="D1472" s="0" t="s">
        <v>2172</v>
      </c>
      <c r="E1472" s="0" t="n">
        <v>42</v>
      </c>
      <c r="F1472" s="0" t="s">
        <v>81</v>
      </c>
      <c r="I1472" s="0" t="n">
        <v>4405</v>
      </c>
      <c r="J1472" s="0" t="n">
        <v>100053</v>
      </c>
      <c r="K1472" s="0" t="n">
        <v>54</v>
      </c>
      <c r="L1472" s="0" t="s">
        <v>2238</v>
      </c>
      <c r="N1472" s="0" t="n">
        <v>0.649</v>
      </c>
      <c r="O1472" s="60" t="n">
        <v>24.67</v>
      </c>
    </row>
    <row r="1473" customFormat="false" ht="15" hidden="false" customHeight="false" outlineLevel="0" collapsed="false">
      <c r="A1473" s="0" t="n">
        <v>3</v>
      </c>
      <c r="B1473" s="59" t="n">
        <v>46224</v>
      </c>
      <c r="C1473" s="0" t="n">
        <v>22</v>
      </c>
      <c r="D1473" s="0" t="s">
        <v>2172</v>
      </c>
      <c r="E1473" s="0" t="n">
        <v>42</v>
      </c>
      <c r="F1473" s="0" t="s">
        <v>81</v>
      </c>
      <c r="I1473" s="0" t="n">
        <v>4405</v>
      </c>
      <c r="J1473" s="0" t="n">
        <v>100638</v>
      </c>
      <c r="K1473" s="0" t="n">
        <v>508</v>
      </c>
      <c r="L1473" s="0" t="s">
        <v>2178</v>
      </c>
      <c r="N1473" s="0" t="n">
        <v>3.961</v>
      </c>
      <c r="O1473" s="60" t="n">
        <v>6.69</v>
      </c>
    </row>
    <row r="1474" customFormat="false" ht="15" hidden="false" customHeight="false" outlineLevel="0" collapsed="false">
      <c r="A1474" s="0" t="n">
        <v>3</v>
      </c>
      <c r="B1474" s="59" t="n">
        <v>46224</v>
      </c>
      <c r="C1474" s="0" t="n">
        <v>22</v>
      </c>
      <c r="D1474" s="0" t="s">
        <v>2172</v>
      </c>
      <c r="E1474" s="0" t="n">
        <v>42</v>
      </c>
      <c r="F1474" s="0" t="s">
        <v>81</v>
      </c>
      <c r="I1474" s="0" t="n">
        <v>4405</v>
      </c>
      <c r="J1474" s="0" t="n">
        <v>100638</v>
      </c>
      <c r="K1474" s="0" t="n">
        <v>508</v>
      </c>
      <c r="L1474" s="0" t="s">
        <v>2178</v>
      </c>
      <c r="N1474" s="0" t="n">
        <v>1.862</v>
      </c>
      <c r="O1474" s="60" t="n">
        <v>3.13</v>
      </c>
    </row>
    <row r="1475" customFormat="false" ht="15" hidden="false" customHeight="false" outlineLevel="0" collapsed="false">
      <c r="A1475" s="0" t="n">
        <v>3</v>
      </c>
      <c r="B1475" s="59" t="n">
        <v>46224</v>
      </c>
      <c r="C1475" s="0" t="n">
        <v>22</v>
      </c>
      <c r="D1475" s="0" t="s">
        <v>2172</v>
      </c>
      <c r="E1475" s="0" t="n">
        <v>42</v>
      </c>
      <c r="F1475" s="0" t="s">
        <v>81</v>
      </c>
      <c r="I1475" s="0" t="n">
        <v>4405</v>
      </c>
      <c r="J1475" s="0" t="n">
        <v>100520</v>
      </c>
      <c r="K1475" s="0" t="n">
        <v>507</v>
      </c>
      <c r="L1475" s="0" t="s">
        <v>2179</v>
      </c>
      <c r="N1475" s="0" t="n">
        <v>11.762</v>
      </c>
      <c r="O1475" s="60" t="n">
        <v>29.83</v>
      </c>
    </row>
    <row r="1476" customFormat="false" ht="15" hidden="false" customHeight="false" outlineLevel="0" collapsed="false">
      <c r="A1476" s="0" t="n">
        <v>3</v>
      </c>
      <c r="B1476" s="59" t="n">
        <v>46224</v>
      </c>
      <c r="C1476" s="0" t="n">
        <v>22</v>
      </c>
      <c r="D1476" s="0" t="s">
        <v>2172</v>
      </c>
      <c r="E1476" s="0" t="n">
        <v>42</v>
      </c>
      <c r="F1476" s="0" t="s">
        <v>81</v>
      </c>
      <c r="I1476" s="0" t="n">
        <v>4405</v>
      </c>
      <c r="J1476" s="0" t="n">
        <v>100520</v>
      </c>
      <c r="K1476" s="0" t="n">
        <v>507</v>
      </c>
      <c r="L1476" s="0" t="s">
        <v>2179</v>
      </c>
      <c r="N1476" s="0" t="n">
        <v>7.029</v>
      </c>
      <c r="O1476" s="60" t="n">
        <v>17.76</v>
      </c>
    </row>
    <row r="1477" customFormat="false" ht="15" hidden="false" customHeight="false" outlineLevel="0" collapsed="false">
      <c r="A1477" s="0" t="n">
        <v>3</v>
      </c>
      <c r="B1477" s="59" t="n">
        <v>46224</v>
      </c>
      <c r="C1477" s="0" t="n">
        <v>22</v>
      </c>
      <c r="D1477" s="0" t="s">
        <v>2172</v>
      </c>
      <c r="E1477" s="0" t="n">
        <v>42</v>
      </c>
      <c r="F1477" s="0" t="s">
        <v>81</v>
      </c>
      <c r="I1477" s="0" t="n">
        <v>4405</v>
      </c>
      <c r="J1477" s="0" t="n">
        <v>110455</v>
      </c>
      <c r="K1477" s="0" t="n">
        <v>53212</v>
      </c>
      <c r="L1477" s="0" t="s">
        <v>2180</v>
      </c>
      <c r="N1477" s="0" t="n">
        <v>0.665</v>
      </c>
      <c r="O1477" s="60" t="n">
        <v>0</v>
      </c>
    </row>
    <row r="1478" customFormat="false" ht="15" hidden="false" customHeight="false" outlineLevel="0" collapsed="false">
      <c r="A1478" s="0" t="n">
        <v>3</v>
      </c>
      <c r="B1478" s="59" t="n">
        <v>46224</v>
      </c>
      <c r="C1478" s="0" t="n">
        <v>22</v>
      </c>
      <c r="D1478" s="0" t="s">
        <v>2172</v>
      </c>
      <c r="E1478" s="0" t="n">
        <v>42</v>
      </c>
      <c r="F1478" s="0" t="s">
        <v>81</v>
      </c>
      <c r="I1478" s="0" t="n">
        <v>4405</v>
      </c>
      <c r="J1478" s="0" t="n">
        <v>110455</v>
      </c>
      <c r="K1478" s="0" t="n">
        <v>53212</v>
      </c>
      <c r="L1478" s="0" t="s">
        <v>2180</v>
      </c>
      <c r="N1478" s="0" t="n">
        <v>1.414</v>
      </c>
      <c r="O1478" s="60" t="n">
        <v>0</v>
      </c>
    </row>
    <row r="1479" customFormat="false" ht="15" hidden="false" customHeight="false" outlineLevel="0" collapsed="false">
      <c r="A1479" s="0" t="n">
        <v>3</v>
      </c>
      <c r="B1479" s="59" t="n">
        <v>46224</v>
      </c>
      <c r="C1479" s="0" t="n">
        <v>100</v>
      </c>
      <c r="D1479" s="0" t="s">
        <v>2181</v>
      </c>
      <c r="E1479" s="0" t="n">
        <v>42</v>
      </c>
      <c r="F1479" s="0" t="s">
        <v>81</v>
      </c>
      <c r="I1479" s="0" t="n">
        <v>1427501</v>
      </c>
      <c r="J1479" s="0" t="n">
        <v>100004</v>
      </c>
      <c r="K1479" s="0" t="n">
        <v>5</v>
      </c>
      <c r="L1479" s="0" t="s">
        <v>2411</v>
      </c>
      <c r="N1479" s="0" t="n">
        <v>31.88</v>
      </c>
      <c r="O1479" s="60" t="n">
        <v>561.02</v>
      </c>
    </row>
    <row r="1480" customFormat="false" ht="15" hidden="false" customHeight="false" outlineLevel="0" collapsed="false">
      <c r="A1480" s="0" t="n">
        <v>3</v>
      </c>
      <c r="B1480" s="59" t="n">
        <v>46224</v>
      </c>
      <c r="C1480" s="0" t="n">
        <v>100</v>
      </c>
      <c r="D1480" s="0" t="s">
        <v>2181</v>
      </c>
      <c r="E1480" s="0" t="n">
        <v>42</v>
      </c>
      <c r="F1480" s="0" t="s">
        <v>81</v>
      </c>
      <c r="I1480" s="0" t="n">
        <v>1427501</v>
      </c>
      <c r="J1480" s="0" t="n">
        <v>100020</v>
      </c>
      <c r="K1480" s="0" t="n">
        <v>21</v>
      </c>
      <c r="L1480" s="0" t="s">
        <v>2337</v>
      </c>
      <c r="N1480" s="0" t="n">
        <v>5.736</v>
      </c>
      <c r="O1480" s="60" t="n">
        <v>179.97</v>
      </c>
    </row>
    <row r="1481" customFormat="false" ht="15" hidden="false" customHeight="false" outlineLevel="0" collapsed="false">
      <c r="A1481" s="0" t="n">
        <v>3</v>
      </c>
      <c r="B1481" s="59" t="n">
        <v>46224</v>
      </c>
      <c r="C1481" s="0" t="n">
        <v>100</v>
      </c>
      <c r="D1481" s="0" t="s">
        <v>2181</v>
      </c>
      <c r="E1481" s="0" t="n">
        <v>42</v>
      </c>
      <c r="F1481" s="0" t="s">
        <v>81</v>
      </c>
      <c r="I1481" s="0" t="n">
        <v>1427501</v>
      </c>
      <c r="J1481" s="0" t="n">
        <v>100638</v>
      </c>
      <c r="K1481" s="0" t="n">
        <v>508</v>
      </c>
      <c r="L1481" s="0" t="s">
        <v>2178</v>
      </c>
      <c r="N1481" s="0" t="n">
        <v>1.254</v>
      </c>
      <c r="O1481" s="60" t="n">
        <v>1.91</v>
      </c>
    </row>
    <row r="1482" customFormat="false" ht="15" hidden="false" customHeight="false" outlineLevel="0" collapsed="false">
      <c r="A1482" s="0" t="n">
        <v>3</v>
      </c>
      <c r="B1482" s="59" t="n">
        <v>46224</v>
      </c>
      <c r="C1482" s="0" t="n">
        <v>100</v>
      </c>
      <c r="D1482" s="0" t="s">
        <v>2181</v>
      </c>
      <c r="E1482" s="0" t="n">
        <v>42</v>
      </c>
      <c r="F1482" s="0" t="s">
        <v>81</v>
      </c>
      <c r="I1482" s="0" t="n">
        <v>1427501</v>
      </c>
      <c r="J1482" s="0" t="n">
        <v>110455</v>
      </c>
      <c r="K1482" s="0" t="n">
        <v>53212</v>
      </c>
      <c r="L1482" s="0" t="s">
        <v>2180</v>
      </c>
      <c r="N1482" s="0" t="n">
        <v>0.23</v>
      </c>
      <c r="O1482" s="60" t="n">
        <v>0</v>
      </c>
    </row>
    <row r="1483" customFormat="false" ht="15" hidden="false" customHeight="false" outlineLevel="0" collapsed="false">
      <c r="A1483" s="0" t="n">
        <v>3</v>
      </c>
      <c r="B1483" s="59" t="n">
        <v>46224</v>
      </c>
      <c r="C1483" s="0" t="n">
        <v>100</v>
      </c>
      <c r="D1483" s="0" t="s">
        <v>2181</v>
      </c>
      <c r="E1483" s="0" t="n">
        <v>42</v>
      </c>
      <c r="F1483" s="0" t="s">
        <v>81</v>
      </c>
      <c r="I1483" s="0" t="n">
        <v>1427507</v>
      </c>
      <c r="J1483" s="0" t="n">
        <v>100000</v>
      </c>
      <c r="K1483" s="0" t="n">
        <v>1</v>
      </c>
      <c r="L1483" s="0" t="s">
        <v>2173</v>
      </c>
      <c r="N1483" s="0" t="n">
        <v>4.446</v>
      </c>
      <c r="O1483" s="60" t="n">
        <v>93.22</v>
      </c>
    </row>
    <row r="1484" customFormat="false" ht="15" hidden="false" customHeight="false" outlineLevel="0" collapsed="false">
      <c r="A1484" s="0" t="n">
        <v>3</v>
      </c>
      <c r="B1484" s="59" t="n">
        <v>46224</v>
      </c>
      <c r="C1484" s="0" t="n">
        <v>100</v>
      </c>
      <c r="D1484" s="0" t="s">
        <v>2181</v>
      </c>
      <c r="E1484" s="0" t="n">
        <v>42</v>
      </c>
      <c r="F1484" s="0" t="s">
        <v>81</v>
      </c>
      <c r="I1484" s="0" t="n">
        <v>1427507</v>
      </c>
      <c r="J1484" s="0" t="n">
        <v>100001</v>
      </c>
      <c r="K1484" s="0" t="n">
        <v>2</v>
      </c>
      <c r="L1484" s="0" t="s">
        <v>2174</v>
      </c>
      <c r="N1484" s="0" t="n">
        <v>23.328</v>
      </c>
      <c r="O1484" s="60" t="n">
        <v>522.86</v>
      </c>
    </row>
    <row r="1485" customFormat="false" ht="15" hidden="false" customHeight="false" outlineLevel="0" collapsed="false">
      <c r="A1485" s="0" t="n">
        <v>3</v>
      </c>
      <c r="B1485" s="59" t="n">
        <v>46224</v>
      </c>
      <c r="C1485" s="0" t="n">
        <v>100</v>
      </c>
      <c r="D1485" s="0" t="s">
        <v>2181</v>
      </c>
      <c r="E1485" s="0" t="n">
        <v>42</v>
      </c>
      <c r="F1485" s="0" t="s">
        <v>81</v>
      </c>
      <c r="I1485" s="0" t="n">
        <v>1427507</v>
      </c>
      <c r="J1485" s="0" t="n">
        <v>100002</v>
      </c>
      <c r="K1485" s="0" t="n">
        <v>3</v>
      </c>
      <c r="L1485" s="0" t="s">
        <v>2175</v>
      </c>
      <c r="N1485" s="0" t="n">
        <v>50.65</v>
      </c>
      <c r="O1485" s="60" t="n">
        <v>1171.86</v>
      </c>
    </row>
    <row r="1486" customFormat="false" ht="15" hidden="false" customHeight="false" outlineLevel="0" collapsed="false">
      <c r="A1486" s="0" t="n">
        <v>3</v>
      </c>
      <c r="B1486" s="59" t="n">
        <v>46224</v>
      </c>
      <c r="C1486" s="0" t="n">
        <v>100</v>
      </c>
      <c r="D1486" s="0" t="s">
        <v>2181</v>
      </c>
      <c r="E1486" s="0" t="n">
        <v>42</v>
      </c>
      <c r="F1486" s="0" t="s">
        <v>81</v>
      </c>
      <c r="I1486" s="0" t="n">
        <v>1427507</v>
      </c>
      <c r="J1486" s="0" t="n">
        <v>100003</v>
      </c>
      <c r="K1486" s="0" t="n">
        <v>4</v>
      </c>
      <c r="L1486" s="0" t="s">
        <v>2176</v>
      </c>
      <c r="N1486" s="0" t="n">
        <v>37.16</v>
      </c>
      <c r="O1486" s="60" t="n">
        <v>940.38</v>
      </c>
    </row>
    <row r="1487" customFormat="false" ht="15" hidden="false" customHeight="false" outlineLevel="0" collapsed="false">
      <c r="A1487" s="0" t="n">
        <v>3</v>
      </c>
      <c r="B1487" s="59" t="n">
        <v>46224</v>
      </c>
      <c r="C1487" s="0" t="n">
        <v>100</v>
      </c>
      <c r="D1487" s="0" t="s">
        <v>2181</v>
      </c>
      <c r="E1487" s="0" t="n">
        <v>42</v>
      </c>
      <c r="F1487" s="0" t="s">
        <v>81</v>
      </c>
      <c r="I1487" s="0" t="n">
        <v>1427507</v>
      </c>
      <c r="J1487" s="0" t="n">
        <v>100007</v>
      </c>
      <c r="K1487" s="0" t="n">
        <v>8</v>
      </c>
      <c r="L1487" s="0" t="s">
        <v>2177</v>
      </c>
      <c r="N1487" s="0" t="n">
        <v>14.634</v>
      </c>
      <c r="O1487" s="60" t="n">
        <v>359.75</v>
      </c>
    </row>
    <row r="1488" customFormat="false" ht="15" hidden="false" customHeight="false" outlineLevel="0" collapsed="false">
      <c r="A1488" s="0" t="n">
        <v>3</v>
      </c>
      <c r="B1488" s="59" t="n">
        <v>46224</v>
      </c>
      <c r="C1488" s="0" t="n">
        <v>100</v>
      </c>
      <c r="D1488" s="0" t="s">
        <v>2181</v>
      </c>
      <c r="E1488" s="0" t="n">
        <v>42</v>
      </c>
      <c r="F1488" s="0" t="s">
        <v>81</v>
      </c>
      <c r="I1488" s="0" t="n">
        <v>1427507</v>
      </c>
      <c r="J1488" s="0" t="n">
        <v>100638</v>
      </c>
      <c r="K1488" s="0" t="n">
        <v>508</v>
      </c>
      <c r="L1488" s="0" t="s">
        <v>2178</v>
      </c>
      <c r="N1488" s="0" t="n">
        <v>4.153</v>
      </c>
      <c r="O1488" s="60" t="n">
        <v>5.98</v>
      </c>
    </row>
    <row r="1489" customFormat="false" ht="15" hidden="false" customHeight="false" outlineLevel="0" collapsed="false">
      <c r="A1489" s="0" t="n">
        <v>3</v>
      </c>
      <c r="B1489" s="59" t="n">
        <v>46224</v>
      </c>
      <c r="C1489" s="0" t="n">
        <v>100</v>
      </c>
      <c r="D1489" s="0" t="s">
        <v>2181</v>
      </c>
      <c r="E1489" s="0" t="n">
        <v>42</v>
      </c>
      <c r="F1489" s="0" t="s">
        <v>81</v>
      </c>
      <c r="I1489" s="0" t="n">
        <v>1427507</v>
      </c>
      <c r="J1489" s="0" t="n">
        <v>100520</v>
      </c>
      <c r="K1489" s="0" t="n">
        <v>507</v>
      </c>
      <c r="L1489" s="0" t="s">
        <v>2179</v>
      </c>
      <c r="N1489" s="0" t="n">
        <v>5.714</v>
      </c>
      <c r="O1489" s="60" t="n">
        <v>12.36</v>
      </c>
    </row>
    <row r="1490" customFormat="false" ht="15" hidden="false" customHeight="false" outlineLevel="0" collapsed="false">
      <c r="A1490" s="0" t="n">
        <v>3</v>
      </c>
      <c r="B1490" s="59" t="n">
        <v>46224</v>
      </c>
      <c r="C1490" s="0" t="n">
        <v>100</v>
      </c>
      <c r="D1490" s="0" t="s">
        <v>2181</v>
      </c>
      <c r="E1490" s="0" t="n">
        <v>42</v>
      </c>
      <c r="F1490" s="0" t="s">
        <v>81</v>
      </c>
      <c r="I1490" s="0" t="n">
        <v>1427507</v>
      </c>
      <c r="J1490" s="0" t="n">
        <v>110455</v>
      </c>
      <c r="K1490" s="0" t="n">
        <v>53212</v>
      </c>
      <c r="L1490" s="0" t="s">
        <v>2180</v>
      </c>
      <c r="N1490" s="0" t="n">
        <v>1.115</v>
      </c>
      <c r="O1490" s="60" t="n">
        <v>0</v>
      </c>
    </row>
    <row r="1491" customFormat="false" ht="15" hidden="false" customHeight="false" outlineLevel="0" collapsed="false">
      <c r="A1491" s="0" t="n">
        <v>3</v>
      </c>
      <c r="B1491" s="59" t="n">
        <v>46224</v>
      </c>
      <c r="C1491" s="0" t="n">
        <v>100</v>
      </c>
      <c r="D1491" s="0" t="s">
        <v>2181</v>
      </c>
      <c r="E1491" s="0" t="n">
        <v>42</v>
      </c>
      <c r="F1491" s="0" t="s">
        <v>81</v>
      </c>
      <c r="I1491" s="0" t="n">
        <v>1427510</v>
      </c>
      <c r="J1491" s="0" t="n">
        <v>100006</v>
      </c>
      <c r="K1491" s="0" t="n">
        <v>7</v>
      </c>
      <c r="L1491" s="0" t="s">
        <v>2228</v>
      </c>
      <c r="N1491" s="0" t="n">
        <v>21.899</v>
      </c>
      <c r="O1491" s="60" t="n">
        <v>727.36</v>
      </c>
    </row>
    <row r="1492" customFormat="false" ht="15" hidden="false" customHeight="false" outlineLevel="0" collapsed="false">
      <c r="A1492" s="0" t="n">
        <v>3</v>
      </c>
      <c r="B1492" s="59" t="n">
        <v>46224</v>
      </c>
      <c r="C1492" s="0" t="n">
        <v>100</v>
      </c>
      <c r="D1492" s="0" t="s">
        <v>2181</v>
      </c>
      <c r="E1492" s="0" t="n">
        <v>42</v>
      </c>
      <c r="F1492" s="0" t="s">
        <v>81</v>
      </c>
      <c r="I1492" s="0" t="n">
        <v>1427510</v>
      </c>
      <c r="J1492" s="0" t="n">
        <v>100008</v>
      </c>
      <c r="K1492" s="0" t="n">
        <v>9</v>
      </c>
      <c r="L1492" s="0" t="s">
        <v>2229</v>
      </c>
      <c r="N1492" s="0" t="n">
        <v>41.875</v>
      </c>
      <c r="O1492" s="60" t="n">
        <v>1425.63</v>
      </c>
    </row>
    <row r="1493" customFormat="false" ht="15" hidden="false" customHeight="false" outlineLevel="0" collapsed="false">
      <c r="A1493" s="0" t="n">
        <v>3</v>
      </c>
      <c r="B1493" s="59" t="n">
        <v>46224</v>
      </c>
      <c r="C1493" s="0" t="n">
        <v>100</v>
      </c>
      <c r="D1493" s="0" t="s">
        <v>2181</v>
      </c>
      <c r="E1493" s="0" t="n">
        <v>42</v>
      </c>
      <c r="F1493" s="0" t="s">
        <v>81</v>
      </c>
      <c r="I1493" s="0" t="n">
        <v>1427510</v>
      </c>
      <c r="J1493" s="0" t="n">
        <v>100010</v>
      </c>
      <c r="K1493" s="0" t="n">
        <v>11</v>
      </c>
      <c r="L1493" s="0" t="s">
        <v>2230</v>
      </c>
      <c r="N1493" s="0" t="n">
        <v>8.902</v>
      </c>
      <c r="O1493" s="60" t="n">
        <v>347.43</v>
      </c>
    </row>
    <row r="1494" customFormat="false" ht="15" hidden="false" customHeight="false" outlineLevel="0" collapsed="false">
      <c r="A1494" s="0" t="n">
        <v>3</v>
      </c>
      <c r="B1494" s="59" t="n">
        <v>46224</v>
      </c>
      <c r="C1494" s="0" t="n">
        <v>100</v>
      </c>
      <c r="D1494" s="0" t="s">
        <v>2181</v>
      </c>
      <c r="E1494" s="0" t="n">
        <v>42</v>
      </c>
      <c r="F1494" s="0" t="s">
        <v>81</v>
      </c>
      <c r="I1494" s="0" t="n">
        <v>1427510</v>
      </c>
      <c r="J1494" s="0" t="n">
        <v>100011</v>
      </c>
      <c r="K1494" s="0" t="n">
        <v>12</v>
      </c>
      <c r="L1494" s="0" t="s">
        <v>2231</v>
      </c>
      <c r="N1494" s="0" t="n">
        <v>19.669</v>
      </c>
      <c r="O1494" s="60" t="n">
        <v>767.65</v>
      </c>
    </row>
    <row r="1495" customFormat="false" ht="15" hidden="false" customHeight="false" outlineLevel="0" collapsed="false">
      <c r="A1495" s="0" t="n">
        <v>3</v>
      </c>
      <c r="B1495" s="59" t="n">
        <v>46224</v>
      </c>
      <c r="C1495" s="0" t="n">
        <v>100</v>
      </c>
      <c r="D1495" s="0" t="s">
        <v>2181</v>
      </c>
      <c r="E1495" s="0" t="n">
        <v>42</v>
      </c>
      <c r="F1495" s="0" t="s">
        <v>81</v>
      </c>
      <c r="I1495" s="0" t="n">
        <v>1427510</v>
      </c>
      <c r="J1495" s="0" t="n">
        <v>100012</v>
      </c>
      <c r="K1495" s="0" t="n">
        <v>13</v>
      </c>
      <c r="L1495" s="0" t="s">
        <v>2232</v>
      </c>
      <c r="N1495" s="0" t="n">
        <v>17.173</v>
      </c>
      <c r="O1495" s="60" t="n">
        <v>727.29</v>
      </c>
    </row>
    <row r="1496" customFormat="false" ht="15" hidden="false" customHeight="false" outlineLevel="0" collapsed="false">
      <c r="A1496" s="0" t="n">
        <v>3</v>
      </c>
      <c r="B1496" s="59" t="n">
        <v>46224</v>
      </c>
      <c r="C1496" s="0" t="n">
        <v>100</v>
      </c>
      <c r="D1496" s="0" t="s">
        <v>2181</v>
      </c>
      <c r="E1496" s="0" t="n">
        <v>42</v>
      </c>
      <c r="F1496" s="0" t="s">
        <v>81</v>
      </c>
      <c r="I1496" s="0" t="n">
        <v>1427510</v>
      </c>
      <c r="J1496" s="0" t="n">
        <v>100013</v>
      </c>
      <c r="K1496" s="0" t="n">
        <v>14</v>
      </c>
      <c r="L1496" s="0" t="s">
        <v>2233</v>
      </c>
      <c r="N1496" s="0" t="n">
        <v>32.84</v>
      </c>
      <c r="O1496" s="60" t="n">
        <v>1499.9</v>
      </c>
    </row>
    <row r="1497" customFormat="false" ht="15" hidden="false" customHeight="false" outlineLevel="0" collapsed="false">
      <c r="A1497" s="0" t="n">
        <v>3</v>
      </c>
      <c r="B1497" s="59" t="n">
        <v>46224</v>
      </c>
      <c r="C1497" s="0" t="n">
        <v>100</v>
      </c>
      <c r="D1497" s="0" t="s">
        <v>2181</v>
      </c>
      <c r="E1497" s="0" t="n">
        <v>42</v>
      </c>
      <c r="F1497" s="0" t="s">
        <v>81</v>
      </c>
      <c r="I1497" s="0" t="n">
        <v>1427510</v>
      </c>
      <c r="J1497" s="0" t="n">
        <v>100014</v>
      </c>
      <c r="K1497" s="0" t="n">
        <v>15</v>
      </c>
      <c r="L1497" s="0" t="s">
        <v>2234</v>
      </c>
      <c r="N1497" s="0" t="n">
        <v>13.062</v>
      </c>
      <c r="O1497" s="60" t="n">
        <v>607.43</v>
      </c>
    </row>
    <row r="1498" customFormat="false" ht="15" hidden="false" customHeight="false" outlineLevel="0" collapsed="false">
      <c r="A1498" s="0" t="n">
        <v>3</v>
      </c>
      <c r="B1498" s="59" t="n">
        <v>46224</v>
      </c>
      <c r="C1498" s="0" t="n">
        <v>100</v>
      </c>
      <c r="D1498" s="0" t="s">
        <v>2181</v>
      </c>
      <c r="E1498" s="0" t="n">
        <v>42</v>
      </c>
      <c r="F1498" s="0" t="s">
        <v>81</v>
      </c>
      <c r="I1498" s="0" t="n">
        <v>1427510</v>
      </c>
      <c r="J1498" s="0" t="n">
        <v>100015</v>
      </c>
      <c r="K1498" s="0" t="n">
        <v>16</v>
      </c>
      <c r="L1498" s="0" t="s">
        <v>2235</v>
      </c>
      <c r="N1498" s="0" t="n">
        <v>4.429</v>
      </c>
      <c r="O1498" s="60" t="n">
        <v>187.57</v>
      </c>
    </row>
    <row r="1499" customFormat="false" ht="15" hidden="false" customHeight="false" outlineLevel="0" collapsed="false">
      <c r="A1499" s="0" t="n">
        <v>3</v>
      </c>
      <c r="B1499" s="59" t="n">
        <v>46224</v>
      </c>
      <c r="C1499" s="0" t="n">
        <v>100</v>
      </c>
      <c r="D1499" s="0" t="s">
        <v>2181</v>
      </c>
      <c r="E1499" s="0" t="n">
        <v>42</v>
      </c>
      <c r="F1499" s="0" t="s">
        <v>81</v>
      </c>
      <c r="I1499" s="0" t="n">
        <v>1427510</v>
      </c>
      <c r="J1499" s="0" t="n">
        <v>100016</v>
      </c>
      <c r="K1499" s="0" t="n">
        <v>17</v>
      </c>
      <c r="L1499" s="0" t="s">
        <v>2236</v>
      </c>
      <c r="N1499" s="0" t="n">
        <v>6.15</v>
      </c>
      <c r="O1499" s="60" t="n">
        <v>280.89</v>
      </c>
    </row>
    <row r="1500" customFormat="false" ht="15" hidden="false" customHeight="false" outlineLevel="0" collapsed="false">
      <c r="A1500" s="0" t="n">
        <v>3</v>
      </c>
      <c r="B1500" s="59" t="n">
        <v>46224</v>
      </c>
      <c r="C1500" s="0" t="n">
        <v>100</v>
      </c>
      <c r="D1500" s="0" t="s">
        <v>2181</v>
      </c>
      <c r="E1500" s="0" t="n">
        <v>42</v>
      </c>
      <c r="F1500" s="0" t="s">
        <v>81</v>
      </c>
      <c r="I1500" s="0" t="n">
        <v>1427510</v>
      </c>
      <c r="J1500" s="0" t="n">
        <v>100017</v>
      </c>
      <c r="K1500" s="0" t="n">
        <v>18</v>
      </c>
      <c r="L1500" s="0" t="s">
        <v>2237</v>
      </c>
      <c r="N1500" s="0" t="n">
        <v>4.846</v>
      </c>
      <c r="O1500" s="60" t="n">
        <v>261.58</v>
      </c>
    </row>
    <row r="1501" customFormat="false" ht="15" hidden="false" customHeight="false" outlineLevel="0" collapsed="false">
      <c r="A1501" s="0" t="n">
        <v>3</v>
      </c>
      <c r="B1501" s="59" t="n">
        <v>46224</v>
      </c>
      <c r="C1501" s="0" t="n">
        <v>100</v>
      </c>
      <c r="D1501" s="0" t="s">
        <v>2181</v>
      </c>
      <c r="E1501" s="0" t="n">
        <v>42</v>
      </c>
      <c r="F1501" s="0" t="s">
        <v>81</v>
      </c>
      <c r="I1501" s="0" t="n">
        <v>1427510</v>
      </c>
      <c r="J1501" s="0" t="n">
        <v>100053</v>
      </c>
      <c r="K1501" s="0" t="n">
        <v>54</v>
      </c>
      <c r="L1501" s="0" t="s">
        <v>2238</v>
      </c>
      <c r="N1501" s="0" t="n">
        <v>4.553</v>
      </c>
      <c r="O1501" s="60" t="n">
        <v>170.13</v>
      </c>
    </row>
    <row r="1502" customFormat="false" ht="15" hidden="false" customHeight="false" outlineLevel="0" collapsed="false">
      <c r="A1502" s="0" t="n">
        <v>3</v>
      </c>
      <c r="B1502" s="59" t="n">
        <v>46224</v>
      </c>
      <c r="C1502" s="0" t="n">
        <v>100</v>
      </c>
      <c r="D1502" s="0" t="s">
        <v>2181</v>
      </c>
      <c r="E1502" s="0" t="n">
        <v>42</v>
      </c>
      <c r="F1502" s="0" t="s">
        <v>81</v>
      </c>
      <c r="I1502" s="0" t="n">
        <v>1427510</v>
      </c>
      <c r="J1502" s="0" t="n">
        <v>100638</v>
      </c>
      <c r="K1502" s="0" t="n">
        <v>508</v>
      </c>
      <c r="L1502" s="0" t="s">
        <v>2178</v>
      </c>
      <c r="N1502" s="0" t="n">
        <v>7.776</v>
      </c>
      <c r="O1502" s="60" t="n">
        <v>12.85</v>
      </c>
    </row>
    <row r="1503" customFormat="false" ht="15" hidden="false" customHeight="false" outlineLevel="0" collapsed="false">
      <c r="A1503" s="0" t="n">
        <v>3</v>
      </c>
      <c r="B1503" s="59" t="n">
        <v>46224</v>
      </c>
      <c r="C1503" s="0" t="n">
        <v>100</v>
      </c>
      <c r="D1503" s="0" t="s">
        <v>2181</v>
      </c>
      <c r="E1503" s="0" t="n">
        <v>42</v>
      </c>
      <c r="F1503" s="0" t="s">
        <v>81</v>
      </c>
      <c r="I1503" s="0" t="n">
        <v>1427510</v>
      </c>
      <c r="J1503" s="0" t="n">
        <v>100520</v>
      </c>
      <c r="K1503" s="0" t="n">
        <v>507</v>
      </c>
      <c r="L1503" s="0" t="s">
        <v>2179</v>
      </c>
      <c r="N1503" s="0" t="n">
        <v>36.84</v>
      </c>
      <c r="O1503" s="60" t="n">
        <v>91.49</v>
      </c>
    </row>
    <row r="1504" customFormat="false" ht="15" hidden="false" customHeight="false" outlineLevel="0" collapsed="false">
      <c r="A1504" s="0" t="n">
        <v>3</v>
      </c>
      <c r="B1504" s="59" t="n">
        <v>46224</v>
      </c>
      <c r="C1504" s="0" t="n">
        <v>100</v>
      </c>
      <c r="D1504" s="0" t="s">
        <v>2181</v>
      </c>
      <c r="E1504" s="0" t="n">
        <v>42</v>
      </c>
      <c r="F1504" s="0" t="s">
        <v>81</v>
      </c>
      <c r="I1504" s="0" t="n">
        <v>1427510</v>
      </c>
      <c r="J1504" s="0" t="n">
        <v>110455</v>
      </c>
      <c r="K1504" s="0" t="n">
        <v>53212</v>
      </c>
      <c r="L1504" s="0" t="s">
        <v>2180</v>
      </c>
      <c r="N1504" s="0" t="n">
        <v>2.086</v>
      </c>
      <c r="O1504" s="60" t="n">
        <v>0</v>
      </c>
    </row>
    <row r="1505" customFormat="false" ht="15" hidden="false" customHeight="false" outlineLevel="0" collapsed="false">
      <c r="A1505" s="0" t="n">
        <v>3</v>
      </c>
      <c r="B1505" s="59" t="n">
        <v>46224</v>
      </c>
      <c r="C1505" s="0" t="n">
        <v>100</v>
      </c>
      <c r="D1505" s="0" t="s">
        <v>2181</v>
      </c>
      <c r="E1505" s="0" t="n">
        <v>42</v>
      </c>
      <c r="F1505" s="0" t="s">
        <v>81</v>
      </c>
      <c r="I1505" s="0" t="n">
        <v>1427797</v>
      </c>
      <c r="J1505" s="0" t="n">
        <v>100006</v>
      </c>
      <c r="K1505" s="0" t="n">
        <v>7</v>
      </c>
      <c r="L1505" s="0" t="s">
        <v>2228</v>
      </c>
      <c r="N1505" s="0" t="n">
        <v>7.052</v>
      </c>
      <c r="O1505" s="60" t="n">
        <v>239.21</v>
      </c>
    </row>
    <row r="1506" customFormat="false" ht="15" hidden="false" customHeight="false" outlineLevel="0" collapsed="false">
      <c r="A1506" s="0" t="n">
        <v>3</v>
      </c>
      <c r="B1506" s="59" t="n">
        <v>46224</v>
      </c>
      <c r="C1506" s="0" t="n">
        <v>100</v>
      </c>
      <c r="D1506" s="0" t="s">
        <v>2181</v>
      </c>
      <c r="E1506" s="0" t="n">
        <v>42</v>
      </c>
      <c r="F1506" s="0" t="s">
        <v>81</v>
      </c>
      <c r="I1506" s="0" t="n">
        <v>1427797</v>
      </c>
      <c r="J1506" s="0" t="n">
        <v>100010</v>
      </c>
      <c r="K1506" s="0" t="n">
        <v>11</v>
      </c>
      <c r="L1506" s="0" t="s">
        <v>2230</v>
      </c>
      <c r="N1506" s="0" t="n">
        <v>3.503</v>
      </c>
      <c r="O1506" s="60" t="n">
        <v>139.62</v>
      </c>
    </row>
    <row r="1507" customFormat="false" ht="15" hidden="false" customHeight="false" outlineLevel="0" collapsed="false">
      <c r="A1507" s="0" t="n">
        <v>3</v>
      </c>
      <c r="B1507" s="59" t="n">
        <v>46224</v>
      </c>
      <c r="C1507" s="0" t="n">
        <v>100</v>
      </c>
      <c r="D1507" s="0" t="s">
        <v>2181</v>
      </c>
      <c r="E1507" s="0" t="n">
        <v>42</v>
      </c>
      <c r="F1507" s="0" t="s">
        <v>81</v>
      </c>
      <c r="I1507" s="0" t="n">
        <v>1427797</v>
      </c>
      <c r="J1507" s="0" t="n">
        <v>100011</v>
      </c>
      <c r="K1507" s="0" t="n">
        <v>12</v>
      </c>
      <c r="L1507" s="0" t="s">
        <v>2231</v>
      </c>
      <c r="N1507" s="0" t="n">
        <v>8.848</v>
      </c>
      <c r="O1507" s="60" t="n">
        <v>352.66</v>
      </c>
    </row>
    <row r="1508" customFormat="false" ht="15" hidden="false" customHeight="false" outlineLevel="0" collapsed="false">
      <c r="A1508" s="0" t="n">
        <v>3</v>
      </c>
      <c r="B1508" s="59" t="n">
        <v>46224</v>
      </c>
      <c r="C1508" s="0" t="n">
        <v>100</v>
      </c>
      <c r="D1508" s="0" t="s">
        <v>2181</v>
      </c>
      <c r="E1508" s="0" t="n">
        <v>42</v>
      </c>
      <c r="F1508" s="0" t="s">
        <v>81</v>
      </c>
      <c r="I1508" s="0" t="n">
        <v>1427797</v>
      </c>
      <c r="J1508" s="0" t="n">
        <v>100012</v>
      </c>
      <c r="K1508" s="0" t="n">
        <v>13</v>
      </c>
      <c r="L1508" s="0" t="s">
        <v>2232</v>
      </c>
      <c r="N1508" s="0" t="n">
        <v>6.874</v>
      </c>
      <c r="O1508" s="60" t="n">
        <v>297.3</v>
      </c>
    </row>
    <row r="1509" customFormat="false" ht="15" hidden="false" customHeight="false" outlineLevel="0" collapsed="false">
      <c r="A1509" s="0" t="n">
        <v>3</v>
      </c>
      <c r="B1509" s="59" t="n">
        <v>46224</v>
      </c>
      <c r="C1509" s="0" t="n">
        <v>100</v>
      </c>
      <c r="D1509" s="0" t="s">
        <v>2181</v>
      </c>
      <c r="E1509" s="0" t="n">
        <v>42</v>
      </c>
      <c r="F1509" s="0" t="s">
        <v>81</v>
      </c>
      <c r="I1509" s="0" t="n">
        <v>1427797</v>
      </c>
      <c r="J1509" s="0" t="n">
        <v>100013</v>
      </c>
      <c r="K1509" s="0" t="n">
        <v>14</v>
      </c>
      <c r="L1509" s="0" t="s">
        <v>2233</v>
      </c>
      <c r="N1509" s="0" t="n">
        <v>13.703</v>
      </c>
      <c r="O1509" s="60" t="n">
        <v>639.16</v>
      </c>
    </row>
    <row r="1510" customFormat="false" ht="15" hidden="false" customHeight="false" outlineLevel="0" collapsed="false">
      <c r="A1510" s="0" t="n">
        <v>3</v>
      </c>
      <c r="B1510" s="59" t="n">
        <v>46224</v>
      </c>
      <c r="C1510" s="0" t="n">
        <v>100</v>
      </c>
      <c r="D1510" s="0" t="s">
        <v>2181</v>
      </c>
      <c r="E1510" s="0" t="n">
        <v>42</v>
      </c>
      <c r="F1510" s="0" t="s">
        <v>81</v>
      </c>
      <c r="I1510" s="0" t="n">
        <v>1427797</v>
      </c>
      <c r="J1510" s="0" t="n">
        <v>100014</v>
      </c>
      <c r="K1510" s="0" t="n">
        <v>15</v>
      </c>
      <c r="L1510" s="0" t="s">
        <v>2234</v>
      </c>
      <c r="N1510" s="0" t="n">
        <v>5.309</v>
      </c>
      <c r="O1510" s="60" t="n">
        <v>252.13</v>
      </c>
    </row>
    <row r="1511" customFormat="false" ht="15" hidden="false" customHeight="false" outlineLevel="0" collapsed="false">
      <c r="A1511" s="0" t="n">
        <v>3</v>
      </c>
      <c r="B1511" s="59" t="n">
        <v>46224</v>
      </c>
      <c r="C1511" s="0" t="n">
        <v>100</v>
      </c>
      <c r="D1511" s="0" t="s">
        <v>2181</v>
      </c>
      <c r="E1511" s="0" t="n">
        <v>42</v>
      </c>
      <c r="F1511" s="0" t="s">
        <v>81</v>
      </c>
      <c r="I1511" s="0" t="n">
        <v>1427797</v>
      </c>
      <c r="J1511" s="0" t="n">
        <v>100015</v>
      </c>
      <c r="K1511" s="0" t="n">
        <v>16</v>
      </c>
      <c r="L1511" s="0" t="s">
        <v>2235</v>
      </c>
      <c r="N1511" s="0" t="n">
        <v>2.147</v>
      </c>
      <c r="O1511" s="60" t="n">
        <v>92.86</v>
      </c>
    </row>
    <row r="1512" customFormat="false" ht="15" hidden="false" customHeight="false" outlineLevel="0" collapsed="false">
      <c r="A1512" s="0" t="n">
        <v>3</v>
      </c>
      <c r="B1512" s="59" t="n">
        <v>46224</v>
      </c>
      <c r="C1512" s="0" t="n">
        <v>100</v>
      </c>
      <c r="D1512" s="0" t="s">
        <v>2181</v>
      </c>
      <c r="E1512" s="0" t="n">
        <v>42</v>
      </c>
      <c r="F1512" s="0" t="s">
        <v>81</v>
      </c>
      <c r="I1512" s="0" t="n">
        <v>1427797</v>
      </c>
      <c r="J1512" s="0" t="n">
        <v>100017</v>
      </c>
      <c r="K1512" s="0" t="n">
        <v>18</v>
      </c>
      <c r="L1512" s="0" t="s">
        <v>2237</v>
      </c>
      <c r="N1512" s="0" t="n">
        <v>2.628</v>
      </c>
      <c r="O1512" s="60" t="n">
        <v>144.87</v>
      </c>
    </row>
    <row r="1513" customFormat="false" ht="15" hidden="false" customHeight="false" outlineLevel="0" collapsed="false">
      <c r="A1513" s="0" t="n">
        <v>3</v>
      </c>
      <c r="B1513" s="59" t="n">
        <v>46224</v>
      </c>
      <c r="C1513" s="0" t="n">
        <v>100</v>
      </c>
      <c r="D1513" s="0" t="s">
        <v>2181</v>
      </c>
      <c r="E1513" s="0" t="n">
        <v>42</v>
      </c>
      <c r="F1513" s="0" t="s">
        <v>81</v>
      </c>
      <c r="I1513" s="0" t="n">
        <v>1427797</v>
      </c>
      <c r="J1513" s="0" t="n">
        <v>100023</v>
      </c>
      <c r="K1513" s="0" t="n">
        <v>24</v>
      </c>
      <c r="L1513" s="0" t="s">
        <v>2678</v>
      </c>
      <c r="N1513" s="0" t="n">
        <v>0.499</v>
      </c>
      <c r="O1513" s="60" t="n">
        <v>5.92</v>
      </c>
    </row>
    <row r="1514" customFormat="false" ht="15" hidden="false" customHeight="false" outlineLevel="0" collapsed="false">
      <c r="A1514" s="0" t="n">
        <v>3</v>
      </c>
      <c r="B1514" s="59" t="n">
        <v>46224</v>
      </c>
      <c r="C1514" s="0" t="n">
        <v>100</v>
      </c>
      <c r="D1514" s="0" t="s">
        <v>2181</v>
      </c>
      <c r="E1514" s="0" t="n">
        <v>42</v>
      </c>
      <c r="F1514" s="0" t="s">
        <v>81</v>
      </c>
      <c r="I1514" s="0" t="n">
        <v>1427797</v>
      </c>
      <c r="J1514" s="0" t="n">
        <v>100638</v>
      </c>
      <c r="K1514" s="0" t="n">
        <v>508</v>
      </c>
      <c r="L1514" s="0" t="s">
        <v>2178</v>
      </c>
      <c r="N1514" s="0" t="n">
        <v>3.961</v>
      </c>
      <c r="O1514" s="60" t="n">
        <v>6.69</v>
      </c>
    </row>
    <row r="1515" customFormat="false" ht="15" hidden="false" customHeight="false" outlineLevel="0" collapsed="false">
      <c r="A1515" s="0" t="n">
        <v>3</v>
      </c>
      <c r="B1515" s="59" t="n">
        <v>46224</v>
      </c>
      <c r="C1515" s="0" t="n">
        <v>100</v>
      </c>
      <c r="D1515" s="0" t="s">
        <v>2181</v>
      </c>
      <c r="E1515" s="0" t="n">
        <v>42</v>
      </c>
      <c r="F1515" s="0" t="s">
        <v>81</v>
      </c>
      <c r="I1515" s="0" t="n">
        <v>1427797</v>
      </c>
      <c r="J1515" s="0" t="n">
        <v>100520</v>
      </c>
      <c r="K1515" s="0" t="n">
        <v>507</v>
      </c>
      <c r="L1515" s="0" t="s">
        <v>2179</v>
      </c>
      <c r="N1515" s="0" t="n">
        <v>11.762</v>
      </c>
      <c r="O1515" s="60" t="n">
        <v>29.83</v>
      </c>
    </row>
    <row r="1516" customFormat="false" ht="15" hidden="false" customHeight="false" outlineLevel="0" collapsed="false">
      <c r="A1516" s="0" t="n">
        <v>3</v>
      </c>
      <c r="B1516" s="59" t="n">
        <v>46224</v>
      </c>
      <c r="C1516" s="0" t="n">
        <v>100</v>
      </c>
      <c r="D1516" s="0" t="s">
        <v>2181</v>
      </c>
      <c r="E1516" s="0" t="n">
        <v>42</v>
      </c>
      <c r="F1516" s="0" t="s">
        <v>81</v>
      </c>
      <c r="I1516" s="0" t="n">
        <v>1427797</v>
      </c>
      <c r="J1516" s="0" t="n">
        <v>110455</v>
      </c>
      <c r="K1516" s="0" t="n">
        <v>53212</v>
      </c>
      <c r="L1516" s="0" t="s">
        <v>2180</v>
      </c>
      <c r="N1516" s="0" t="n">
        <v>1.414</v>
      </c>
      <c r="O1516" s="60" t="n">
        <v>0</v>
      </c>
    </row>
    <row r="1517" customFormat="false" ht="15" hidden="false" customHeight="false" outlineLevel="0" collapsed="false">
      <c r="A1517" s="0" t="n">
        <v>3</v>
      </c>
      <c r="B1517" s="59" t="n">
        <v>46224</v>
      </c>
      <c r="C1517" s="0" t="n">
        <v>100</v>
      </c>
      <c r="D1517" s="0" t="s">
        <v>2181</v>
      </c>
      <c r="E1517" s="0" t="n">
        <v>42</v>
      </c>
      <c r="F1517" s="0" t="s">
        <v>81</v>
      </c>
      <c r="I1517" s="0" t="n">
        <v>1427801</v>
      </c>
      <c r="J1517" s="0" t="n">
        <v>100006</v>
      </c>
      <c r="K1517" s="0" t="n">
        <v>7</v>
      </c>
      <c r="L1517" s="0" t="s">
        <v>2228</v>
      </c>
      <c r="N1517" s="0" t="n">
        <v>4.366</v>
      </c>
      <c r="O1517" s="60" t="n">
        <v>147.51</v>
      </c>
    </row>
    <row r="1518" customFormat="false" ht="15" hidden="false" customHeight="false" outlineLevel="0" collapsed="false">
      <c r="A1518" s="0" t="n">
        <v>3</v>
      </c>
      <c r="B1518" s="59" t="n">
        <v>46224</v>
      </c>
      <c r="C1518" s="0" t="n">
        <v>100</v>
      </c>
      <c r="D1518" s="0" t="s">
        <v>2181</v>
      </c>
      <c r="E1518" s="0" t="n">
        <v>42</v>
      </c>
      <c r="F1518" s="0" t="s">
        <v>81</v>
      </c>
      <c r="I1518" s="0" t="n">
        <v>1427801</v>
      </c>
      <c r="J1518" s="0" t="n">
        <v>100008</v>
      </c>
      <c r="K1518" s="0" t="n">
        <v>9</v>
      </c>
      <c r="L1518" s="0" t="s">
        <v>2229</v>
      </c>
      <c r="N1518" s="0" t="n">
        <v>9.521</v>
      </c>
      <c r="O1518" s="60" t="n">
        <v>329.72</v>
      </c>
    </row>
    <row r="1519" customFormat="false" ht="15" hidden="false" customHeight="false" outlineLevel="0" collapsed="false">
      <c r="A1519" s="0" t="n">
        <v>3</v>
      </c>
      <c r="B1519" s="59" t="n">
        <v>46224</v>
      </c>
      <c r="C1519" s="0" t="n">
        <v>100</v>
      </c>
      <c r="D1519" s="0" t="s">
        <v>2181</v>
      </c>
      <c r="E1519" s="0" t="n">
        <v>42</v>
      </c>
      <c r="F1519" s="0" t="s">
        <v>81</v>
      </c>
      <c r="I1519" s="0" t="n">
        <v>1427801</v>
      </c>
      <c r="J1519" s="0" t="n">
        <v>100010</v>
      </c>
      <c r="K1519" s="0" t="n">
        <v>11</v>
      </c>
      <c r="L1519" s="0" t="s">
        <v>2230</v>
      </c>
      <c r="N1519" s="0" t="n">
        <v>2.093</v>
      </c>
      <c r="O1519" s="60" t="n">
        <v>83.09</v>
      </c>
    </row>
    <row r="1520" customFormat="false" ht="15" hidden="false" customHeight="false" outlineLevel="0" collapsed="false">
      <c r="A1520" s="0" t="n">
        <v>3</v>
      </c>
      <c r="B1520" s="59" t="n">
        <v>46224</v>
      </c>
      <c r="C1520" s="0" t="n">
        <v>100</v>
      </c>
      <c r="D1520" s="0" t="s">
        <v>2181</v>
      </c>
      <c r="E1520" s="0" t="n">
        <v>42</v>
      </c>
      <c r="F1520" s="0" t="s">
        <v>81</v>
      </c>
      <c r="I1520" s="0" t="n">
        <v>1427801</v>
      </c>
      <c r="J1520" s="0" t="n">
        <v>100011</v>
      </c>
      <c r="K1520" s="0" t="n">
        <v>12</v>
      </c>
      <c r="L1520" s="0" t="s">
        <v>2231</v>
      </c>
      <c r="N1520" s="0" t="n">
        <v>3.742</v>
      </c>
      <c r="O1520" s="60" t="n">
        <v>148.56</v>
      </c>
    </row>
    <row r="1521" customFormat="false" ht="15" hidden="false" customHeight="false" outlineLevel="0" collapsed="false">
      <c r="A1521" s="0" t="n">
        <v>3</v>
      </c>
      <c r="B1521" s="59" t="n">
        <v>46224</v>
      </c>
      <c r="C1521" s="0" t="n">
        <v>100</v>
      </c>
      <c r="D1521" s="0" t="s">
        <v>2181</v>
      </c>
      <c r="E1521" s="0" t="n">
        <v>42</v>
      </c>
      <c r="F1521" s="0" t="s">
        <v>81</v>
      </c>
      <c r="I1521" s="0" t="n">
        <v>1427801</v>
      </c>
      <c r="J1521" s="0" t="n">
        <v>100012</v>
      </c>
      <c r="K1521" s="0" t="n">
        <v>13</v>
      </c>
      <c r="L1521" s="0" t="s">
        <v>2232</v>
      </c>
      <c r="N1521" s="0" t="n">
        <v>3.035</v>
      </c>
      <c r="O1521" s="60" t="n">
        <v>130.75</v>
      </c>
    </row>
    <row r="1522" customFormat="false" ht="15" hidden="false" customHeight="false" outlineLevel="0" collapsed="false">
      <c r="A1522" s="0" t="n">
        <v>3</v>
      </c>
      <c r="B1522" s="59" t="n">
        <v>46224</v>
      </c>
      <c r="C1522" s="0" t="n">
        <v>100</v>
      </c>
      <c r="D1522" s="0" t="s">
        <v>2181</v>
      </c>
      <c r="E1522" s="0" t="n">
        <v>42</v>
      </c>
      <c r="F1522" s="0" t="s">
        <v>81</v>
      </c>
      <c r="I1522" s="0" t="n">
        <v>1427801</v>
      </c>
      <c r="J1522" s="0" t="n">
        <v>100013</v>
      </c>
      <c r="K1522" s="0" t="n">
        <v>14</v>
      </c>
      <c r="L1522" s="0" t="s">
        <v>2233</v>
      </c>
      <c r="N1522" s="0" t="n">
        <v>6.581</v>
      </c>
      <c r="O1522" s="60" t="n">
        <v>305.75</v>
      </c>
    </row>
    <row r="1523" customFormat="false" ht="15" hidden="false" customHeight="false" outlineLevel="0" collapsed="false">
      <c r="A1523" s="0" t="n">
        <v>3</v>
      </c>
      <c r="B1523" s="59" t="n">
        <v>46224</v>
      </c>
      <c r="C1523" s="0" t="n">
        <v>100</v>
      </c>
      <c r="D1523" s="0" t="s">
        <v>2181</v>
      </c>
      <c r="E1523" s="0" t="n">
        <v>42</v>
      </c>
      <c r="F1523" s="0" t="s">
        <v>81</v>
      </c>
      <c r="I1523" s="0" t="n">
        <v>1427801</v>
      </c>
      <c r="J1523" s="0" t="n">
        <v>100014</v>
      </c>
      <c r="K1523" s="0" t="n">
        <v>15</v>
      </c>
      <c r="L1523" s="0" t="s">
        <v>2234</v>
      </c>
      <c r="N1523" s="0" t="n">
        <v>2.636</v>
      </c>
      <c r="O1523" s="60" t="n">
        <v>124.69</v>
      </c>
    </row>
    <row r="1524" customFormat="false" ht="15" hidden="false" customHeight="false" outlineLevel="0" collapsed="false">
      <c r="A1524" s="0" t="n">
        <v>3</v>
      </c>
      <c r="B1524" s="59" t="n">
        <v>46224</v>
      </c>
      <c r="C1524" s="0" t="n">
        <v>100</v>
      </c>
      <c r="D1524" s="0" t="s">
        <v>2181</v>
      </c>
      <c r="E1524" s="0" t="n">
        <v>42</v>
      </c>
      <c r="F1524" s="0" t="s">
        <v>81</v>
      </c>
      <c r="I1524" s="0" t="n">
        <v>1427801</v>
      </c>
      <c r="J1524" s="0" t="n">
        <v>100015</v>
      </c>
      <c r="K1524" s="0" t="n">
        <v>16</v>
      </c>
      <c r="L1524" s="0" t="s">
        <v>2235</v>
      </c>
      <c r="N1524" s="0" t="n">
        <v>0.933</v>
      </c>
      <c r="O1524" s="60" t="n">
        <v>40.19</v>
      </c>
    </row>
    <row r="1525" customFormat="false" ht="15" hidden="false" customHeight="false" outlineLevel="0" collapsed="false">
      <c r="A1525" s="0" t="n">
        <v>3</v>
      </c>
      <c r="B1525" s="59" t="n">
        <v>46224</v>
      </c>
      <c r="C1525" s="0" t="n">
        <v>100</v>
      </c>
      <c r="D1525" s="0" t="s">
        <v>2181</v>
      </c>
      <c r="E1525" s="0" t="n">
        <v>42</v>
      </c>
      <c r="F1525" s="0" t="s">
        <v>81</v>
      </c>
      <c r="I1525" s="0" t="n">
        <v>1427801</v>
      </c>
      <c r="J1525" s="0" t="n">
        <v>100016</v>
      </c>
      <c r="K1525" s="0" t="n">
        <v>17</v>
      </c>
      <c r="L1525" s="0" t="s">
        <v>2236</v>
      </c>
      <c r="N1525" s="0" t="n">
        <v>1.234</v>
      </c>
      <c r="O1525" s="60" t="n">
        <v>57.33</v>
      </c>
    </row>
    <row r="1526" customFormat="false" ht="15" hidden="false" customHeight="false" outlineLevel="0" collapsed="false">
      <c r="A1526" s="0" t="n">
        <v>3</v>
      </c>
      <c r="B1526" s="59" t="n">
        <v>46224</v>
      </c>
      <c r="C1526" s="0" t="n">
        <v>100</v>
      </c>
      <c r="D1526" s="0" t="s">
        <v>2181</v>
      </c>
      <c r="E1526" s="0" t="n">
        <v>42</v>
      </c>
      <c r="F1526" s="0" t="s">
        <v>81</v>
      </c>
      <c r="I1526" s="0" t="n">
        <v>1427801</v>
      </c>
      <c r="J1526" s="0" t="n">
        <v>100017</v>
      </c>
      <c r="K1526" s="0" t="n">
        <v>18</v>
      </c>
      <c r="L1526" s="0" t="s">
        <v>2237</v>
      </c>
      <c r="N1526" s="0" t="n">
        <v>1.254</v>
      </c>
      <c r="O1526" s="60" t="n">
        <v>68.85</v>
      </c>
    </row>
    <row r="1527" customFormat="false" ht="15" hidden="false" customHeight="false" outlineLevel="0" collapsed="false">
      <c r="A1527" s="0" t="n">
        <v>3</v>
      </c>
      <c r="B1527" s="59" t="n">
        <v>46224</v>
      </c>
      <c r="C1527" s="0" t="n">
        <v>100</v>
      </c>
      <c r="D1527" s="0" t="s">
        <v>2181</v>
      </c>
      <c r="E1527" s="0" t="n">
        <v>42</v>
      </c>
      <c r="F1527" s="0" t="s">
        <v>81</v>
      </c>
      <c r="I1527" s="0" t="n">
        <v>1427801</v>
      </c>
      <c r="J1527" s="0" t="n">
        <v>100053</v>
      </c>
      <c r="K1527" s="0" t="n">
        <v>54</v>
      </c>
      <c r="L1527" s="0" t="s">
        <v>2238</v>
      </c>
      <c r="N1527" s="0" t="n">
        <v>0.649</v>
      </c>
      <c r="O1527" s="60" t="n">
        <v>24.67</v>
      </c>
    </row>
    <row r="1528" customFormat="false" ht="15" hidden="false" customHeight="false" outlineLevel="0" collapsed="false">
      <c r="A1528" s="0" t="n">
        <v>3</v>
      </c>
      <c r="B1528" s="59" t="n">
        <v>46224</v>
      </c>
      <c r="C1528" s="0" t="n">
        <v>100</v>
      </c>
      <c r="D1528" s="0" t="s">
        <v>2181</v>
      </c>
      <c r="E1528" s="0" t="n">
        <v>42</v>
      </c>
      <c r="F1528" s="0" t="s">
        <v>81</v>
      </c>
      <c r="I1528" s="0" t="n">
        <v>1427801</v>
      </c>
      <c r="J1528" s="0" t="n">
        <v>100638</v>
      </c>
      <c r="K1528" s="0" t="n">
        <v>508</v>
      </c>
      <c r="L1528" s="0" t="s">
        <v>2178</v>
      </c>
      <c r="N1528" s="0" t="n">
        <v>1.862</v>
      </c>
      <c r="O1528" s="60" t="n">
        <v>3.13</v>
      </c>
    </row>
    <row r="1529" customFormat="false" ht="15" hidden="false" customHeight="false" outlineLevel="0" collapsed="false">
      <c r="A1529" s="0" t="n">
        <v>3</v>
      </c>
      <c r="B1529" s="59" t="n">
        <v>46224</v>
      </c>
      <c r="C1529" s="0" t="n">
        <v>100</v>
      </c>
      <c r="D1529" s="0" t="s">
        <v>2181</v>
      </c>
      <c r="E1529" s="0" t="n">
        <v>42</v>
      </c>
      <c r="F1529" s="0" t="s">
        <v>81</v>
      </c>
      <c r="I1529" s="0" t="n">
        <v>1427801</v>
      </c>
      <c r="J1529" s="0" t="n">
        <v>100520</v>
      </c>
      <c r="K1529" s="0" t="n">
        <v>507</v>
      </c>
      <c r="L1529" s="0" t="s">
        <v>2179</v>
      </c>
      <c r="N1529" s="0" t="n">
        <v>7.029</v>
      </c>
      <c r="O1529" s="60" t="n">
        <v>17.76</v>
      </c>
    </row>
    <row r="1530" customFormat="false" ht="15" hidden="false" customHeight="false" outlineLevel="0" collapsed="false">
      <c r="A1530" s="0" t="n">
        <v>3</v>
      </c>
      <c r="B1530" s="59" t="n">
        <v>46224</v>
      </c>
      <c r="C1530" s="0" t="n">
        <v>100</v>
      </c>
      <c r="D1530" s="0" t="s">
        <v>2181</v>
      </c>
      <c r="E1530" s="0" t="n">
        <v>42</v>
      </c>
      <c r="F1530" s="0" t="s">
        <v>81</v>
      </c>
      <c r="I1530" s="0" t="n">
        <v>1427801</v>
      </c>
      <c r="J1530" s="0" t="n">
        <v>110455</v>
      </c>
      <c r="K1530" s="0" t="n">
        <v>53212</v>
      </c>
      <c r="L1530" s="0" t="s">
        <v>2180</v>
      </c>
      <c r="N1530" s="0" t="n">
        <v>0.665</v>
      </c>
      <c r="O1530" s="60" t="n">
        <v>0</v>
      </c>
    </row>
    <row r="1531" customFormat="false" ht="15" hidden="false" customHeight="false" outlineLevel="0" collapsed="false">
      <c r="A1531" s="0" t="n">
        <v>3</v>
      </c>
      <c r="B1531" s="59" t="n">
        <v>46225</v>
      </c>
      <c r="C1531" s="0" t="n">
        <v>6</v>
      </c>
      <c r="D1531" s="0" t="s">
        <v>2125</v>
      </c>
      <c r="E1531" s="0" t="n">
        <v>42</v>
      </c>
      <c r="F1531" s="0" t="s">
        <v>81</v>
      </c>
      <c r="I1531" s="0" t="n">
        <v>4408</v>
      </c>
      <c r="J1531" s="0" t="n">
        <v>109791</v>
      </c>
      <c r="K1531" s="0" t="n">
        <v>9667</v>
      </c>
      <c r="L1531" s="0" t="s">
        <v>2123</v>
      </c>
      <c r="N1531" s="0" t="n">
        <v>6</v>
      </c>
      <c r="O1531" s="60" t="n">
        <v>15</v>
      </c>
    </row>
    <row r="1532" customFormat="false" ht="15" hidden="false" customHeight="false" outlineLevel="0" collapsed="false">
      <c r="A1532" s="0" t="n">
        <v>3</v>
      </c>
      <c r="B1532" s="59" t="n">
        <v>46225</v>
      </c>
      <c r="C1532" s="0" t="n">
        <v>6</v>
      </c>
      <c r="D1532" s="0" t="s">
        <v>2125</v>
      </c>
      <c r="E1532" s="0" t="n">
        <v>42</v>
      </c>
      <c r="F1532" s="0" t="s">
        <v>81</v>
      </c>
      <c r="I1532" s="0" t="n">
        <v>4408</v>
      </c>
      <c r="J1532" s="0" t="n">
        <v>37359</v>
      </c>
      <c r="K1532" s="0" t="n">
        <v>55526</v>
      </c>
      <c r="L1532" s="0" t="s">
        <v>2194</v>
      </c>
      <c r="N1532" s="0" t="n">
        <v>40</v>
      </c>
      <c r="O1532" s="60" t="n">
        <v>80</v>
      </c>
    </row>
    <row r="1533" customFormat="false" ht="15" hidden="false" customHeight="false" outlineLevel="0" collapsed="false">
      <c r="A1533" s="0" t="n">
        <v>3</v>
      </c>
      <c r="B1533" s="59" t="n">
        <v>46225</v>
      </c>
      <c r="C1533" s="0" t="n">
        <v>6</v>
      </c>
      <c r="D1533" s="0" t="s">
        <v>2125</v>
      </c>
      <c r="E1533" s="0" t="n">
        <v>42</v>
      </c>
      <c r="F1533" s="0" t="s">
        <v>81</v>
      </c>
      <c r="I1533" s="0" t="n">
        <v>4408</v>
      </c>
      <c r="J1533" s="0" t="n">
        <v>37361</v>
      </c>
      <c r="K1533" s="0" t="n">
        <v>2240817</v>
      </c>
      <c r="L1533" s="0" t="s">
        <v>2124</v>
      </c>
      <c r="N1533" s="0" t="n">
        <v>5</v>
      </c>
      <c r="O1533" s="60" t="n">
        <v>25</v>
      </c>
    </row>
    <row r="1534" customFormat="false" ht="15" hidden="false" customHeight="false" outlineLevel="0" collapsed="false">
      <c r="A1534" s="0" t="n">
        <v>3</v>
      </c>
      <c r="B1534" s="59" t="n">
        <v>46225</v>
      </c>
      <c r="C1534" s="0" t="n">
        <v>6</v>
      </c>
      <c r="D1534" s="0" t="s">
        <v>2125</v>
      </c>
      <c r="E1534" s="0" t="n">
        <v>42</v>
      </c>
      <c r="F1534" s="0" t="s">
        <v>81</v>
      </c>
      <c r="I1534" s="0" t="n">
        <v>4409</v>
      </c>
      <c r="J1534" s="0" t="n">
        <v>74674</v>
      </c>
      <c r="K1534" s="0" t="n">
        <v>741</v>
      </c>
      <c r="L1534" s="0" t="s">
        <v>2473</v>
      </c>
      <c r="N1534" s="0" t="n">
        <v>50</v>
      </c>
      <c r="O1534" s="60" t="n">
        <v>600</v>
      </c>
    </row>
    <row r="1535" customFormat="false" ht="15" hidden="false" customHeight="false" outlineLevel="0" collapsed="false">
      <c r="A1535" s="0" t="n">
        <v>3</v>
      </c>
      <c r="B1535" s="59" t="n">
        <v>46225</v>
      </c>
      <c r="C1535" s="0" t="n">
        <v>6</v>
      </c>
      <c r="D1535" s="0" t="s">
        <v>2125</v>
      </c>
      <c r="E1535" s="0" t="n">
        <v>42</v>
      </c>
      <c r="F1535" s="0" t="s">
        <v>81</v>
      </c>
      <c r="I1535" s="0" t="n">
        <v>4410</v>
      </c>
      <c r="J1535" s="0" t="n">
        <v>100103</v>
      </c>
      <c r="K1535" s="0" t="n">
        <v>104</v>
      </c>
      <c r="L1535" s="0" t="s">
        <v>2193</v>
      </c>
      <c r="N1535" s="0" t="n">
        <v>20</v>
      </c>
      <c r="O1535" s="60" t="n">
        <v>125</v>
      </c>
    </row>
    <row r="1536" customFormat="false" ht="15" hidden="false" customHeight="false" outlineLevel="0" collapsed="false">
      <c r="A1536" s="0" t="n">
        <v>3</v>
      </c>
      <c r="B1536" s="59" t="n">
        <v>46225</v>
      </c>
      <c r="C1536" s="0" t="n">
        <v>11</v>
      </c>
      <c r="D1536" s="0" t="s">
        <v>2126</v>
      </c>
      <c r="E1536" s="0" t="n">
        <v>1609</v>
      </c>
      <c r="F1536" s="0" t="s">
        <v>412</v>
      </c>
      <c r="I1536" s="0" t="n">
        <v>5838</v>
      </c>
      <c r="J1536" s="0" t="n">
        <v>102382</v>
      </c>
      <c r="K1536" s="0" t="n">
        <v>7896981600673</v>
      </c>
      <c r="L1536" s="0" t="s">
        <v>2603</v>
      </c>
      <c r="N1536" s="0" t="n">
        <v>24</v>
      </c>
      <c r="O1536" s="60" t="n">
        <v>55</v>
      </c>
    </row>
    <row r="1537" customFormat="false" ht="15" hidden="false" customHeight="false" outlineLevel="0" collapsed="false">
      <c r="A1537" s="0" t="n">
        <v>3</v>
      </c>
      <c r="B1537" s="59" t="n">
        <v>46225</v>
      </c>
      <c r="C1537" s="0" t="n">
        <v>11</v>
      </c>
      <c r="D1537" s="0" t="s">
        <v>2126</v>
      </c>
      <c r="E1537" s="0" t="n">
        <v>1609</v>
      </c>
      <c r="F1537" s="0" t="s">
        <v>412</v>
      </c>
      <c r="I1537" s="0" t="n">
        <v>5838</v>
      </c>
      <c r="J1537" s="0" t="n">
        <v>13225</v>
      </c>
      <c r="K1537" s="0" t="n">
        <v>7896981601151</v>
      </c>
      <c r="L1537" s="0" t="s">
        <v>2604</v>
      </c>
      <c r="N1537" s="0" t="n">
        <v>12</v>
      </c>
      <c r="O1537" s="60" t="n">
        <v>45</v>
      </c>
    </row>
    <row r="1538" customFormat="false" ht="15" hidden="false" customHeight="false" outlineLevel="0" collapsed="false">
      <c r="A1538" s="0" t="n">
        <v>3</v>
      </c>
      <c r="B1538" s="59" t="n">
        <v>46225</v>
      </c>
      <c r="C1538" s="0" t="n">
        <v>11</v>
      </c>
      <c r="D1538" s="0" t="s">
        <v>2126</v>
      </c>
      <c r="E1538" s="0" t="n">
        <v>1609</v>
      </c>
      <c r="F1538" s="0" t="s">
        <v>412</v>
      </c>
      <c r="I1538" s="0" t="n">
        <v>5838</v>
      </c>
      <c r="J1538" s="0" t="n">
        <v>17163</v>
      </c>
      <c r="K1538" s="0" t="n">
        <v>7896981600567</v>
      </c>
      <c r="L1538" s="0" t="s">
        <v>2606</v>
      </c>
      <c r="N1538" s="0" t="n">
        <v>9</v>
      </c>
      <c r="O1538" s="60" t="n">
        <v>80</v>
      </c>
    </row>
    <row r="1539" customFormat="false" ht="15" hidden="false" customHeight="false" outlineLevel="0" collapsed="false">
      <c r="A1539" s="0" t="n">
        <v>3</v>
      </c>
      <c r="B1539" s="59" t="n">
        <v>46225</v>
      </c>
      <c r="C1539" s="0" t="n">
        <v>11</v>
      </c>
      <c r="D1539" s="0" t="s">
        <v>2126</v>
      </c>
      <c r="E1539" s="0" t="n">
        <v>1609</v>
      </c>
      <c r="F1539" s="0" t="s">
        <v>412</v>
      </c>
      <c r="I1539" s="0" t="n">
        <v>5838</v>
      </c>
      <c r="J1539" s="0" t="n">
        <v>18383</v>
      </c>
      <c r="K1539" s="0" t="n">
        <v>7896878801138</v>
      </c>
      <c r="L1539" s="0" t="s">
        <v>2887</v>
      </c>
      <c r="N1539" s="0" t="n">
        <v>5</v>
      </c>
      <c r="O1539" s="60" t="n">
        <v>20.25</v>
      </c>
    </row>
    <row r="1540" customFormat="false" ht="15" hidden="false" customHeight="false" outlineLevel="0" collapsed="false">
      <c r="A1540" s="0" t="n">
        <v>3</v>
      </c>
      <c r="B1540" s="59" t="n">
        <v>46225</v>
      </c>
      <c r="C1540" s="0" t="n">
        <v>11</v>
      </c>
      <c r="D1540" s="0" t="s">
        <v>2126</v>
      </c>
      <c r="E1540" s="0" t="n">
        <v>1609</v>
      </c>
      <c r="F1540" s="0" t="s">
        <v>412</v>
      </c>
      <c r="I1540" s="0" t="n">
        <v>5838</v>
      </c>
      <c r="J1540" s="0" t="n">
        <v>18384</v>
      </c>
      <c r="K1540" s="0" t="n">
        <v>7896878801206</v>
      </c>
      <c r="L1540" s="0" t="s">
        <v>2608</v>
      </c>
      <c r="N1540" s="0" t="n">
        <v>20</v>
      </c>
      <c r="O1540" s="60" t="n">
        <v>61</v>
      </c>
    </row>
    <row r="1541" customFormat="false" ht="15" hidden="false" customHeight="false" outlineLevel="0" collapsed="false">
      <c r="A1541" s="0" t="n">
        <v>3</v>
      </c>
      <c r="B1541" s="59" t="n">
        <v>46225</v>
      </c>
      <c r="C1541" s="0" t="n">
        <v>11</v>
      </c>
      <c r="D1541" s="0" t="s">
        <v>2126</v>
      </c>
      <c r="E1541" s="0" t="n">
        <v>1609</v>
      </c>
      <c r="F1541" s="0" t="s">
        <v>412</v>
      </c>
      <c r="I1541" s="0" t="n">
        <v>5838</v>
      </c>
      <c r="J1541" s="0" t="n">
        <v>18385</v>
      </c>
      <c r="K1541" s="0" t="n">
        <v>7896878801220</v>
      </c>
      <c r="L1541" s="0" t="s">
        <v>2609</v>
      </c>
      <c r="N1541" s="0" t="n">
        <v>18</v>
      </c>
      <c r="O1541" s="60" t="n">
        <v>141.3</v>
      </c>
    </row>
    <row r="1542" customFormat="false" ht="15" hidden="false" customHeight="false" outlineLevel="0" collapsed="false">
      <c r="A1542" s="0" t="n">
        <v>3</v>
      </c>
      <c r="B1542" s="59" t="n">
        <v>46225</v>
      </c>
      <c r="C1542" s="0" t="n">
        <v>11</v>
      </c>
      <c r="D1542" s="0" t="s">
        <v>2126</v>
      </c>
      <c r="E1542" s="0" t="n">
        <v>1609</v>
      </c>
      <c r="F1542" s="0" t="s">
        <v>412</v>
      </c>
      <c r="I1542" s="0" t="n">
        <v>5838</v>
      </c>
      <c r="J1542" s="0" t="n">
        <v>18775</v>
      </c>
      <c r="K1542" s="0" t="n">
        <v>7896878801237</v>
      </c>
      <c r="L1542" s="0" t="s">
        <v>2610</v>
      </c>
      <c r="N1542" s="0" t="n">
        <v>40</v>
      </c>
      <c r="O1542" s="60" t="n">
        <v>132</v>
      </c>
    </row>
    <row r="1543" customFormat="false" ht="15" hidden="false" customHeight="false" outlineLevel="0" collapsed="false">
      <c r="A1543" s="0" t="n">
        <v>3</v>
      </c>
      <c r="B1543" s="59" t="n">
        <v>46225</v>
      </c>
      <c r="C1543" s="0" t="n">
        <v>11</v>
      </c>
      <c r="D1543" s="0" t="s">
        <v>2126</v>
      </c>
      <c r="E1543" s="0" t="n">
        <v>1609</v>
      </c>
      <c r="F1543" s="0" t="s">
        <v>412</v>
      </c>
      <c r="I1543" s="0" t="n">
        <v>5838</v>
      </c>
      <c r="J1543" s="0" t="n">
        <v>18910</v>
      </c>
      <c r="K1543" s="0" t="n">
        <v>7896878801176</v>
      </c>
      <c r="L1543" s="0" t="s">
        <v>2888</v>
      </c>
      <c r="N1543" s="0" t="n">
        <v>5</v>
      </c>
      <c r="O1543" s="60" t="n">
        <v>20.25</v>
      </c>
    </row>
    <row r="1544" customFormat="false" ht="15" hidden="false" customHeight="false" outlineLevel="0" collapsed="false">
      <c r="A1544" s="0" t="n">
        <v>3</v>
      </c>
      <c r="B1544" s="59" t="n">
        <v>46225</v>
      </c>
      <c r="C1544" s="0" t="n">
        <v>11</v>
      </c>
      <c r="D1544" s="0" t="s">
        <v>2126</v>
      </c>
      <c r="E1544" s="0" t="n">
        <v>1609</v>
      </c>
      <c r="F1544" s="0" t="s">
        <v>412</v>
      </c>
      <c r="I1544" s="0" t="n">
        <v>5838</v>
      </c>
      <c r="J1544" s="0" t="n">
        <v>18968</v>
      </c>
      <c r="K1544" s="0" t="n">
        <v>7896878801244</v>
      </c>
      <c r="L1544" s="0" t="s">
        <v>2611</v>
      </c>
      <c r="N1544" s="0" t="n">
        <v>20</v>
      </c>
      <c r="O1544" s="60" t="n">
        <v>66</v>
      </c>
    </row>
    <row r="1545" customFormat="false" ht="15" hidden="false" customHeight="false" outlineLevel="0" collapsed="false">
      <c r="A1545" s="0" t="n">
        <v>3</v>
      </c>
      <c r="B1545" s="59" t="n">
        <v>46225</v>
      </c>
      <c r="C1545" s="0" t="n">
        <v>11</v>
      </c>
      <c r="D1545" s="0" t="s">
        <v>2126</v>
      </c>
      <c r="E1545" s="0" t="n">
        <v>1609</v>
      </c>
      <c r="F1545" s="0" t="s">
        <v>412</v>
      </c>
      <c r="I1545" s="0" t="n">
        <v>5838</v>
      </c>
      <c r="J1545" s="0" t="n">
        <v>20027</v>
      </c>
      <c r="K1545" s="0" t="n">
        <v>7896878801053</v>
      </c>
      <c r="L1545" s="0" t="s">
        <v>2889</v>
      </c>
      <c r="N1545" s="0" t="n">
        <v>5</v>
      </c>
      <c r="O1545" s="60" t="n">
        <v>20.25</v>
      </c>
    </row>
    <row r="1546" customFormat="false" ht="15" hidden="false" customHeight="false" outlineLevel="0" collapsed="false">
      <c r="A1546" s="0" t="n">
        <v>3</v>
      </c>
      <c r="B1546" s="59" t="n">
        <v>46225</v>
      </c>
      <c r="C1546" s="0" t="n">
        <v>11</v>
      </c>
      <c r="D1546" s="0" t="s">
        <v>2126</v>
      </c>
      <c r="E1546" s="0" t="n">
        <v>1609</v>
      </c>
      <c r="F1546" s="0" t="s">
        <v>412</v>
      </c>
      <c r="I1546" s="0" t="n">
        <v>5838</v>
      </c>
      <c r="J1546" s="0" t="n">
        <v>24963</v>
      </c>
      <c r="K1546" s="0" t="n">
        <v>7896878801060</v>
      </c>
      <c r="L1546" s="0" t="s">
        <v>2890</v>
      </c>
      <c r="N1546" s="0" t="n">
        <v>2</v>
      </c>
      <c r="O1546" s="60" t="n">
        <v>15.7</v>
      </c>
    </row>
    <row r="1547" customFormat="false" ht="15" hidden="false" customHeight="false" outlineLevel="0" collapsed="false">
      <c r="A1547" s="0" t="n">
        <v>3</v>
      </c>
      <c r="B1547" s="59" t="n">
        <v>46225</v>
      </c>
      <c r="C1547" s="0" t="n">
        <v>11</v>
      </c>
      <c r="D1547" s="0" t="s">
        <v>2126</v>
      </c>
      <c r="E1547" s="0" t="n">
        <v>1609</v>
      </c>
      <c r="F1547" s="0" t="s">
        <v>412</v>
      </c>
      <c r="I1547" s="0" t="n">
        <v>5838</v>
      </c>
      <c r="J1547" s="0" t="n">
        <v>24964</v>
      </c>
      <c r="K1547" s="0" t="n">
        <v>7896878801183</v>
      </c>
      <c r="L1547" s="0" t="s">
        <v>2891</v>
      </c>
      <c r="N1547" s="0" t="n">
        <v>2</v>
      </c>
      <c r="O1547" s="60" t="n">
        <v>15.7</v>
      </c>
    </row>
    <row r="1548" customFormat="false" ht="15" hidden="false" customHeight="false" outlineLevel="0" collapsed="false">
      <c r="A1548" s="0" t="n">
        <v>3</v>
      </c>
      <c r="B1548" s="59" t="n">
        <v>46225</v>
      </c>
      <c r="C1548" s="0" t="n">
        <v>11</v>
      </c>
      <c r="D1548" s="0" t="s">
        <v>2126</v>
      </c>
      <c r="E1548" s="0" t="n">
        <v>1609</v>
      </c>
      <c r="F1548" s="0" t="s">
        <v>412</v>
      </c>
      <c r="I1548" s="0" t="n">
        <v>5838</v>
      </c>
      <c r="J1548" s="0" t="n">
        <v>24965</v>
      </c>
      <c r="K1548" s="0" t="n">
        <v>7896878801107</v>
      </c>
      <c r="L1548" s="0" t="s">
        <v>2892</v>
      </c>
      <c r="N1548" s="0" t="n">
        <v>3</v>
      </c>
      <c r="O1548" s="60" t="n">
        <v>23.55</v>
      </c>
    </row>
    <row r="1549" customFormat="false" ht="15" hidden="false" customHeight="false" outlineLevel="0" collapsed="false">
      <c r="A1549" s="0" t="n">
        <v>3</v>
      </c>
      <c r="B1549" s="59" t="n">
        <v>46225</v>
      </c>
      <c r="C1549" s="0" t="n">
        <v>11</v>
      </c>
      <c r="D1549" s="0" t="s">
        <v>2126</v>
      </c>
      <c r="E1549" s="0" t="n">
        <v>1609</v>
      </c>
      <c r="F1549" s="0" t="s">
        <v>412</v>
      </c>
      <c r="I1549" s="0" t="n">
        <v>5838</v>
      </c>
      <c r="J1549" s="0" t="n">
        <v>32861</v>
      </c>
      <c r="K1549" s="0" t="n">
        <v>7896878801145</v>
      </c>
      <c r="L1549" s="0" t="s">
        <v>2893</v>
      </c>
      <c r="N1549" s="0" t="n">
        <v>2</v>
      </c>
      <c r="O1549" s="60" t="n">
        <v>15.7</v>
      </c>
    </row>
    <row r="1550" customFormat="false" ht="15" hidden="false" customHeight="false" outlineLevel="0" collapsed="false">
      <c r="A1550" s="0" t="n">
        <v>3</v>
      </c>
      <c r="B1550" s="59" t="n">
        <v>46225</v>
      </c>
      <c r="C1550" s="0" t="n">
        <v>11</v>
      </c>
      <c r="D1550" s="0" t="s">
        <v>2126</v>
      </c>
      <c r="E1550" s="0" t="n">
        <v>1609</v>
      </c>
      <c r="F1550" s="0" t="s">
        <v>412</v>
      </c>
      <c r="I1550" s="0" t="n">
        <v>5838</v>
      </c>
      <c r="J1550" s="0" t="n">
        <v>41614</v>
      </c>
      <c r="K1550" s="0" t="n">
        <v>7896878801213</v>
      </c>
      <c r="L1550" s="0" t="s">
        <v>2612</v>
      </c>
      <c r="N1550" s="0" t="n">
        <v>20</v>
      </c>
      <c r="O1550" s="60" t="n">
        <v>81</v>
      </c>
    </row>
    <row r="1551" customFormat="false" ht="15" hidden="false" customHeight="false" outlineLevel="0" collapsed="false">
      <c r="A1551" s="0" t="n">
        <v>3</v>
      </c>
      <c r="B1551" s="59" t="n">
        <v>46225</v>
      </c>
      <c r="C1551" s="0" t="n">
        <v>11</v>
      </c>
      <c r="D1551" s="0" t="s">
        <v>2126</v>
      </c>
      <c r="E1551" s="0" t="n">
        <v>1609</v>
      </c>
      <c r="F1551" s="0" t="s">
        <v>412</v>
      </c>
      <c r="I1551" s="0" t="n">
        <v>5838</v>
      </c>
      <c r="J1551" s="0" t="n">
        <v>44019</v>
      </c>
      <c r="K1551" s="0" t="n">
        <v>7896981600703</v>
      </c>
      <c r="L1551" s="0" t="s">
        <v>2894</v>
      </c>
      <c r="N1551" s="0" t="n">
        <v>4</v>
      </c>
      <c r="O1551" s="60" t="n">
        <v>72</v>
      </c>
    </row>
    <row r="1552" customFormat="false" ht="15" hidden="false" customHeight="false" outlineLevel="0" collapsed="false">
      <c r="A1552" s="0" t="n">
        <v>3</v>
      </c>
      <c r="B1552" s="59" t="n">
        <v>46225</v>
      </c>
      <c r="C1552" s="0" t="n">
        <v>11</v>
      </c>
      <c r="D1552" s="0" t="s">
        <v>2126</v>
      </c>
      <c r="E1552" s="0" t="n">
        <v>1609</v>
      </c>
      <c r="F1552" s="0" t="s">
        <v>412</v>
      </c>
      <c r="I1552" s="0" t="n">
        <v>5838</v>
      </c>
      <c r="J1552" s="0" t="n">
        <v>80962</v>
      </c>
      <c r="K1552" s="0" t="n">
        <v>7890678801091</v>
      </c>
      <c r="L1552" s="0" t="s">
        <v>2895</v>
      </c>
      <c r="N1552" s="0" t="n">
        <v>5</v>
      </c>
      <c r="O1552" s="60" t="n">
        <v>20.25</v>
      </c>
    </row>
    <row r="1553" customFormat="false" ht="15" hidden="false" customHeight="false" outlineLevel="0" collapsed="false">
      <c r="A1553" s="0" t="n">
        <v>3</v>
      </c>
      <c r="B1553" s="59" t="n">
        <v>46225</v>
      </c>
      <c r="C1553" s="0" t="n">
        <v>11</v>
      </c>
      <c r="D1553" s="0" t="s">
        <v>2126</v>
      </c>
      <c r="E1553" s="0" t="n">
        <v>1722</v>
      </c>
      <c r="F1553" s="0" t="s">
        <v>419</v>
      </c>
      <c r="I1553" s="0" t="n">
        <v>6860</v>
      </c>
      <c r="J1553" s="0" t="n">
        <v>40370</v>
      </c>
      <c r="K1553" s="0" t="n">
        <v>40141707130</v>
      </c>
      <c r="L1553" s="0" t="s">
        <v>2896</v>
      </c>
      <c r="N1553" s="0" t="n">
        <v>4</v>
      </c>
      <c r="O1553" s="60" t="n">
        <v>20</v>
      </c>
    </row>
    <row r="1554" customFormat="false" ht="15" hidden="false" customHeight="false" outlineLevel="0" collapsed="false">
      <c r="A1554" s="0" t="n">
        <v>3</v>
      </c>
      <c r="B1554" s="59" t="n">
        <v>46225</v>
      </c>
      <c r="C1554" s="0" t="n">
        <v>11</v>
      </c>
      <c r="D1554" s="0" t="s">
        <v>2126</v>
      </c>
      <c r="E1554" s="0" t="n">
        <v>1722</v>
      </c>
      <c r="F1554" s="0" t="s">
        <v>419</v>
      </c>
      <c r="I1554" s="0" t="n">
        <v>6860</v>
      </c>
      <c r="J1554" s="0" t="n">
        <v>40803</v>
      </c>
      <c r="K1554" s="0" t="n">
        <v>40141707123</v>
      </c>
      <c r="L1554" s="0" t="s">
        <v>2897</v>
      </c>
      <c r="N1554" s="0" t="n">
        <v>4</v>
      </c>
      <c r="O1554" s="60" t="n">
        <v>20</v>
      </c>
    </row>
    <row r="1555" customFormat="false" ht="15" hidden="false" customHeight="false" outlineLevel="0" collapsed="false">
      <c r="A1555" s="0" t="n">
        <v>3</v>
      </c>
      <c r="B1555" s="59" t="n">
        <v>46225</v>
      </c>
      <c r="C1555" s="0" t="n">
        <v>11</v>
      </c>
      <c r="D1555" s="0" t="s">
        <v>2126</v>
      </c>
      <c r="E1555" s="0" t="n">
        <v>1722</v>
      </c>
      <c r="F1555" s="0" t="s">
        <v>419</v>
      </c>
      <c r="I1555" s="0" t="n">
        <v>6860</v>
      </c>
      <c r="J1555" s="0" t="n">
        <v>66756</v>
      </c>
      <c r="K1555" s="0" t="n">
        <v>40141707161</v>
      </c>
      <c r="L1555" s="0" t="s">
        <v>2474</v>
      </c>
      <c r="N1555" s="0" t="n">
        <v>4</v>
      </c>
      <c r="O1555" s="60" t="n">
        <v>32</v>
      </c>
    </row>
    <row r="1556" customFormat="false" ht="15" hidden="false" customHeight="false" outlineLevel="0" collapsed="false">
      <c r="A1556" s="0" t="n">
        <v>3</v>
      </c>
      <c r="B1556" s="59" t="n">
        <v>46225</v>
      </c>
      <c r="C1556" s="0" t="n">
        <v>11</v>
      </c>
      <c r="D1556" s="0" t="s">
        <v>2126</v>
      </c>
      <c r="E1556" s="0" t="n">
        <v>1722</v>
      </c>
      <c r="F1556" s="0" t="s">
        <v>419</v>
      </c>
      <c r="I1556" s="0" t="n">
        <v>6860</v>
      </c>
      <c r="J1556" s="0" t="n">
        <v>66984</v>
      </c>
      <c r="K1556" s="0" t="n">
        <v>40141707147</v>
      </c>
      <c r="L1556" s="0" t="s">
        <v>2898</v>
      </c>
      <c r="N1556" s="0" t="n">
        <v>4</v>
      </c>
      <c r="O1556" s="60" t="n">
        <v>28</v>
      </c>
    </row>
    <row r="1557" customFormat="false" ht="15" hidden="false" customHeight="false" outlineLevel="0" collapsed="false">
      <c r="A1557" s="0" t="n">
        <v>3</v>
      </c>
      <c r="B1557" s="59" t="n">
        <v>46225</v>
      </c>
      <c r="C1557" s="0" t="n">
        <v>11</v>
      </c>
      <c r="D1557" s="0" t="s">
        <v>2126</v>
      </c>
      <c r="E1557" s="0" t="n">
        <v>1722</v>
      </c>
      <c r="F1557" s="0" t="s">
        <v>419</v>
      </c>
      <c r="I1557" s="0" t="n">
        <v>6860</v>
      </c>
      <c r="J1557" s="0" t="n">
        <v>66985</v>
      </c>
      <c r="K1557" s="0" t="n">
        <v>40141707154</v>
      </c>
      <c r="L1557" s="0" t="s">
        <v>2899</v>
      </c>
      <c r="N1557" s="0" t="n">
        <v>4</v>
      </c>
      <c r="O1557" s="60" t="n">
        <v>28</v>
      </c>
    </row>
    <row r="1558" customFormat="false" ht="15" hidden="false" customHeight="false" outlineLevel="0" collapsed="false">
      <c r="A1558" s="0" t="n">
        <v>3</v>
      </c>
      <c r="B1558" s="59" t="n">
        <v>46225</v>
      </c>
      <c r="C1558" s="0" t="n">
        <v>11</v>
      </c>
      <c r="D1558" s="0" t="s">
        <v>2126</v>
      </c>
      <c r="E1558" s="0" t="n">
        <v>1722</v>
      </c>
      <c r="F1558" s="0" t="s">
        <v>419</v>
      </c>
      <c r="I1558" s="0" t="n">
        <v>6860</v>
      </c>
      <c r="J1558" s="0" t="n">
        <v>67102</v>
      </c>
      <c r="K1558" s="0" t="n">
        <v>40141707178</v>
      </c>
      <c r="L1558" s="0" t="s">
        <v>2475</v>
      </c>
      <c r="N1558" s="0" t="n">
        <v>15</v>
      </c>
      <c r="O1558" s="60" t="n">
        <v>105</v>
      </c>
    </row>
    <row r="1559" customFormat="false" ht="15" hidden="false" customHeight="false" outlineLevel="0" collapsed="false">
      <c r="A1559" s="0" t="n">
        <v>3</v>
      </c>
      <c r="B1559" s="59" t="n">
        <v>46225</v>
      </c>
      <c r="C1559" s="0" t="n">
        <v>11</v>
      </c>
      <c r="D1559" s="0" t="s">
        <v>2126</v>
      </c>
      <c r="E1559" s="0" t="n">
        <v>1643</v>
      </c>
      <c r="F1559" s="0" t="s">
        <v>199</v>
      </c>
      <c r="I1559" s="0" t="n">
        <v>10747</v>
      </c>
      <c r="J1559" s="0" t="n">
        <v>63172</v>
      </c>
      <c r="K1559" s="0" t="n">
        <v>7898928536526</v>
      </c>
      <c r="L1559" s="0" t="s">
        <v>2900</v>
      </c>
      <c r="N1559" s="0" t="n">
        <v>60</v>
      </c>
      <c r="O1559" s="60" t="n">
        <v>95</v>
      </c>
    </row>
    <row r="1560" customFormat="false" ht="15" hidden="false" customHeight="false" outlineLevel="0" collapsed="false">
      <c r="A1560" s="0" t="n">
        <v>3</v>
      </c>
      <c r="B1560" s="59" t="n">
        <v>46225</v>
      </c>
      <c r="C1560" s="0" t="n">
        <v>11</v>
      </c>
      <c r="D1560" s="0" t="s">
        <v>2126</v>
      </c>
      <c r="E1560" s="0" t="n">
        <v>1643</v>
      </c>
      <c r="F1560" s="0" t="s">
        <v>199</v>
      </c>
      <c r="I1560" s="0" t="n">
        <v>10747</v>
      </c>
      <c r="J1560" s="0" t="n">
        <v>63904</v>
      </c>
      <c r="K1560" s="0" t="n">
        <v>7898928536595</v>
      </c>
      <c r="L1560" s="0" t="s">
        <v>2901</v>
      </c>
      <c r="N1560" s="0" t="n">
        <v>60</v>
      </c>
      <c r="O1560" s="60" t="n">
        <v>95</v>
      </c>
    </row>
    <row r="1561" customFormat="false" ht="15" hidden="false" customHeight="false" outlineLevel="0" collapsed="false">
      <c r="A1561" s="0" t="n">
        <v>3</v>
      </c>
      <c r="B1561" s="59" t="n">
        <v>46225</v>
      </c>
      <c r="C1561" s="0" t="n">
        <v>11</v>
      </c>
      <c r="D1561" s="0" t="s">
        <v>2126</v>
      </c>
      <c r="E1561" s="0" t="n">
        <v>1643</v>
      </c>
      <c r="F1561" s="0" t="s">
        <v>199</v>
      </c>
      <c r="I1561" s="0" t="n">
        <v>10747</v>
      </c>
      <c r="J1561" s="0" t="n">
        <v>64175</v>
      </c>
      <c r="K1561" s="0" t="n">
        <v>7898928536533</v>
      </c>
      <c r="L1561" s="0" t="s">
        <v>2901</v>
      </c>
      <c r="N1561" s="0" t="n">
        <v>60</v>
      </c>
      <c r="O1561" s="60" t="n">
        <v>95</v>
      </c>
    </row>
    <row r="1562" customFormat="false" ht="15" hidden="false" customHeight="false" outlineLevel="0" collapsed="false">
      <c r="A1562" s="0" t="n">
        <v>3</v>
      </c>
      <c r="B1562" s="59" t="n">
        <v>46225</v>
      </c>
      <c r="C1562" s="0" t="n">
        <v>11</v>
      </c>
      <c r="D1562" s="0" t="s">
        <v>2126</v>
      </c>
      <c r="E1562" s="0" t="n">
        <v>1457</v>
      </c>
      <c r="F1562" s="0" t="s">
        <v>180</v>
      </c>
      <c r="I1562" s="0" t="n">
        <v>13342</v>
      </c>
      <c r="J1562" s="0" t="n">
        <v>59541</v>
      </c>
      <c r="K1562" s="0" t="n">
        <v>7896862000752</v>
      </c>
      <c r="L1562" s="0" t="s">
        <v>2130</v>
      </c>
      <c r="N1562" s="0" t="n">
        <v>8</v>
      </c>
      <c r="O1562" s="60" t="n">
        <v>87.04</v>
      </c>
    </row>
    <row r="1563" customFormat="false" ht="15" hidden="false" customHeight="false" outlineLevel="0" collapsed="false">
      <c r="A1563" s="0" t="n">
        <v>3</v>
      </c>
      <c r="B1563" s="59" t="n">
        <v>46225</v>
      </c>
      <c r="C1563" s="0" t="n">
        <v>11</v>
      </c>
      <c r="D1563" s="0" t="s">
        <v>2126</v>
      </c>
      <c r="E1563" s="0" t="n">
        <v>1457</v>
      </c>
      <c r="F1563" s="0" t="s">
        <v>180</v>
      </c>
      <c r="I1563" s="0" t="n">
        <v>13342</v>
      </c>
      <c r="J1563" s="0" t="n">
        <v>66998</v>
      </c>
      <c r="K1563" s="0" t="n">
        <v>7896862000486</v>
      </c>
      <c r="L1563" s="0" t="s">
        <v>2902</v>
      </c>
      <c r="N1563" s="0" t="n">
        <v>12</v>
      </c>
      <c r="O1563" s="60" t="n">
        <v>116.04</v>
      </c>
    </row>
    <row r="1564" customFormat="false" ht="15" hidden="false" customHeight="false" outlineLevel="0" collapsed="false">
      <c r="A1564" s="0" t="n">
        <v>3</v>
      </c>
      <c r="B1564" s="59" t="n">
        <v>46225</v>
      </c>
      <c r="C1564" s="0" t="n">
        <v>11</v>
      </c>
      <c r="D1564" s="0" t="s">
        <v>2126</v>
      </c>
      <c r="E1564" s="0" t="n">
        <v>1625</v>
      </c>
      <c r="F1564" s="0" t="s">
        <v>322</v>
      </c>
      <c r="I1564" s="0" t="n">
        <v>14783</v>
      </c>
      <c r="J1564" s="0" t="n">
        <v>29079</v>
      </c>
      <c r="K1564" s="0" t="n">
        <v>55515</v>
      </c>
      <c r="L1564" s="0" t="s">
        <v>2213</v>
      </c>
      <c r="N1564" s="0" t="n">
        <v>64.2</v>
      </c>
      <c r="O1564" s="60" t="n">
        <v>2086.5</v>
      </c>
    </row>
    <row r="1565" customFormat="false" ht="15" hidden="false" customHeight="false" outlineLevel="0" collapsed="false">
      <c r="A1565" s="0" t="n">
        <v>3</v>
      </c>
      <c r="B1565" s="59" t="n">
        <v>46225</v>
      </c>
      <c r="C1565" s="0" t="n">
        <v>11</v>
      </c>
      <c r="D1565" s="0" t="s">
        <v>2126</v>
      </c>
      <c r="E1565" s="0" t="n">
        <v>1615</v>
      </c>
      <c r="F1565" s="0" t="s">
        <v>131</v>
      </c>
      <c r="I1565" s="0" t="n">
        <v>14912</v>
      </c>
      <c r="J1565" s="0" t="n">
        <v>100114</v>
      </c>
      <c r="K1565" s="0" t="n">
        <v>115</v>
      </c>
      <c r="L1565" s="0" t="s">
        <v>2253</v>
      </c>
      <c r="N1565" s="0" t="n">
        <v>18</v>
      </c>
      <c r="O1565" s="60" t="n">
        <v>180</v>
      </c>
    </row>
    <row r="1566" customFormat="false" ht="15" hidden="false" customHeight="false" outlineLevel="0" collapsed="false">
      <c r="A1566" s="0" t="n">
        <v>3</v>
      </c>
      <c r="B1566" s="59" t="n">
        <v>46225</v>
      </c>
      <c r="C1566" s="0" t="n">
        <v>11</v>
      </c>
      <c r="D1566" s="0" t="s">
        <v>2126</v>
      </c>
      <c r="E1566" s="0" t="n">
        <v>1615</v>
      </c>
      <c r="F1566" s="0" t="s">
        <v>131</v>
      </c>
      <c r="I1566" s="0" t="n">
        <v>14912</v>
      </c>
      <c r="J1566" s="0" t="n">
        <v>55350</v>
      </c>
      <c r="K1566" s="0" t="n">
        <v>609963080076</v>
      </c>
      <c r="L1566" s="0" t="s">
        <v>2416</v>
      </c>
      <c r="N1566" s="0" t="n">
        <v>20</v>
      </c>
      <c r="O1566" s="60" t="n">
        <v>140</v>
      </c>
    </row>
    <row r="1567" customFormat="false" ht="15" hidden="false" customHeight="false" outlineLevel="0" collapsed="false">
      <c r="A1567" s="0" t="n">
        <v>3</v>
      </c>
      <c r="B1567" s="59" t="n">
        <v>46225</v>
      </c>
      <c r="C1567" s="0" t="n">
        <v>11</v>
      </c>
      <c r="D1567" s="0" t="s">
        <v>2126</v>
      </c>
      <c r="E1567" s="0" t="n">
        <v>1378</v>
      </c>
      <c r="F1567" s="0" t="s">
        <v>121</v>
      </c>
      <c r="I1567" s="0" t="n">
        <v>18314</v>
      </c>
      <c r="J1567" s="0" t="n">
        <v>74064</v>
      </c>
      <c r="K1567" s="0" t="n">
        <v>42882264279</v>
      </c>
      <c r="L1567" s="0" t="s">
        <v>2299</v>
      </c>
      <c r="N1567" s="0" t="n">
        <v>3</v>
      </c>
      <c r="O1567" s="60" t="n">
        <v>14.4</v>
      </c>
    </row>
    <row r="1568" customFormat="false" ht="15" hidden="false" customHeight="false" outlineLevel="0" collapsed="false">
      <c r="A1568" s="0" t="n">
        <v>3</v>
      </c>
      <c r="B1568" s="59" t="n">
        <v>46225</v>
      </c>
      <c r="C1568" s="0" t="n">
        <v>11</v>
      </c>
      <c r="D1568" s="0" t="s">
        <v>2126</v>
      </c>
      <c r="E1568" s="0" t="n">
        <v>1378</v>
      </c>
      <c r="F1568" s="0" t="s">
        <v>121</v>
      </c>
      <c r="I1568" s="0" t="n">
        <v>18314</v>
      </c>
      <c r="J1568" s="0" t="n">
        <v>77994</v>
      </c>
      <c r="K1568" s="0" t="n">
        <v>780117</v>
      </c>
      <c r="L1568" s="0" t="s">
        <v>2301</v>
      </c>
      <c r="N1568" s="0" t="n">
        <v>32</v>
      </c>
      <c r="O1568" s="60" t="n">
        <v>185.6</v>
      </c>
    </row>
    <row r="1569" customFormat="false" ht="15" hidden="false" customHeight="false" outlineLevel="0" collapsed="false">
      <c r="A1569" s="0" t="n">
        <v>3</v>
      </c>
      <c r="B1569" s="59" t="n">
        <v>46225</v>
      </c>
      <c r="C1569" s="0" t="n">
        <v>11</v>
      </c>
      <c r="D1569" s="0" t="s">
        <v>2126</v>
      </c>
      <c r="E1569" s="0" t="n">
        <v>1921</v>
      </c>
      <c r="F1569" s="0" t="s">
        <v>249</v>
      </c>
      <c r="I1569" s="0" t="n">
        <v>21113</v>
      </c>
      <c r="J1569" s="0" t="n">
        <v>44581</v>
      </c>
      <c r="K1569" s="0" t="n">
        <v>144827</v>
      </c>
      <c r="L1569" s="0" t="s">
        <v>2903</v>
      </c>
      <c r="N1569" s="0" t="n">
        <v>10</v>
      </c>
      <c r="O1569" s="60" t="n">
        <v>61.64</v>
      </c>
    </row>
    <row r="1570" customFormat="false" ht="15" hidden="false" customHeight="false" outlineLevel="0" collapsed="false">
      <c r="A1570" s="0" t="n">
        <v>3</v>
      </c>
      <c r="B1570" s="59" t="n">
        <v>46225</v>
      </c>
      <c r="C1570" s="0" t="n">
        <v>11</v>
      </c>
      <c r="D1570" s="0" t="s">
        <v>2126</v>
      </c>
      <c r="E1570" s="0" t="n">
        <v>1921</v>
      </c>
      <c r="F1570" s="0" t="s">
        <v>249</v>
      </c>
      <c r="I1570" s="0" t="n">
        <v>21113</v>
      </c>
      <c r="J1570" s="0" t="n">
        <v>45435</v>
      </c>
      <c r="K1570" s="0" t="n">
        <v>7908031500694</v>
      </c>
      <c r="L1570" s="0" t="s">
        <v>2904</v>
      </c>
      <c r="N1570" s="0" t="n">
        <v>15</v>
      </c>
      <c r="O1570" s="60" t="n">
        <v>70.23</v>
      </c>
    </row>
    <row r="1571" customFormat="false" ht="15" hidden="false" customHeight="false" outlineLevel="0" collapsed="false">
      <c r="A1571" s="0" t="n">
        <v>3</v>
      </c>
      <c r="B1571" s="59" t="n">
        <v>46225</v>
      </c>
      <c r="C1571" s="0" t="n">
        <v>11</v>
      </c>
      <c r="D1571" s="0" t="s">
        <v>2126</v>
      </c>
      <c r="E1571" s="0" t="n">
        <v>1921</v>
      </c>
      <c r="F1571" s="0" t="s">
        <v>249</v>
      </c>
      <c r="I1571" s="0" t="n">
        <v>21113</v>
      </c>
      <c r="J1571" s="0" t="n">
        <v>45512</v>
      </c>
      <c r="K1571" s="0" t="n">
        <v>7899085120023</v>
      </c>
      <c r="L1571" s="0" t="s">
        <v>2905</v>
      </c>
      <c r="N1571" s="0" t="n">
        <v>40</v>
      </c>
      <c r="O1571" s="60" t="n">
        <v>51.43</v>
      </c>
    </row>
    <row r="1572" customFormat="false" ht="15" hidden="false" customHeight="false" outlineLevel="0" collapsed="false">
      <c r="A1572" s="0" t="n">
        <v>3</v>
      </c>
      <c r="B1572" s="59" t="n">
        <v>46225</v>
      </c>
      <c r="C1572" s="0" t="n">
        <v>11</v>
      </c>
      <c r="D1572" s="0" t="s">
        <v>2126</v>
      </c>
      <c r="E1572" s="0" t="n">
        <v>1921</v>
      </c>
      <c r="F1572" s="0" t="s">
        <v>249</v>
      </c>
      <c r="I1572" s="0" t="n">
        <v>21113</v>
      </c>
      <c r="J1572" s="0" t="n">
        <v>45677</v>
      </c>
      <c r="K1572" s="0" t="n">
        <v>7899085120627</v>
      </c>
      <c r="L1572" s="0" t="s">
        <v>2906</v>
      </c>
      <c r="N1572" s="0" t="n">
        <v>20</v>
      </c>
      <c r="O1572" s="60" t="n">
        <v>44.44</v>
      </c>
    </row>
    <row r="1573" customFormat="false" ht="15" hidden="false" customHeight="false" outlineLevel="0" collapsed="false">
      <c r="A1573" s="0" t="n">
        <v>3</v>
      </c>
      <c r="B1573" s="59" t="n">
        <v>46225</v>
      </c>
      <c r="C1573" s="0" t="n">
        <v>11</v>
      </c>
      <c r="D1573" s="0" t="s">
        <v>2126</v>
      </c>
      <c r="E1573" s="0" t="n">
        <v>1921</v>
      </c>
      <c r="F1573" s="0" t="s">
        <v>249</v>
      </c>
      <c r="I1573" s="0" t="n">
        <v>21113</v>
      </c>
      <c r="J1573" s="0" t="n">
        <v>45856</v>
      </c>
      <c r="K1573" s="0" t="n">
        <v>7899085120443</v>
      </c>
      <c r="L1573" s="0" t="s">
        <v>2907</v>
      </c>
      <c r="N1573" s="0" t="n">
        <v>30</v>
      </c>
      <c r="O1573" s="60" t="n">
        <v>63</v>
      </c>
    </row>
    <row r="1574" customFormat="false" ht="15" hidden="false" customHeight="false" outlineLevel="0" collapsed="false">
      <c r="A1574" s="0" t="n">
        <v>3</v>
      </c>
      <c r="B1574" s="59" t="n">
        <v>46225</v>
      </c>
      <c r="C1574" s="0" t="n">
        <v>11</v>
      </c>
      <c r="D1574" s="0" t="s">
        <v>2126</v>
      </c>
      <c r="E1574" s="0" t="n">
        <v>1921</v>
      </c>
      <c r="F1574" s="0" t="s">
        <v>249</v>
      </c>
      <c r="I1574" s="0" t="n">
        <v>21113</v>
      </c>
      <c r="J1574" s="0" t="n">
        <v>46077</v>
      </c>
      <c r="K1574" s="0" t="n">
        <v>7899085120221</v>
      </c>
      <c r="L1574" s="0" t="s">
        <v>2908</v>
      </c>
      <c r="N1574" s="0" t="n">
        <v>20</v>
      </c>
      <c r="O1574" s="60" t="n">
        <v>40.15</v>
      </c>
    </row>
    <row r="1575" customFormat="false" ht="15" hidden="false" customHeight="false" outlineLevel="0" collapsed="false">
      <c r="A1575" s="0" t="n">
        <v>3</v>
      </c>
      <c r="B1575" s="59" t="n">
        <v>46225</v>
      </c>
      <c r="C1575" s="0" t="n">
        <v>11</v>
      </c>
      <c r="D1575" s="0" t="s">
        <v>2126</v>
      </c>
      <c r="E1575" s="0" t="n">
        <v>1921</v>
      </c>
      <c r="F1575" s="0" t="s">
        <v>249</v>
      </c>
      <c r="I1575" s="0" t="n">
        <v>21113</v>
      </c>
      <c r="J1575" s="0" t="n">
        <v>46078</v>
      </c>
      <c r="K1575" s="0" t="n">
        <v>7899085120016</v>
      </c>
      <c r="L1575" s="0" t="s">
        <v>2909</v>
      </c>
      <c r="N1575" s="0" t="n">
        <v>20</v>
      </c>
      <c r="O1575" s="60" t="n">
        <v>48.75</v>
      </c>
    </row>
    <row r="1576" customFormat="false" ht="15" hidden="false" customHeight="false" outlineLevel="0" collapsed="false">
      <c r="A1576" s="0" t="n">
        <v>3</v>
      </c>
      <c r="B1576" s="59" t="n">
        <v>46225</v>
      </c>
      <c r="C1576" s="0" t="n">
        <v>11</v>
      </c>
      <c r="D1576" s="0" t="s">
        <v>2126</v>
      </c>
      <c r="E1576" s="0" t="n">
        <v>1921</v>
      </c>
      <c r="F1576" s="0" t="s">
        <v>249</v>
      </c>
      <c r="I1576" s="0" t="n">
        <v>21113</v>
      </c>
      <c r="J1576" s="0" t="n">
        <v>46080</v>
      </c>
      <c r="K1576" s="0" t="n">
        <v>7899085120603</v>
      </c>
      <c r="L1576" s="0" t="s">
        <v>2910</v>
      </c>
      <c r="N1576" s="0" t="n">
        <v>20</v>
      </c>
      <c r="O1576" s="60" t="n">
        <v>40.15</v>
      </c>
    </row>
    <row r="1577" customFormat="false" ht="15" hidden="false" customHeight="false" outlineLevel="0" collapsed="false">
      <c r="A1577" s="0" t="n">
        <v>3</v>
      </c>
      <c r="B1577" s="59" t="n">
        <v>46225</v>
      </c>
      <c r="C1577" s="0" t="n">
        <v>11</v>
      </c>
      <c r="D1577" s="0" t="s">
        <v>2126</v>
      </c>
      <c r="E1577" s="0" t="n">
        <v>1921</v>
      </c>
      <c r="F1577" s="0" t="s">
        <v>249</v>
      </c>
      <c r="I1577" s="0" t="n">
        <v>21113</v>
      </c>
      <c r="J1577" s="0" t="n">
        <v>46088</v>
      </c>
      <c r="K1577" s="0" t="n">
        <v>7899085120269</v>
      </c>
      <c r="L1577" s="0" t="s">
        <v>2911</v>
      </c>
      <c r="N1577" s="0" t="n">
        <v>10</v>
      </c>
      <c r="O1577" s="60" t="n">
        <v>41.42</v>
      </c>
    </row>
    <row r="1578" customFormat="false" ht="15" hidden="false" customHeight="false" outlineLevel="0" collapsed="false">
      <c r="A1578" s="0" t="n">
        <v>3</v>
      </c>
      <c r="B1578" s="59" t="n">
        <v>46225</v>
      </c>
      <c r="C1578" s="0" t="n">
        <v>11</v>
      </c>
      <c r="D1578" s="0" t="s">
        <v>2126</v>
      </c>
      <c r="E1578" s="0" t="n">
        <v>1921</v>
      </c>
      <c r="F1578" s="0" t="s">
        <v>249</v>
      </c>
      <c r="I1578" s="0" t="n">
        <v>21113</v>
      </c>
      <c r="J1578" s="0" t="n">
        <v>46089</v>
      </c>
      <c r="K1578" s="0" t="n">
        <v>7899085120542</v>
      </c>
      <c r="L1578" s="0" t="s">
        <v>2912</v>
      </c>
      <c r="N1578" s="0" t="n">
        <v>20</v>
      </c>
      <c r="O1578" s="60" t="n">
        <v>42.52</v>
      </c>
    </row>
    <row r="1579" customFormat="false" ht="15" hidden="false" customHeight="false" outlineLevel="0" collapsed="false">
      <c r="A1579" s="0" t="n">
        <v>3</v>
      </c>
      <c r="B1579" s="59" t="n">
        <v>46225</v>
      </c>
      <c r="C1579" s="0" t="n">
        <v>11</v>
      </c>
      <c r="D1579" s="0" t="s">
        <v>2126</v>
      </c>
      <c r="E1579" s="0" t="n">
        <v>1921</v>
      </c>
      <c r="F1579" s="0" t="s">
        <v>249</v>
      </c>
      <c r="I1579" s="0" t="n">
        <v>21113</v>
      </c>
      <c r="J1579" s="0" t="n">
        <v>46093</v>
      </c>
      <c r="K1579" s="0" t="n">
        <v>7899085120597</v>
      </c>
      <c r="L1579" s="0" t="s">
        <v>2913</v>
      </c>
      <c r="N1579" s="0" t="n">
        <v>20</v>
      </c>
      <c r="O1579" s="60" t="n">
        <v>43.26</v>
      </c>
    </row>
    <row r="1580" customFormat="false" ht="15" hidden="false" customHeight="false" outlineLevel="0" collapsed="false">
      <c r="A1580" s="0" t="n">
        <v>3</v>
      </c>
      <c r="B1580" s="59" t="n">
        <v>46225</v>
      </c>
      <c r="C1580" s="0" t="n">
        <v>11</v>
      </c>
      <c r="D1580" s="0" t="s">
        <v>2126</v>
      </c>
      <c r="E1580" s="0" t="n">
        <v>1921</v>
      </c>
      <c r="F1580" s="0" t="s">
        <v>249</v>
      </c>
      <c r="I1580" s="0" t="n">
        <v>21113</v>
      </c>
      <c r="J1580" s="0" t="n">
        <v>46094</v>
      </c>
      <c r="K1580" s="0" t="n">
        <v>7899085120580</v>
      </c>
      <c r="L1580" s="0" t="s">
        <v>2914</v>
      </c>
      <c r="N1580" s="0" t="n">
        <v>20</v>
      </c>
      <c r="O1580" s="60" t="n">
        <v>43.26</v>
      </c>
    </row>
    <row r="1581" customFormat="false" ht="15" hidden="false" customHeight="false" outlineLevel="0" collapsed="false">
      <c r="A1581" s="0" t="n">
        <v>3</v>
      </c>
      <c r="B1581" s="59" t="n">
        <v>46225</v>
      </c>
      <c r="C1581" s="0" t="n">
        <v>11</v>
      </c>
      <c r="D1581" s="0" t="s">
        <v>2126</v>
      </c>
      <c r="E1581" s="0" t="n">
        <v>1921</v>
      </c>
      <c r="F1581" s="0" t="s">
        <v>249</v>
      </c>
      <c r="I1581" s="0" t="n">
        <v>21113</v>
      </c>
      <c r="J1581" s="0" t="n">
        <v>46588</v>
      </c>
      <c r="K1581" s="0" t="n">
        <v>7899085120924</v>
      </c>
      <c r="L1581" s="0" t="s">
        <v>2915</v>
      </c>
      <c r="N1581" s="0" t="n">
        <v>15</v>
      </c>
      <c r="O1581" s="60" t="n">
        <v>65.93</v>
      </c>
    </row>
    <row r="1582" customFormat="false" ht="15" hidden="false" customHeight="false" outlineLevel="0" collapsed="false">
      <c r="A1582" s="0" t="n">
        <v>3</v>
      </c>
      <c r="B1582" s="59" t="n">
        <v>46225</v>
      </c>
      <c r="C1582" s="0" t="n">
        <v>11</v>
      </c>
      <c r="D1582" s="0" t="s">
        <v>2126</v>
      </c>
      <c r="E1582" s="0" t="n">
        <v>1921</v>
      </c>
      <c r="F1582" s="0" t="s">
        <v>249</v>
      </c>
      <c r="I1582" s="0" t="n">
        <v>21113</v>
      </c>
      <c r="J1582" s="0" t="n">
        <v>47044</v>
      </c>
      <c r="K1582" s="0" t="n">
        <v>7899085120290</v>
      </c>
      <c r="L1582" s="0" t="s">
        <v>2916</v>
      </c>
      <c r="N1582" s="0" t="n">
        <v>20</v>
      </c>
      <c r="O1582" s="60" t="n">
        <v>51.98</v>
      </c>
    </row>
    <row r="1583" customFormat="false" ht="15" hidden="false" customHeight="false" outlineLevel="0" collapsed="false">
      <c r="A1583" s="0" t="n">
        <v>3</v>
      </c>
      <c r="B1583" s="59" t="n">
        <v>46225</v>
      </c>
      <c r="C1583" s="0" t="n">
        <v>11</v>
      </c>
      <c r="D1583" s="0" t="s">
        <v>2126</v>
      </c>
      <c r="E1583" s="0" t="n">
        <v>1921</v>
      </c>
      <c r="F1583" s="0" t="s">
        <v>249</v>
      </c>
      <c r="I1583" s="0" t="n">
        <v>21113</v>
      </c>
      <c r="J1583" s="0" t="n">
        <v>47046</v>
      </c>
      <c r="K1583" s="0" t="n">
        <v>7899085120436</v>
      </c>
      <c r="L1583" s="0" t="s">
        <v>2917</v>
      </c>
      <c r="N1583" s="0" t="n">
        <v>30</v>
      </c>
      <c r="O1583" s="60" t="n">
        <v>41.22</v>
      </c>
    </row>
    <row r="1584" customFormat="false" ht="15" hidden="false" customHeight="false" outlineLevel="0" collapsed="false">
      <c r="A1584" s="0" t="n">
        <v>3</v>
      </c>
      <c r="B1584" s="59" t="n">
        <v>46225</v>
      </c>
      <c r="C1584" s="0" t="n">
        <v>11</v>
      </c>
      <c r="D1584" s="0" t="s">
        <v>2126</v>
      </c>
      <c r="E1584" s="0" t="n">
        <v>1921</v>
      </c>
      <c r="F1584" s="0" t="s">
        <v>249</v>
      </c>
      <c r="I1584" s="0" t="n">
        <v>21113</v>
      </c>
      <c r="J1584" s="0" t="n">
        <v>47047</v>
      </c>
      <c r="K1584" s="0" t="n">
        <v>7899085120108</v>
      </c>
      <c r="L1584" s="0" t="s">
        <v>2918</v>
      </c>
      <c r="N1584" s="0" t="n">
        <v>20</v>
      </c>
      <c r="O1584" s="60" t="n">
        <v>38</v>
      </c>
    </row>
    <row r="1585" customFormat="false" ht="15" hidden="false" customHeight="false" outlineLevel="0" collapsed="false">
      <c r="A1585" s="0" t="n">
        <v>3</v>
      </c>
      <c r="B1585" s="59" t="n">
        <v>46225</v>
      </c>
      <c r="C1585" s="0" t="n">
        <v>11</v>
      </c>
      <c r="D1585" s="0" t="s">
        <v>2126</v>
      </c>
      <c r="E1585" s="0" t="n">
        <v>1921</v>
      </c>
      <c r="F1585" s="0" t="s">
        <v>249</v>
      </c>
      <c r="I1585" s="0" t="n">
        <v>21113</v>
      </c>
      <c r="J1585" s="0" t="n">
        <v>47048</v>
      </c>
      <c r="K1585" s="0" t="n">
        <v>7899085120498</v>
      </c>
      <c r="L1585" s="0" t="s">
        <v>2919</v>
      </c>
      <c r="N1585" s="0" t="n">
        <v>20</v>
      </c>
      <c r="O1585" s="60" t="n">
        <v>41.22</v>
      </c>
    </row>
    <row r="1586" customFormat="false" ht="15" hidden="false" customHeight="false" outlineLevel="0" collapsed="false">
      <c r="A1586" s="0" t="n">
        <v>3</v>
      </c>
      <c r="B1586" s="59" t="n">
        <v>46225</v>
      </c>
      <c r="C1586" s="0" t="n">
        <v>11</v>
      </c>
      <c r="D1586" s="0" t="s">
        <v>2126</v>
      </c>
      <c r="E1586" s="0" t="n">
        <v>1921</v>
      </c>
      <c r="F1586" s="0" t="s">
        <v>249</v>
      </c>
      <c r="I1586" s="0" t="n">
        <v>21113</v>
      </c>
      <c r="J1586" s="0" t="n">
        <v>47050</v>
      </c>
      <c r="K1586" s="0" t="n">
        <v>7899085120146</v>
      </c>
      <c r="L1586" s="0" t="s">
        <v>2920</v>
      </c>
      <c r="N1586" s="0" t="n">
        <v>20</v>
      </c>
      <c r="O1586" s="60" t="n">
        <v>38</v>
      </c>
    </row>
    <row r="1587" customFormat="false" ht="15" hidden="false" customHeight="false" outlineLevel="0" collapsed="false">
      <c r="A1587" s="0" t="n">
        <v>3</v>
      </c>
      <c r="B1587" s="59" t="n">
        <v>46225</v>
      </c>
      <c r="C1587" s="0" t="n">
        <v>11</v>
      </c>
      <c r="D1587" s="0" t="s">
        <v>2126</v>
      </c>
      <c r="E1587" s="0" t="n">
        <v>1921</v>
      </c>
      <c r="F1587" s="0" t="s">
        <v>249</v>
      </c>
      <c r="I1587" s="0" t="n">
        <v>21113</v>
      </c>
      <c r="J1587" s="0" t="n">
        <v>47064</v>
      </c>
      <c r="K1587" s="0" t="n">
        <v>7899085120122</v>
      </c>
      <c r="L1587" s="0" t="s">
        <v>2921</v>
      </c>
      <c r="N1587" s="0" t="n">
        <v>20</v>
      </c>
      <c r="O1587" s="60" t="n">
        <v>54.12</v>
      </c>
    </row>
    <row r="1588" customFormat="false" ht="15" hidden="false" customHeight="false" outlineLevel="0" collapsed="false">
      <c r="A1588" s="0" t="n">
        <v>3</v>
      </c>
      <c r="B1588" s="59" t="n">
        <v>46225</v>
      </c>
      <c r="C1588" s="0" t="n">
        <v>11</v>
      </c>
      <c r="D1588" s="0" t="s">
        <v>2126</v>
      </c>
      <c r="E1588" s="0" t="n">
        <v>1921</v>
      </c>
      <c r="F1588" s="0" t="s">
        <v>249</v>
      </c>
      <c r="I1588" s="0" t="n">
        <v>21113</v>
      </c>
      <c r="J1588" s="0" t="n">
        <v>47067</v>
      </c>
      <c r="K1588" s="0" t="n">
        <v>7899085120573</v>
      </c>
      <c r="L1588" s="0" t="s">
        <v>2922</v>
      </c>
      <c r="N1588" s="0" t="n">
        <v>10</v>
      </c>
      <c r="O1588" s="60" t="n">
        <v>34.78</v>
      </c>
    </row>
    <row r="1589" customFormat="false" ht="15" hidden="false" customHeight="false" outlineLevel="0" collapsed="false">
      <c r="A1589" s="0" t="n">
        <v>3</v>
      </c>
      <c r="B1589" s="59" t="n">
        <v>46225</v>
      </c>
      <c r="C1589" s="0" t="n">
        <v>11</v>
      </c>
      <c r="D1589" s="0" t="s">
        <v>2126</v>
      </c>
      <c r="E1589" s="0" t="n">
        <v>1921</v>
      </c>
      <c r="F1589" s="0" t="s">
        <v>249</v>
      </c>
      <c r="I1589" s="0" t="n">
        <v>21113</v>
      </c>
      <c r="J1589" s="0" t="n">
        <v>48073</v>
      </c>
      <c r="K1589" s="0" t="n">
        <v>7899085120634</v>
      </c>
      <c r="L1589" s="0" t="s">
        <v>2923</v>
      </c>
      <c r="N1589" s="0" t="n">
        <v>20</v>
      </c>
      <c r="O1589" s="60" t="n">
        <v>41.22</v>
      </c>
    </row>
    <row r="1590" customFormat="false" ht="15" hidden="false" customHeight="false" outlineLevel="0" collapsed="false">
      <c r="A1590" s="0" t="n">
        <v>3</v>
      </c>
      <c r="B1590" s="59" t="n">
        <v>46225</v>
      </c>
      <c r="C1590" s="0" t="n">
        <v>11</v>
      </c>
      <c r="D1590" s="0" t="s">
        <v>2126</v>
      </c>
      <c r="E1590" s="0" t="n">
        <v>1921</v>
      </c>
      <c r="F1590" s="0" t="s">
        <v>249</v>
      </c>
      <c r="I1590" s="0" t="n">
        <v>21113</v>
      </c>
      <c r="J1590" s="0" t="n">
        <v>49811</v>
      </c>
      <c r="K1590" s="0" t="n">
        <v>7899085120917</v>
      </c>
      <c r="L1590" s="0" t="s">
        <v>2924</v>
      </c>
      <c r="N1590" s="0" t="n">
        <v>20</v>
      </c>
      <c r="O1590" s="60" t="n">
        <v>41.22</v>
      </c>
    </row>
    <row r="1591" customFormat="false" ht="15" hidden="false" customHeight="false" outlineLevel="0" collapsed="false">
      <c r="A1591" s="0" t="n">
        <v>3</v>
      </c>
      <c r="B1591" s="59" t="n">
        <v>46225</v>
      </c>
      <c r="C1591" s="0" t="n">
        <v>11</v>
      </c>
      <c r="D1591" s="0" t="s">
        <v>2126</v>
      </c>
      <c r="E1591" s="0" t="n">
        <v>1921</v>
      </c>
      <c r="F1591" s="0" t="s">
        <v>249</v>
      </c>
      <c r="I1591" s="0" t="n">
        <v>21113</v>
      </c>
      <c r="J1591" s="0" t="n">
        <v>71717</v>
      </c>
      <c r="K1591" s="0" t="n">
        <v>7899085121952</v>
      </c>
      <c r="L1591" s="0" t="s">
        <v>2925</v>
      </c>
      <c r="N1591" s="0" t="n">
        <v>20</v>
      </c>
      <c r="O1591" s="60" t="n">
        <v>42.52</v>
      </c>
    </row>
    <row r="1592" customFormat="false" ht="15" hidden="false" customHeight="false" outlineLevel="0" collapsed="false">
      <c r="A1592" s="0" t="n">
        <v>3</v>
      </c>
      <c r="B1592" s="59" t="n">
        <v>46225</v>
      </c>
      <c r="C1592" s="0" t="n">
        <v>11</v>
      </c>
      <c r="D1592" s="0" t="s">
        <v>2126</v>
      </c>
      <c r="E1592" s="0" t="n">
        <v>1681</v>
      </c>
      <c r="F1592" s="0" t="s">
        <v>1348</v>
      </c>
      <c r="I1592" s="0" t="n">
        <v>39221</v>
      </c>
      <c r="J1592" s="0" t="n">
        <v>100058</v>
      </c>
      <c r="K1592" s="0" t="n">
        <v>59</v>
      </c>
      <c r="L1592" s="0" t="s">
        <v>2926</v>
      </c>
      <c r="N1592" s="0" t="n">
        <v>45</v>
      </c>
      <c r="O1592" s="60" t="n">
        <v>809.55</v>
      </c>
    </row>
    <row r="1593" customFormat="false" ht="15" hidden="false" customHeight="false" outlineLevel="0" collapsed="false">
      <c r="A1593" s="0" t="n">
        <v>3</v>
      </c>
      <c r="B1593" s="59" t="n">
        <v>46225</v>
      </c>
      <c r="C1593" s="0" t="n">
        <v>11</v>
      </c>
      <c r="D1593" s="0" t="s">
        <v>2126</v>
      </c>
      <c r="E1593" s="0" t="n">
        <v>1681</v>
      </c>
      <c r="F1593" s="0" t="s">
        <v>1348</v>
      </c>
      <c r="I1593" s="0" t="n">
        <v>39221</v>
      </c>
      <c r="J1593" s="0" t="n">
        <v>103851</v>
      </c>
      <c r="K1593" s="0" t="n">
        <v>7893000482401</v>
      </c>
      <c r="L1593" s="0" t="s">
        <v>2787</v>
      </c>
      <c r="N1593" s="0" t="n">
        <v>12</v>
      </c>
      <c r="O1593" s="60" t="n">
        <v>214.56</v>
      </c>
    </row>
    <row r="1594" customFormat="false" ht="15" hidden="false" customHeight="false" outlineLevel="0" collapsed="false">
      <c r="A1594" s="0" t="n">
        <v>3</v>
      </c>
      <c r="B1594" s="59" t="n">
        <v>46225</v>
      </c>
      <c r="C1594" s="0" t="n">
        <v>11</v>
      </c>
      <c r="D1594" s="0" t="s">
        <v>2126</v>
      </c>
      <c r="E1594" s="0" t="n">
        <v>1681</v>
      </c>
      <c r="F1594" s="0" t="s">
        <v>1348</v>
      </c>
      <c r="I1594" s="0" t="n">
        <v>39221</v>
      </c>
      <c r="J1594" s="0" t="n">
        <v>23197</v>
      </c>
      <c r="K1594" s="0" t="n">
        <v>7896116900029</v>
      </c>
      <c r="L1594" s="0" t="s">
        <v>2788</v>
      </c>
      <c r="N1594" s="0" t="n">
        <v>20</v>
      </c>
      <c r="O1594" s="60" t="n">
        <v>177.6</v>
      </c>
    </row>
    <row r="1595" customFormat="false" ht="15" hidden="false" customHeight="false" outlineLevel="0" collapsed="false">
      <c r="A1595" s="0" t="n">
        <v>3</v>
      </c>
      <c r="B1595" s="59" t="n">
        <v>46225</v>
      </c>
      <c r="C1595" s="0" t="n">
        <v>11</v>
      </c>
      <c r="D1595" s="0" t="s">
        <v>2126</v>
      </c>
      <c r="E1595" s="0" t="n">
        <v>1681</v>
      </c>
      <c r="F1595" s="0" t="s">
        <v>1348</v>
      </c>
      <c r="I1595" s="0" t="n">
        <v>39221</v>
      </c>
      <c r="J1595" s="0" t="n">
        <v>110184</v>
      </c>
      <c r="K1595" s="0" t="n">
        <v>37393</v>
      </c>
      <c r="L1595" s="0" t="s">
        <v>2280</v>
      </c>
      <c r="N1595" s="0" t="n">
        <v>80</v>
      </c>
      <c r="O1595" s="60" t="n">
        <v>687.2</v>
      </c>
    </row>
    <row r="1596" customFormat="false" ht="15" hidden="false" customHeight="false" outlineLevel="0" collapsed="false">
      <c r="A1596" s="0" t="n">
        <v>3</v>
      </c>
      <c r="B1596" s="59" t="n">
        <v>46225</v>
      </c>
      <c r="C1596" s="0" t="n">
        <v>11</v>
      </c>
      <c r="D1596" s="0" t="s">
        <v>2126</v>
      </c>
      <c r="E1596" s="0" t="n">
        <v>1681</v>
      </c>
      <c r="F1596" s="0" t="s">
        <v>1348</v>
      </c>
      <c r="I1596" s="0" t="n">
        <v>39221</v>
      </c>
      <c r="J1596" s="0" t="n">
        <v>31858</v>
      </c>
      <c r="K1596" s="0" t="n">
        <v>7898922012354</v>
      </c>
      <c r="L1596" s="0" t="s">
        <v>2927</v>
      </c>
      <c r="N1596" s="0" t="n">
        <v>40</v>
      </c>
      <c r="O1596" s="60" t="n">
        <v>166.4</v>
      </c>
    </row>
    <row r="1597" customFormat="false" ht="15" hidden="false" customHeight="false" outlineLevel="0" collapsed="false">
      <c r="A1597" s="0" t="n">
        <v>3</v>
      </c>
      <c r="B1597" s="59" t="n">
        <v>46225</v>
      </c>
      <c r="C1597" s="0" t="n">
        <v>11</v>
      </c>
      <c r="D1597" s="0" t="s">
        <v>2126</v>
      </c>
      <c r="E1597" s="0" t="n">
        <v>1681</v>
      </c>
      <c r="F1597" s="0" t="s">
        <v>1348</v>
      </c>
      <c r="I1597" s="0" t="n">
        <v>39221</v>
      </c>
      <c r="J1597" s="0" t="n">
        <v>33534</v>
      </c>
      <c r="K1597" s="0" t="n">
        <v>7898922012408</v>
      </c>
      <c r="L1597" s="0" t="s">
        <v>2431</v>
      </c>
      <c r="N1597" s="0" t="n">
        <v>20</v>
      </c>
      <c r="O1597" s="60" t="n">
        <v>58.6</v>
      </c>
    </row>
    <row r="1598" customFormat="false" ht="15" hidden="false" customHeight="false" outlineLevel="0" collapsed="false">
      <c r="A1598" s="0" t="n">
        <v>3</v>
      </c>
      <c r="B1598" s="59" t="n">
        <v>46225</v>
      </c>
      <c r="C1598" s="0" t="n">
        <v>11</v>
      </c>
      <c r="D1598" s="0" t="s">
        <v>2126</v>
      </c>
      <c r="E1598" s="0" t="n">
        <v>1681</v>
      </c>
      <c r="F1598" s="0" t="s">
        <v>1348</v>
      </c>
      <c r="I1598" s="0" t="n">
        <v>39221</v>
      </c>
      <c r="J1598" s="0" t="n">
        <v>70942</v>
      </c>
      <c r="K1598" s="0" t="n">
        <v>7891000412855</v>
      </c>
      <c r="L1598" s="0" t="s">
        <v>2928</v>
      </c>
      <c r="N1598" s="0" t="n">
        <v>36</v>
      </c>
      <c r="O1598" s="60" t="n">
        <v>305.64</v>
      </c>
    </row>
    <row r="1599" customFormat="false" ht="15" hidden="false" customHeight="false" outlineLevel="0" collapsed="false">
      <c r="A1599" s="0" t="n">
        <v>3</v>
      </c>
      <c r="B1599" s="59" t="n">
        <v>46225</v>
      </c>
      <c r="C1599" s="0" t="n">
        <v>11</v>
      </c>
      <c r="D1599" s="0" t="s">
        <v>2126</v>
      </c>
      <c r="E1599" s="0" t="n">
        <v>1916</v>
      </c>
      <c r="F1599" s="0" t="s">
        <v>353</v>
      </c>
      <c r="I1599" s="0" t="n">
        <v>39904</v>
      </c>
      <c r="J1599" s="0" t="n">
        <v>43963</v>
      </c>
      <c r="K1599" s="0" t="n">
        <v>7890000002844</v>
      </c>
      <c r="L1599" s="0" t="s">
        <v>2256</v>
      </c>
      <c r="N1599" s="0" t="n">
        <v>40</v>
      </c>
      <c r="O1599" s="60" t="n">
        <v>112</v>
      </c>
    </row>
    <row r="1600" customFormat="false" ht="15" hidden="false" customHeight="false" outlineLevel="0" collapsed="false">
      <c r="A1600" s="0" t="n">
        <v>3</v>
      </c>
      <c r="B1600" s="59" t="n">
        <v>46225</v>
      </c>
      <c r="C1600" s="0" t="n">
        <v>11</v>
      </c>
      <c r="D1600" s="0" t="s">
        <v>2126</v>
      </c>
      <c r="E1600" s="0" t="n">
        <v>1916</v>
      </c>
      <c r="F1600" s="0" t="s">
        <v>353</v>
      </c>
      <c r="I1600" s="0" t="n">
        <v>39904</v>
      </c>
      <c r="J1600" s="0" t="n">
        <v>43965</v>
      </c>
      <c r="K1600" s="0" t="n">
        <v>7898567710226</v>
      </c>
      <c r="L1600" s="0" t="s">
        <v>2257</v>
      </c>
      <c r="N1600" s="0" t="n">
        <v>25</v>
      </c>
      <c r="O1600" s="60" t="n">
        <v>137.5</v>
      </c>
    </row>
    <row r="1601" customFormat="false" ht="15" hidden="false" customHeight="false" outlineLevel="0" collapsed="false">
      <c r="A1601" s="0" t="n">
        <v>3</v>
      </c>
      <c r="B1601" s="59" t="n">
        <v>46225</v>
      </c>
      <c r="C1601" s="0" t="n">
        <v>11</v>
      </c>
      <c r="D1601" s="0" t="s">
        <v>2126</v>
      </c>
      <c r="E1601" s="0" t="n">
        <v>1024</v>
      </c>
      <c r="F1601" s="0" t="s">
        <v>162</v>
      </c>
      <c r="I1601" s="0" t="n">
        <v>607701</v>
      </c>
      <c r="J1601" s="0" t="n">
        <v>30387</v>
      </c>
      <c r="K1601" s="0" t="n">
        <v>7898654710092</v>
      </c>
      <c r="L1601" s="0" t="s">
        <v>2929</v>
      </c>
      <c r="N1601" s="0" t="n">
        <v>24</v>
      </c>
      <c r="O1601" s="60" t="n">
        <v>25.6</v>
      </c>
    </row>
    <row r="1602" customFormat="false" ht="15" hidden="false" customHeight="false" outlineLevel="0" collapsed="false">
      <c r="A1602" s="0" t="n">
        <v>3</v>
      </c>
      <c r="B1602" s="59" t="n">
        <v>46225</v>
      </c>
      <c r="C1602" s="0" t="n">
        <v>11</v>
      </c>
      <c r="D1602" s="0" t="s">
        <v>2126</v>
      </c>
      <c r="E1602" s="0" t="n">
        <v>1024</v>
      </c>
      <c r="F1602" s="0" t="s">
        <v>162</v>
      </c>
      <c r="I1602" s="0" t="n">
        <v>607701</v>
      </c>
      <c r="J1602" s="0" t="n">
        <v>103169</v>
      </c>
      <c r="K1602" s="0" t="n">
        <v>7898919635016</v>
      </c>
      <c r="L1602" s="0" t="s">
        <v>2417</v>
      </c>
      <c r="N1602" s="0" t="n">
        <v>45</v>
      </c>
      <c r="O1602" s="60" t="n">
        <v>170</v>
      </c>
    </row>
    <row r="1603" customFormat="false" ht="15" hidden="false" customHeight="false" outlineLevel="0" collapsed="false">
      <c r="A1603" s="0" t="n">
        <v>3</v>
      </c>
      <c r="B1603" s="59" t="n">
        <v>46225</v>
      </c>
      <c r="C1603" s="0" t="n">
        <v>11</v>
      </c>
      <c r="D1603" s="0" t="s">
        <v>2126</v>
      </c>
      <c r="E1603" s="0" t="n">
        <v>1024</v>
      </c>
      <c r="F1603" s="0" t="s">
        <v>162</v>
      </c>
      <c r="I1603" s="0" t="n">
        <v>607701</v>
      </c>
      <c r="J1603" s="0" t="n">
        <v>103170</v>
      </c>
      <c r="K1603" s="0" t="n">
        <v>7896792000020</v>
      </c>
      <c r="L1603" s="0" t="s">
        <v>2418</v>
      </c>
      <c r="N1603" s="0" t="n">
        <v>54</v>
      </c>
      <c r="O1603" s="60" t="n">
        <v>204</v>
      </c>
    </row>
    <row r="1604" customFormat="false" ht="15" hidden="false" customHeight="false" outlineLevel="0" collapsed="false">
      <c r="A1604" s="0" t="n">
        <v>3</v>
      </c>
      <c r="B1604" s="59" t="n">
        <v>46225</v>
      </c>
      <c r="C1604" s="0" t="n">
        <v>11</v>
      </c>
      <c r="D1604" s="0" t="s">
        <v>2126</v>
      </c>
      <c r="E1604" s="0" t="n">
        <v>1024</v>
      </c>
      <c r="F1604" s="0" t="s">
        <v>162</v>
      </c>
      <c r="I1604" s="0" t="n">
        <v>607701</v>
      </c>
      <c r="J1604" s="0" t="n">
        <v>10276</v>
      </c>
      <c r="K1604" s="0" t="n">
        <v>7898919635030</v>
      </c>
      <c r="L1604" s="0" t="s">
        <v>2420</v>
      </c>
      <c r="N1604" s="0" t="n">
        <v>45</v>
      </c>
      <c r="O1604" s="60" t="n">
        <v>170</v>
      </c>
    </row>
    <row r="1605" customFormat="false" ht="15" hidden="false" customHeight="false" outlineLevel="0" collapsed="false">
      <c r="A1605" s="0" t="n">
        <v>3</v>
      </c>
      <c r="B1605" s="59" t="n">
        <v>46225</v>
      </c>
      <c r="C1605" s="0" t="n">
        <v>11</v>
      </c>
      <c r="D1605" s="0" t="s">
        <v>2126</v>
      </c>
      <c r="E1605" s="0" t="n">
        <v>1024</v>
      </c>
      <c r="F1605" s="0" t="s">
        <v>162</v>
      </c>
      <c r="I1605" s="0" t="n">
        <v>607701</v>
      </c>
      <c r="J1605" s="0" t="n">
        <v>30090</v>
      </c>
      <c r="K1605" s="0" t="n">
        <v>7896792510017</v>
      </c>
      <c r="L1605" s="0" t="s">
        <v>2930</v>
      </c>
      <c r="N1605" s="0" t="n">
        <v>12</v>
      </c>
      <c r="O1605" s="60" t="n">
        <v>13.8</v>
      </c>
    </row>
    <row r="1606" customFormat="false" ht="15" hidden="false" customHeight="false" outlineLevel="0" collapsed="false">
      <c r="A1606" s="0" t="n">
        <v>3</v>
      </c>
      <c r="B1606" s="59" t="n">
        <v>46225</v>
      </c>
      <c r="C1606" s="0" t="n">
        <v>11</v>
      </c>
      <c r="D1606" s="0" t="s">
        <v>2126</v>
      </c>
      <c r="E1606" s="0" t="n">
        <v>1024</v>
      </c>
      <c r="F1606" s="0" t="s">
        <v>162</v>
      </c>
      <c r="I1606" s="0" t="n">
        <v>607701</v>
      </c>
      <c r="J1606" s="0" t="n">
        <v>36458</v>
      </c>
      <c r="K1606" s="0" t="n">
        <v>7898654710122</v>
      </c>
      <c r="L1606" s="0" t="s">
        <v>2931</v>
      </c>
      <c r="N1606" s="0" t="n">
        <v>36</v>
      </c>
      <c r="O1606" s="60" t="n">
        <v>100.8</v>
      </c>
    </row>
    <row r="1607" customFormat="false" ht="15" hidden="false" customHeight="false" outlineLevel="0" collapsed="false">
      <c r="A1607" s="0" t="n">
        <v>3</v>
      </c>
      <c r="B1607" s="59" t="n">
        <v>46225</v>
      </c>
      <c r="C1607" s="0" t="n">
        <v>11</v>
      </c>
      <c r="D1607" s="0" t="s">
        <v>2126</v>
      </c>
      <c r="E1607" s="0" t="n">
        <v>1024</v>
      </c>
      <c r="F1607" s="0" t="s">
        <v>162</v>
      </c>
      <c r="I1607" s="0" t="n">
        <v>607701</v>
      </c>
      <c r="J1607" s="0" t="n">
        <v>39214</v>
      </c>
      <c r="K1607" s="0" t="n">
        <v>7898654710306</v>
      </c>
      <c r="L1607" s="0" t="s">
        <v>2932</v>
      </c>
      <c r="N1607" s="0" t="n">
        <v>24</v>
      </c>
      <c r="O1607" s="60" t="n">
        <v>25.6</v>
      </c>
    </row>
    <row r="1608" customFormat="false" ht="15" hidden="false" customHeight="false" outlineLevel="0" collapsed="false">
      <c r="A1608" s="0" t="n">
        <v>3</v>
      </c>
      <c r="B1608" s="59" t="n">
        <v>46225</v>
      </c>
      <c r="C1608" s="0" t="n">
        <v>11</v>
      </c>
      <c r="D1608" s="0" t="s">
        <v>2126</v>
      </c>
      <c r="E1608" s="0" t="n">
        <v>1024</v>
      </c>
      <c r="F1608" s="0" t="s">
        <v>162</v>
      </c>
      <c r="I1608" s="0" t="n">
        <v>607701</v>
      </c>
      <c r="J1608" s="0" t="n">
        <v>46562</v>
      </c>
      <c r="K1608" s="0" t="n">
        <v>7898654710337</v>
      </c>
      <c r="L1608" s="0" t="s">
        <v>2933</v>
      </c>
      <c r="N1608" s="0" t="n">
        <v>18</v>
      </c>
      <c r="O1608" s="60" t="n">
        <v>71</v>
      </c>
    </row>
    <row r="1609" customFormat="false" ht="15" hidden="false" customHeight="false" outlineLevel="0" collapsed="false">
      <c r="A1609" s="0" t="n">
        <v>3</v>
      </c>
      <c r="B1609" s="59" t="n">
        <v>46225</v>
      </c>
      <c r="C1609" s="0" t="n">
        <v>11</v>
      </c>
      <c r="D1609" s="0" t="s">
        <v>2126</v>
      </c>
      <c r="E1609" s="0" t="n">
        <v>1024</v>
      </c>
      <c r="F1609" s="0" t="s">
        <v>162</v>
      </c>
      <c r="I1609" s="0" t="n">
        <v>607701</v>
      </c>
      <c r="J1609" s="0" t="n">
        <v>60866</v>
      </c>
      <c r="K1609" s="0" t="n">
        <v>7898654710474</v>
      </c>
      <c r="L1609" s="0" t="s">
        <v>2934</v>
      </c>
      <c r="N1609" s="0" t="n">
        <v>180</v>
      </c>
      <c r="O1609" s="60" t="n">
        <v>420</v>
      </c>
    </row>
    <row r="1610" customFormat="false" ht="15" hidden="false" customHeight="false" outlineLevel="0" collapsed="false">
      <c r="A1610" s="0" t="n">
        <v>3</v>
      </c>
      <c r="B1610" s="59" t="n">
        <v>46225</v>
      </c>
      <c r="C1610" s="0" t="n">
        <v>11</v>
      </c>
      <c r="D1610" s="0" t="s">
        <v>2126</v>
      </c>
      <c r="E1610" s="0" t="n">
        <v>1672</v>
      </c>
      <c r="F1610" s="0" t="s">
        <v>68</v>
      </c>
      <c r="I1610" s="0" t="n">
        <v>1400510</v>
      </c>
      <c r="J1610" s="0" t="n">
        <v>40017</v>
      </c>
      <c r="K1610" s="0" t="n">
        <v>7899465200802</v>
      </c>
      <c r="L1610" s="0" t="s">
        <v>2935</v>
      </c>
      <c r="N1610" s="0" t="n">
        <v>15</v>
      </c>
      <c r="O1610" s="60" t="n">
        <v>31.5</v>
      </c>
    </row>
    <row r="1611" customFormat="false" ht="15" hidden="false" customHeight="false" outlineLevel="0" collapsed="false">
      <c r="A1611" s="0" t="n">
        <v>3</v>
      </c>
      <c r="B1611" s="59" t="n">
        <v>46225</v>
      </c>
      <c r="C1611" s="0" t="n">
        <v>11</v>
      </c>
      <c r="D1611" s="0" t="s">
        <v>2126</v>
      </c>
      <c r="E1611" s="0" t="n">
        <v>1672</v>
      </c>
      <c r="F1611" s="0" t="s">
        <v>68</v>
      </c>
      <c r="I1611" s="0" t="n">
        <v>1400510</v>
      </c>
      <c r="J1611" s="0" t="n">
        <v>102357</v>
      </c>
      <c r="K1611" s="0" t="n">
        <v>7896004400358</v>
      </c>
      <c r="L1611" s="0" t="s">
        <v>2936</v>
      </c>
      <c r="N1611" s="0" t="n">
        <v>24</v>
      </c>
      <c r="O1611" s="60" t="n">
        <v>74.4</v>
      </c>
    </row>
    <row r="1612" customFormat="false" ht="15" hidden="false" customHeight="false" outlineLevel="0" collapsed="false">
      <c r="A1612" s="0" t="n">
        <v>3</v>
      </c>
      <c r="B1612" s="59" t="n">
        <v>46225</v>
      </c>
      <c r="C1612" s="0" t="n">
        <v>11</v>
      </c>
      <c r="D1612" s="0" t="s">
        <v>2126</v>
      </c>
      <c r="E1612" s="0" t="n">
        <v>1672</v>
      </c>
      <c r="F1612" s="0" t="s">
        <v>68</v>
      </c>
      <c r="I1612" s="0" t="n">
        <v>1400510</v>
      </c>
      <c r="J1612" s="0" t="n">
        <v>103165</v>
      </c>
      <c r="K1612" s="0" t="n">
        <v>7896579310106</v>
      </c>
      <c r="L1612" s="0" t="s">
        <v>2937</v>
      </c>
      <c r="N1612" s="0" t="n">
        <v>27</v>
      </c>
      <c r="O1612" s="60" t="n">
        <v>110.7</v>
      </c>
    </row>
    <row r="1613" customFormat="false" ht="15" hidden="false" customHeight="false" outlineLevel="0" collapsed="false">
      <c r="A1613" s="0" t="n">
        <v>3</v>
      </c>
      <c r="B1613" s="59" t="n">
        <v>46225</v>
      </c>
      <c r="C1613" s="0" t="n">
        <v>11</v>
      </c>
      <c r="D1613" s="0" t="s">
        <v>2126</v>
      </c>
      <c r="E1613" s="0" t="n">
        <v>1672</v>
      </c>
      <c r="F1613" s="0" t="s">
        <v>68</v>
      </c>
      <c r="I1613" s="0" t="n">
        <v>1400510</v>
      </c>
      <c r="J1613" s="0" t="n">
        <v>103940</v>
      </c>
      <c r="K1613" s="0" t="n">
        <v>7896579330081</v>
      </c>
      <c r="L1613" s="0" t="s">
        <v>2938</v>
      </c>
      <c r="N1613" s="0" t="n">
        <v>60</v>
      </c>
      <c r="O1613" s="60" t="n">
        <v>54</v>
      </c>
    </row>
    <row r="1614" customFormat="false" ht="15" hidden="false" customHeight="false" outlineLevel="0" collapsed="false">
      <c r="A1614" s="0" t="n">
        <v>3</v>
      </c>
      <c r="B1614" s="59" t="n">
        <v>46225</v>
      </c>
      <c r="C1614" s="0" t="n">
        <v>11</v>
      </c>
      <c r="D1614" s="0" t="s">
        <v>2126</v>
      </c>
      <c r="E1614" s="0" t="n">
        <v>1672</v>
      </c>
      <c r="F1614" s="0" t="s">
        <v>68</v>
      </c>
      <c r="I1614" s="0" t="n">
        <v>1400510</v>
      </c>
      <c r="J1614" s="0" t="n">
        <v>103941</v>
      </c>
      <c r="K1614" s="0" t="n">
        <v>7896579330036</v>
      </c>
      <c r="L1614" s="0" t="s">
        <v>2939</v>
      </c>
      <c r="N1614" s="0" t="n">
        <v>24</v>
      </c>
      <c r="O1614" s="60" t="n">
        <v>28.8</v>
      </c>
    </row>
    <row r="1615" customFormat="false" ht="15" hidden="false" customHeight="false" outlineLevel="0" collapsed="false">
      <c r="A1615" s="0" t="n">
        <v>3</v>
      </c>
      <c r="B1615" s="59" t="n">
        <v>46225</v>
      </c>
      <c r="C1615" s="0" t="n">
        <v>11</v>
      </c>
      <c r="D1615" s="0" t="s">
        <v>2126</v>
      </c>
      <c r="E1615" s="0" t="n">
        <v>1672</v>
      </c>
      <c r="F1615" s="0" t="s">
        <v>68</v>
      </c>
      <c r="I1615" s="0" t="n">
        <v>1400510</v>
      </c>
      <c r="J1615" s="0" t="n">
        <v>104355</v>
      </c>
      <c r="K1615" s="0" t="n">
        <v>7896579380116</v>
      </c>
      <c r="L1615" s="0" t="s">
        <v>2940</v>
      </c>
      <c r="N1615" s="0" t="n">
        <v>27</v>
      </c>
      <c r="O1615" s="60" t="n">
        <v>110.7</v>
      </c>
    </row>
    <row r="1616" customFormat="false" ht="15" hidden="false" customHeight="false" outlineLevel="0" collapsed="false">
      <c r="A1616" s="0" t="n">
        <v>3</v>
      </c>
      <c r="B1616" s="59" t="n">
        <v>46225</v>
      </c>
      <c r="C1616" s="0" t="n">
        <v>11</v>
      </c>
      <c r="D1616" s="0" t="s">
        <v>2126</v>
      </c>
      <c r="E1616" s="0" t="n">
        <v>1672</v>
      </c>
      <c r="F1616" s="0" t="s">
        <v>68</v>
      </c>
      <c r="I1616" s="0" t="n">
        <v>1400510</v>
      </c>
      <c r="J1616" s="0" t="n">
        <v>104360</v>
      </c>
      <c r="K1616" s="0" t="n">
        <v>7896579330074</v>
      </c>
      <c r="L1616" s="0" t="s">
        <v>2941</v>
      </c>
      <c r="N1616" s="0" t="n">
        <v>60</v>
      </c>
      <c r="O1616" s="60" t="n">
        <v>78</v>
      </c>
    </row>
    <row r="1617" customFormat="false" ht="15" hidden="false" customHeight="false" outlineLevel="0" collapsed="false">
      <c r="A1617" s="0" t="n">
        <v>3</v>
      </c>
      <c r="B1617" s="59" t="n">
        <v>46225</v>
      </c>
      <c r="C1617" s="0" t="n">
        <v>11</v>
      </c>
      <c r="D1617" s="0" t="s">
        <v>2126</v>
      </c>
      <c r="E1617" s="0" t="n">
        <v>1672</v>
      </c>
      <c r="F1617" s="0" t="s">
        <v>68</v>
      </c>
      <c r="I1617" s="0" t="n">
        <v>1400510</v>
      </c>
      <c r="J1617" s="0" t="n">
        <v>106239</v>
      </c>
      <c r="K1617" s="0" t="n">
        <v>7896579390016</v>
      </c>
      <c r="L1617" s="0" t="s">
        <v>2942</v>
      </c>
      <c r="N1617" s="0" t="n">
        <v>24</v>
      </c>
      <c r="O1617" s="60" t="n">
        <v>48</v>
      </c>
    </row>
    <row r="1618" customFormat="false" ht="15" hidden="false" customHeight="false" outlineLevel="0" collapsed="false">
      <c r="A1618" s="0" t="n">
        <v>3</v>
      </c>
      <c r="B1618" s="59" t="n">
        <v>46225</v>
      </c>
      <c r="C1618" s="0" t="n">
        <v>11</v>
      </c>
      <c r="D1618" s="0" t="s">
        <v>2126</v>
      </c>
      <c r="E1618" s="0" t="n">
        <v>1672</v>
      </c>
      <c r="F1618" s="0" t="s">
        <v>68</v>
      </c>
      <c r="I1618" s="0" t="n">
        <v>1400510</v>
      </c>
      <c r="J1618" s="0" t="n">
        <v>108508</v>
      </c>
      <c r="K1618" s="0" t="n">
        <v>7896004401409</v>
      </c>
      <c r="L1618" s="0" t="s">
        <v>2943</v>
      </c>
      <c r="N1618" s="0" t="n">
        <v>12</v>
      </c>
      <c r="O1618" s="60" t="n">
        <v>132.6</v>
      </c>
    </row>
    <row r="1619" customFormat="false" ht="15" hidden="false" customHeight="false" outlineLevel="0" collapsed="false">
      <c r="A1619" s="0" t="n">
        <v>3</v>
      </c>
      <c r="B1619" s="59" t="n">
        <v>46225</v>
      </c>
      <c r="C1619" s="0" t="n">
        <v>11</v>
      </c>
      <c r="D1619" s="0" t="s">
        <v>2126</v>
      </c>
      <c r="E1619" s="0" t="n">
        <v>1672</v>
      </c>
      <c r="F1619" s="0" t="s">
        <v>68</v>
      </c>
      <c r="I1619" s="0" t="n">
        <v>1400510</v>
      </c>
      <c r="J1619" s="0" t="n">
        <v>12755</v>
      </c>
      <c r="K1619" s="0" t="n">
        <v>7896520027190</v>
      </c>
      <c r="L1619" s="0" t="s">
        <v>2944</v>
      </c>
      <c r="N1619" s="0" t="n">
        <v>6</v>
      </c>
      <c r="O1619" s="60" t="n">
        <v>35.4</v>
      </c>
    </row>
    <row r="1620" customFormat="false" ht="15" hidden="false" customHeight="false" outlineLevel="0" collapsed="false">
      <c r="A1620" s="0" t="n">
        <v>3</v>
      </c>
      <c r="B1620" s="59" t="n">
        <v>46225</v>
      </c>
      <c r="C1620" s="0" t="n">
        <v>11</v>
      </c>
      <c r="D1620" s="0" t="s">
        <v>2126</v>
      </c>
      <c r="E1620" s="0" t="n">
        <v>1672</v>
      </c>
      <c r="F1620" s="0" t="s">
        <v>68</v>
      </c>
      <c r="I1620" s="0" t="n">
        <v>1400510</v>
      </c>
      <c r="J1620" s="0" t="n">
        <v>13184</v>
      </c>
      <c r="K1620" s="0" t="n">
        <v>7896579310113</v>
      </c>
      <c r="L1620" s="0" t="s">
        <v>2945</v>
      </c>
      <c r="N1620" s="0" t="n">
        <v>27</v>
      </c>
      <c r="O1620" s="60" t="n">
        <v>81</v>
      </c>
    </row>
    <row r="1621" customFormat="false" ht="15" hidden="false" customHeight="false" outlineLevel="0" collapsed="false">
      <c r="A1621" s="0" t="n">
        <v>3</v>
      </c>
      <c r="B1621" s="59" t="n">
        <v>46225</v>
      </c>
      <c r="C1621" s="0" t="n">
        <v>11</v>
      </c>
      <c r="D1621" s="0" t="s">
        <v>2126</v>
      </c>
      <c r="E1621" s="0" t="n">
        <v>1672</v>
      </c>
      <c r="F1621" s="0" t="s">
        <v>68</v>
      </c>
      <c r="I1621" s="0" t="n">
        <v>1400510</v>
      </c>
      <c r="J1621" s="0" t="n">
        <v>13228</v>
      </c>
      <c r="K1621" s="0" t="n">
        <v>7896520026261</v>
      </c>
      <c r="L1621" s="0" t="s">
        <v>2946</v>
      </c>
      <c r="N1621" s="0" t="n">
        <v>6</v>
      </c>
      <c r="O1621" s="60" t="n">
        <v>73.2</v>
      </c>
    </row>
    <row r="1622" customFormat="false" ht="15" hidden="false" customHeight="false" outlineLevel="0" collapsed="false">
      <c r="A1622" s="0" t="n">
        <v>3</v>
      </c>
      <c r="B1622" s="59" t="n">
        <v>46225</v>
      </c>
      <c r="C1622" s="0" t="n">
        <v>11</v>
      </c>
      <c r="D1622" s="0" t="s">
        <v>2126</v>
      </c>
      <c r="E1622" s="0" t="n">
        <v>1672</v>
      </c>
      <c r="F1622" s="0" t="s">
        <v>68</v>
      </c>
      <c r="I1622" s="0" t="n">
        <v>1400510</v>
      </c>
      <c r="J1622" s="0" t="n">
        <v>13798</v>
      </c>
      <c r="K1622" s="0" t="n">
        <v>7896520025974</v>
      </c>
      <c r="L1622" s="0" t="s">
        <v>2947</v>
      </c>
      <c r="N1622" s="0" t="n">
        <v>6</v>
      </c>
      <c r="O1622" s="60" t="n">
        <v>114</v>
      </c>
    </row>
    <row r="1623" customFormat="false" ht="15" hidden="false" customHeight="false" outlineLevel="0" collapsed="false">
      <c r="A1623" s="0" t="n">
        <v>3</v>
      </c>
      <c r="B1623" s="59" t="n">
        <v>46225</v>
      </c>
      <c r="C1623" s="0" t="n">
        <v>11</v>
      </c>
      <c r="D1623" s="0" t="s">
        <v>2126</v>
      </c>
      <c r="E1623" s="0" t="n">
        <v>1672</v>
      </c>
      <c r="F1623" s="0" t="s">
        <v>68</v>
      </c>
      <c r="I1623" s="0" t="n">
        <v>1400510</v>
      </c>
      <c r="J1623" s="0" t="n">
        <v>16569</v>
      </c>
      <c r="K1623" s="0" t="n">
        <v>7896004401744</v>
      </c>
      <c r="L1623" s="0" t="s">
        <v>2948</v>
      </c>
      <c r="N1623" s="0" t="n">
        <v>12</v>
      </c>
      <c r="O1623" s="60" t="n">
        <v>59.4</v>
      </c>
    </row>
    <row r="1624" customFormat="false" ht="15" hidden="false" customHeight="false" outlineLevel="0" collapsed="false">
      <c r="A1624" s="0" t="n">
        <v>3</v>
      </c>
      <c r="B1624" s="59" t="n">
        <v>46225</v>
      </c>
      <c r="C1624" s="0" t="n">
        <v>11</v>
      </c>
      <c r="D1624" s="0" t="s">
        <v>2126</v>
      </c>
      <c r="E1624" s="0" t="n">
        <v>1672</v>
      </c>
      <c r="F1624" s="0" t="s">
        <v>68</v>
      </c>
      <c r="I1624" s="0" t="n">
        <v>1400510</v>
      </c>
      <c r="J1624" s="0" t="n">
        <v>18293</v>
      </c>
      <c r="K1624" s="0" t="n">
        <v>7896520027206</v>
      </c>
      <c r="L1624" s="0" t="s">
        <v>2949</v>
      </c>
      <c r="N1624" s="0" t="n">
        <v>6</v>
      </c>
      <c r="O1624" s="60" t="n">
        <v>40.8</v>
      </c>
    </row>
    <row r="1625" customFormat="false" ht="15" hidden="false" customHeight="false" outlineLevel="0" collapsed="false">
      <c r="A1625" s="0" t="n">
        <v>3</v>
      </c>
      <c r="B1625" s="59" t="n">
        <v>46225</v>
      </c>
      <c r="C1625" s="0" t="n">
        <v>11</v>
      </c>
      <c r="D1625" s="0" t="s">
        <v>2126</v>
      </c>
      <c r="E1625" s="0" t="n">
        <v>1672</v>
      </c>
      <c r="F1625" s="0" t="s">
        <v>68</v>
      </c>
      <c r="I1625" s="0" t="n">
        <v>1400510</v>
      </c>
      <c r="J1625" s="0" t="n">
        <v>19371</v>
      </c>
      <c r="K1625" s="0" t="n">
        <v>7896520021334</v>
      </c>
      <c r="L1625" s="0" t="s">
        <v>2950</v>
      </c>
      <c r="N1625" s="0" t="n">
        <v>8</v>
      </c>
      <c r="O1625" s="60" t="n">
        <v>60.8</v>
      </c>
    </row>
    <row r="1626" customFormat="false" ht="15" hidden="false" customHeight="false" outlineLevel="0" collapsed="false">
      <c r="A1626" s="0" t="n">
        <v>3</v>
      </c>
      <c r="B1626" s="59" t="n">
        <v>46225</v>
      </c>
      <c r="C1626" s="0" t="n">
        <v>11</v>
      </c>
      <c r="D1626" s="0" t="s">
        <v>2126</v>
      </c>
      <c r="E1626" s="0" t="n">
        <v>1672</v>
      </c>
      <c r="F1626" s="0" t="s">
        <v>68</v>
      </c>
      <c r="I1626" s="0" t="n">
        <v>1400510</v>
      </c>
      <c r="J1626" s="0" t="n">
        <v>19373</v>
      </c>
      <c r="K1626" s="0" t="n">
        <v>7896520023017</v>
      </c>
      <c r="L1626" s="0" t="s">
        <v>2951</v>
      </c>
      <c r="N1626" s="0" t="n">
        <v>8</v>
      </c>
      <c r="O1626" s="60" t="n">
        <v>60.8</v>
      </c>
    </row>
    <row r="1627" customFormat="false" ht="15" hidden="false" customHeight="false" outlineLevel="0" collapsed="false">
      <c r="A1627" s="0" t="n">
        <v>3</v>
      </c>
      <c r="B1627" s="59" t="n">
        <v>46225</v>
      </c>
      <c r="C1627" s="0" t="n">
        <v>11</v>
      </c>
      <c r="D1627" s="0" t="s">
        <v>2126</v>
      </c>
      <c r="E1627" s="0" t="n">
        <v>1672</v>
      </c>
      <c r="F1627" s="0" t="s">
        <v>68</v>
      </c>
      <c r="I1627" s="0" t="n">
        <v>1400510</v>
      </c>
      <c r="J1627" s="0" t="n">
        <v>19375</v>
      </c>
      <c r="K1627" s="0" t="n">
        <v>7896520021327</v>
      </c>
      <c r="L1627" s="0" t="s">
        <v>2952</v>
      </c>
      <c r="N1627" s="0" t="n">
        <v>8</v>
      </c>
      <c r="O1627" s="60" t="n">
        <v>60.8</v>
      </c>
    </row>
    <row r="1628" customFormat="false" ht="15" hidden="false" customHeight="false" outlineLevel="0" collapsed="false">
      <c r="A1628" s="0" t="n">
        <v>3</v>
      </c>
      <c r="B1628" s="59" t="n">
        <v>46225</v>
      </c>
      <c r="C1628" s="0" t="n">
        <v>11</v>
      </c>
      <c r="D1628" s="0" t="s">
        <v>2126</v>
      </c>
      <c r="E1628" s="0" t="n">
        <v>1672</v>
      </c>
      <c r="F1628" s="0" t="s">
        <v>68</v>
      </c>
      <c r="I1628" s="0" t="n">
        <v>1400510</v>
      </c>
      <c r="J1628" s="0" t="n">
        <v>23258</v>
      </c>
      <c r="K1628" s="0" t="n">
        <v>7899465200505</v>
      </c>
      <c r="L1628" s="0" t="s">
        <v>2953</v>
      </c>
      <c r="N1628" s="0" t="n">
        <v>18</v>
      </c>
      <c r="O1628" s="60" t="n">
        <v>46.8</v>
      </c>
    </row>
    <row r="1629" customFormat="false" ht="15" hidden="false" customHeight="false" outlineLevel="0" collapsed="false">
      <c r="A1629" s="0" t="n">
        <v>3</v>
      </c>
      <c r="B1629" s="59" t="n">
        <v>46225</v>
      </c>
      <c r="C1629" s="0" t="n">
        <v>11</v>
      </c>
      <c r="D1629" s="0" t="s">
        <v>2126</v>
      </c>
      <c r="E1629" s="0" t="n">
        <v>1672</v>
      </c>
      <c r="F1629" s="0" t="s">
        <v>68</v>
      </c>
      <c r="I1629" s="0" t="n">
        <v>1400510</v>
      </c>
      <c r="J1629" s="0" t="n">
        <v>26411</v>
      </c>
      <c r="K1629" s="0" t="n">
        <v>7899465200819</v>
      </c>
      <c r="L1629" s="0" t="s">
        <v>2954</v>
      </c>
      <c r="N1629" s="0" t="n">
        <v>18</v>
      </c>
      <c r="O1629" s="60" t="n">
        <v>43.2</v>
      </c>
    </row>
    <row r="1630" customFormat="false" ht="15" hidden="false" customHeight="false" outlineLevel="0" collapsed="false">
      <c r="A1630" s="0" t="n">
        <v>3</v>
      </c>
      <c r="B1630" s="59" t="n">
        <v>46225</v>
      </c>
      <c r="C1630" s="0" t="n">
        <v>11</v>
      </c>
      <c r="D1630" s="0" t="s">
        <v>2126</v>
      </c>
      <c r="E1630" s="0" t="n">
        <v>1672</v>
      </c>
      <c r="F1630" s="0" t="s">
        <v>68</v>
      </c>
      <c r="I1630" s="0" t="n">
        <v>1400510</v>
      </c>
      <c r="J1630" s="0" t="n">
        <v>27109</v>
      </c>
      <c r="K1630" s="0" t="n">
        <v>7896520028623</v>
      </c>
      <c r="L1630" s="0" t="s">
        <v>2955</v>
      </c>
      <c r="N1630" s="0" t="n">
        <v>8</v>
      </c>
      <c r="O1630" s="60" t="n">
        <v>60.8</v>
      </c>
    </row>
    <row r="1631" customFormat="false" ht="15" hidden="false" customHeight="false" outlineLevel="0" collapsed="false">
      <c r="A1631" s="0" t="n">
        <v>3</v>
      </c>
      <c r="B1631" s="59" t="n">
        <v>46225</v>
      </c>
      <c r="C1631" s="0" t="n">
        <v>11</v>
      </c>
      <c r="D1631" s="0" t="s">
        <v>2126</v>
      </c>
      <c r="E1631" s="0" t="n">
        <v>1672</v>
      </c>
      <c r="F1631" s="0" t="s">
        <v>68</v>
      </c>
      <c r="I1631" s="0" t="n">
        <v>1400510</v>
      </c>
      <c r="J1631" s="0" t="n">
        <v>27381</v>
      </c>
      <c r="K1631" s="0" t="n">
        <v>7896004401843</v>
      </c>
      <c r="L1631" s="0" t="s">
        <v>2956</v>
      </c>
      <c r="N1631" s="0" t="n">
        <v>12</v>
      </c>
      <c r="O1631" s="60" t="n">
        <v>114</v>
      </c>
    </row>
    <row r="1632" customFormat="false" ht="15" hidden="false" customHeight="false" outlineLevel="0" collapsed="false">
      <c r="A1632" s="0" t="n">
        <v>3</v>
      </c>
      <c r="B1632" s="59" t="n">
        <v>46225</v>
      </c>
      <c r="C1632" s="0" t="n">
        <v>11</v>
      </c>
      <c r="D1632" s="0" t="s">
        <v>2126</v>
      </c>
      <c r="E1632" s="0" t="n">
        <v>1672</v>
      </c>
      <c r="F1632" s="0" t="s">
        <v>68</v>
      </c>
      <c r="I1632" s="0" t="n">
        <v>1400510</v>
      </c>
      <c r="J1632" s="0" t="n">
        <v>27524</v>
      </c>
      <c r="K1632" s="0" t="n">
        <v>7899465200444</v>
      </c>
      <c r="L1632" s="0" t="s">
        <v>2957</v>
      </c>
      <c r="N1632" s="0" t="n">
        <v>1</v>
      </c>
      <c r="O1632" s="60" t="n">
        <v>39.6</v>
      </c>
    </row>
    <row r="1633" customFormat="false" ht="15" hidden="false" customHeight="false" outlineLevel="0" collapsed="false">
      <c r="A1633" s="0" t="n">
        <v>3</v>
      </c>
      <c r="B1633" s="59" t="n">
        <v>46225</v>
      </c>
      <c r="C1633" s="0" t="n">
        <v>11</v>
      </c>
      <c r="D1633" s="0" t="s">
        <v>2126</v>
      </c>
      <c r="E1633" s="0" t="n">
        <v>1672</v>
      </c>
      <c r="F1633" s="0" t="s">
        <v>68</v>
      </c>
      <c r="I1633" s="0" t="n">
        <v>1400510</v>
      </c>
      <c r="J1633" s="0" t="n">
        <v>31622</v>
      </c>
      <c r="K1633" s="0" t="n">
        <v>7896579370032</v>
      </c>
      <c r="L1633" s="0" t="s">
        <v>2958</v>
      </c>
      <c r="N1633" s="0" t="n">
        <v>27</v>
      </c>
      <c r="O1633" s="60" t="n">
        <v>129.6</v>
      </c>
    </row>
    <row r="1634" customFormat="false" ht="15" hidden="false" customHeight="false" outlineLevel="0" collapsed="false">
      <c r="A1634" s="0" t="n">
        <v>3</v>
      </c>
      <c r="B1634" s="59" t="n">
        <v>46225</v>
      </c>
      <c r="C1634" s="0" t="n">
        <v>11</v>
      </c>
      <c r="D1634" s="0" t="s">
        <v>2126</v>
      </c>
      <c r="E1634" s="0" t="n">
        <v>1672</v>
      </c>
      <c r="F1634" s="0" t="s">
        <v>68</v>
      </c>
      <c r="I1634" s="0" t="n">
        <v>1400510</v>
      </c>
      <c r="J1634" s="0" t="n">
        <v>31920</v>
      </c>
      <c r="K1634" s="0" t="n">
        <v>7896579330012</v>
      </c>
      <c r="L1634" s="0" t="s">
        <v>2959</v>
      </c>
      <c r="N1634" s="0" t="n">
        <v>60</v>
      </c>
      <c r="O1634" s="60" t="n">
        <v>90</v>
      </c>
    </row>
    <row r="1635" customFormat="false" ht="15" hidden="false" customHeight="false" outlineLevel="0" collapsed="false">
      <c r="A1635" s="0" t="n">
        <v>3</v>
      </c>
      <c r="B1635" s="59" t="n">
        <v>46225</v>
      </c>
      <c r="C1635" s="0" t="n">
        <v>11</v>
      </c>
      <c r="D1635" s="0" t="s">
        <v>2126</v>
      </c>
      <c r="E1635" s="0" t="n">
        <v>1672</v>
      </c>
      <c r="F1635" s="0" t="s">
        <v>68</v>
      </c>
      <c r="I1635" s="0" t="n">
        <v>1400510</v>
      </c>
      <c r="J1635" s="0" t="n">
        <v>33883</v>
      </c>
      <c r="K1635" s="0" t="n">
        <v>7899465200987</v>
      </c>
      <c r="L1635" s="0" t="s">
        <v>2960</v>
      </c>
      <c r="N1635" s="0" t="n">
        <v>6</v>
      </c>
      <c r="O1635" s="60" t="n">
        <v>40.8</v>
      </c>
    </row>
    <row r="1636" customFormat="false" ht="15" hidden="false" customHeight="false" outlineLevel="0" collapsed="false">
      <c r="A1636" s="0" t="n">
        <v>3</v>
      </c>
      <c r="B1636" s="59" t="n">
        <v>46225</v>
      </c>
      <c r="C1636" s="0" t="n">
        <v>11</v>
      </c>
      <c r="D1636" s="0" t="s">
        <v>2126</v>
      </c>
      <c r="E1636" s="0" t="n">
        <v>1672</v>
      </c>
      <c r="F1636" s="0" t="s">
        <v>68</v>
      </c>
      <c r="I1636" s="0" t="n">
        <v>1400510</v>
      </c>
      <c r="J1636" s="0" t="n">
        <v>35007</v>
      </c>
      <c r="K1636" s="0" t="n">
        <v>7896579340110</v>
      </c>
      <c r="L1636" s="0" t="s">
        <v>2961</v>
      </c>
      <c r="N1636" s="0" t="n">
        <v>9</v>
      </c>
      <c r="O1636" s="60" t="n">
        <v>40.5</v>
      </c>
    </row>
    <row r="1637" customFormat="false" ht="15" hidden="false" customHeight="false" outlineLevel="0" collapsed="false">
      <c r="A1637" s="0" t="n">
        <v>3</v>
      </c>
      <c r="B1637" s="59" t="n">
        <v>46225</v>
      </c>
      <c r="C1637" s="0" t="n">
        <v>11</v>
      </c>
      <c r="D1637" s="0" t="s">
        <v>2126</v>
      </c>
      <c r="E1637" s="0" t="n">
        <v>1672</v>
      </c>
      <c r="F1637" s="0" t="s">
        <v>68</v>
      </c>
      <c r="I1637" s="0" t="n">
        <v>1400510</v>
      </c>
      <c r="J1637" s="0" t="n">
        <v>35008</v>
      </c>
      <c r="K1637" s="0" t="n">
        <v>7896579350256</v>
      </c>
      <c r="L1637" s="0" t="s">
        <v>2962</v>
      </c>
      <c r="N1637" s="0" t="n">
        <v>18</v>
      </c>
      <c r="O1637" s="60" t="n">
        <v>81</v>
      </c>
    </row>
    <row r="1638" customFormat="false" ht="15" hidden="false" customHeight="false" outlineLevel="0" collapsed="false">
      <c r="A1638" s="0" t="n">
        <v>3</v>
      </c>
      <c r="B1638" s="59" t="n">
        <v>46225</v>
      </c>
      <c r="C1638" s="0" t="n">
        <v>11</v>
      </c>
      <c r="D1638" s="0" t="s">
        <v>2126</v>
      </c>
      <c r="E1638" s="0" t="n">
        <v>1672</v>
      </c>
      <c r="F1638" s="0" t="s">
        <v>68</v>
      </c>
      <c r="I1638" s="0" t="n">
        <v>1400510</v>
      </c>
      <c r="J1638" s="0" t="n">
        <v>37153</v>
      </c>
      <c r="K1638" s="0" t="n">
        <v>7896579310311</v>
      </c>
      <c r="L1638" s="0" t="s">
        <v>2963</v>
      </c>
      <c r="N1638" s="0" t="n">
        <v>18</v>
      </c>
      <c r="O1638" s="60" t="n">
        <v>52.2</v>
      </c>
    </row>
    <row r="1639" customFormat="false" ht="15" hidden="false" customHeight="false" outlineLevel="0" collapsed="false">
      <c r="A1639" s="0" t="n">
        <v>3</v>
      </c>
      <c r="B1639" s="59" t="n">
        <v>46225</v>
      </c>
      <c r="C1639" s="0" t="n">
        <v>11</v>
      </c>
      <c r="D1639" s="0" t="s">
        <v>2126</v>
      </c>
      <c r="E1639" s="0" t="n">
        <v>1672</v>
      </c>
      <c r="F1639" s="0" t="s">
        <v>68</v>
      </c>
      <c r="I1639" s="0" t="n">
        <v>1400510</v>
      </c>
      <c r="J1639" s="0" t="n">
        <v>37154</v>
      </c>
      <c r="K1639" s="0" t="n">
        <v>7896579310601</v>
      </c>
      <c r="L1639" s="0" t="s">
        <v>2964</v>
      </c>
      <c r="N1639" s="0" t="n">
        <v>18</v>
      </c>
      <c r="O1639" s="60" t="n">
        <v>81</v>
      </c>
    </row>
    <row r="1640" customFormat="false" ht="15" hidden="false" customHeight="false" outlineLevel="0" collapsed="false">
      <c r="A1640" s="0" t="n">
        <v>3</v>
      </c>
      <c r="B1640" s="59" t="n">
        <v>46225</v>
      </c>
      <c r="C1640" s="0" t="n">
        <v>11</v>
      </c>
      <c r="D1640" s="0" t="s">
        <v>2126</v>
      </c>
      <c r="E1640" s="0" t="n">
        <v>1672</v>
      </c>
      <c r="F1640" s="0" t="s">
        <v>68</v>
      </c>
      <c r="I1640" s="0" t="n">
        <v>1400510</v>
      </c>
      <c r="J1640" s="0" t="n">
        <v>37156</v>
      </c>
      <c r="K1640" s="0" t="n">
        <v>7896579310502</v>
      </c>
      <c r="L1640" s="0" t="s">
        <v>2965</v>
      </c>
      <c r="N1640" s="0" t="n">
        <v>18</v>
      </c>
      <c r="O1640" s="60" t="n">
        <v>81</v>
      </c>
    </row>
    <row r="1641" customFormat="false" ht="15" hidden="false" customHeight="false" outlineLevel="0" collapsed="false">
      <c r="A1641" s="0" t="n">
        <v>3</v>
      </c>
      <c r="B1641" s="59" t="n">
        <v>46225</v>
      </c>
      <c r="C1641" s="0" t="n">
        <v>11</v>
      </c>
      <c r="D1641" s="0" t="s">
        <v>2126</v>
      </c>
      <c r="E1641" s="0" t="n">
        <v>1672</v>
      </c>
      <c r="F1641" s="0" t="s">
        <v>68</v>
      </c>
      <c r="I1641" s="0" t="n">
        <v>1400510</v>
      </c>
      <c r="J1641" s="0" t="n">
        <v>37157</v>
      </c>
      <c r="K1641" s="0" t="n">
        <v>7896579310403</v>
      </c>
      <c r="L1641" s="0" t="s">
        <v>2966</v>
      </c>
      <c r="N1641" s="0" t="n">
        <v>18</v>
      </c>
      <c r="O1641" s="60" t="n">
        <v>81</v>
      </c>
    </row>
    <row r="1642" customFormat="false" ht="15" hidden="false" customHeight="false" outlineLevel="0" collapsed="false">
      <c r="A1642" s="0" t="n">
        <v>3</v>
      </c>
      <c r="B1642" s="59" t="n">
        <v>46225</v>
      </c>
      <c r="C1642" s="0" t="n">
        <v>11</v>
      </c>
      <c r="D1642" s="0" t="s">
        <v>2126</v>
      </c>
      <c r="E1642" s="0" t="n">
        <v>1672</v>
      </c>
      <c r="F1642" s="0" t="s">
        <v>68</v>
      </c>
      <c r="I1642" s="0" t="n">
        <v>1400510</v>
      </c>
      <c r="J1642" s="0" t="n">
        <v>38315</v>
      </c>
      <c r="K1642" s="0" t="n">
        <v>7896579320242</v>
      </c>
      <c r="L1642" s="0" t="s">
        <v>2967</v>
      </c>
      <c r="N1642" s="0" t="n">
        <v>27</v>
      </c>
      <c r="O1642" s="60" t="n">
        <v>81</v>
      </c>
    </row>
    <row r="1643" customFormat="false" ht="15" hidden="false" customHeight="false" outlineLevel="0" collapsed="false">
      <c r="A1643" s="0" t="n">
        <v>3</v>
      </c>
      <c r="B1643" s="59" t="n">
        <v>46225</v>
      </c>
      <c r="C1643" s="0" t="n">
        <v>11</v>
      </c>
      <c r="D1643" s="0" t="s">
        <v>2126</v>
      </c>
      <c r="E1643" s="0" t="n">
        <v>1672</v>
      </c>
      <c r="F1643" s="0" t="s">
        <v>68</v>
      </c>
      <c r="I1643" s="0" t="n">
        <v>1400510</v>
      </c>
      <c r="J1643" s="0" t="n">
        <v>38539</v>
      </c>
      <c r="K1643" s="0" t="n">
        <v>7896579320235</v>
      </c>
      <c r="L1643" s="0" t="s">
        <v>2968</v>
      </c>
      <c r="N1643" s="0" t="n">
        <v>27</v>
      </c>
      <c r="O1643" s="60" t="n">
        <v>110.7</v>
      </c>
    </row>
    <row r="1644" customFormat="false" ht="15" hidden="false" customHeight="false" outlineLevel="0" collapsed="false">
      <c r="A1644" s="0" t="n">
        <v>3</v>
      </c>
      <c r="B1644" s="59" t="n">
        <v>46225</v>
      </c>
      <c r="C1644" s="0" t="n">
        <v>11</v>
      </c>
      <c r="D1644" s="0" t="s">
        <v>2126</v>
      </c>
      <c r="E1644" s="0" t="n">
        <v>1672</v>
      </c>
      <c r="F1644" s="0" t="s">
        <v>68</v>
      </c>
      <c r="I1644" s="0" t="n">
        <v>1400510</v>
      </c>
      <c r="J1644" s="0" t="n">
        <v>45144</v>
      </c>
      <c r="K1644" s="0" t="n">
        <v>7896579350164</v>
      </c>
      <c r="L1644" s="0" t="s">
        <v>2969</v>
      </c>
      <c r="N1644" s="0" t="n">
        <v>18</v>
      </c>
      <c r="O1644" s="60" t="n">
        <v>81</v>
      </c>
    </row>
    <row r="1645" customFormat="false" ht="15" hidden="false" customHeight="false" outlineLevel="0" collapsed="false">
      <c r="A1645" s="0" t="n">
        <v>3</v>
      </c>
      <c r="B1645" s="59" t="n">
        <v>46225</v>
      </c>
      <c r="C1645" s="0" t="n">
        <v>11</v>
      </c>
      <c r="D1645" s="0" t="s">
        <v>2126</v>
      </c>
      <c r="E1645" s="0" t="n">
        <v>1672</v>
      </c>
      <c r="F1645" s="0" t="s">
        <v>68</v>
      </c>
      <c r="I1645" s="0" t="n">
        <v>1400510</v>
      </c>
      <c r="J1645" s="0" t="n">
        <v>53441</v>
      </c>
      <c r="K1645" s="0" t="n">
        <v>7896579340165</v>
      </c>
      <c r="L1645" s="0" t="s">
        <v>2970</v>
      </c>
      <c r="N1645" s="0" t="n">
        <v>12</v>
      </c>
      <c r="O1645" s="60" t="n">
        <v>31.2</v>
      </c>
    </row>
    <row r="1646" customFormat="false" ht="15" hidden="false" customHeight="false" outlineLevel="0" collapsed="false">
      <c r="A1646" s="0" t="n">
        <v>3</v>
      </c>
      <c r="B1646" s="59" t="n">
        <v>46225</v>
      </c>
      <c r="C1646" s="0" t="n">
        <v>11</v>
      </c>
      <c r="D1646" s="0" t="s">
        <v>2126</v>
      </c>
      <c r="E1646" s="0" t="n">
        <v>1672</v>
      </c>
      <c r="F1646" s="0" t="s">
        <v>68</v>
      </c>
      <c r="I1646" s="0" t="n">
        <v>1400510</v>
      </c>
      <c r="J1646" s="0" t="n">
        <v>61503</v>
      </c>
      <c r="K1646" s="0" t="n">
        <v>7896579310915</v>
      </c>
      <c r="L1646" s="0" t="s">
        <v>2971</v>
      </c>
      <c r="N1646" s="0" t="n">
        <v>10</v>
      </c>
      <c r="O1646" s="60" t="n">
        <v>80</v>
      </c>
    </row>
    <row r="1647" customFormat="false" ht="15" hidden="false" customHeight="false" outlineLevel="0" collapsed="false">
      <c r="A1647" s="0" t="n">
        <v>3</v>
      </c>
      <c r="B1647" s="59" t="n">
        <v>46225</v>
      </c>
      <c r="C1647" s="0" t="n">
        <v>11</v>
      </c>
      <c r="D1647" s="0" t="s">
        <v>2126</v>
      </c>
      <c r="E1647" s="0" t="n">
        <v>1672</v>
      </c>
      <c r="F1647" s="0" t="s">
        <v>68</v>
      </c>
      <c r="I1647" s="0" t="n">
        <v>1400510</v>
      </c>
      <c r="J1647" s="0" t="n">
        <v>65610</v>
      </c>
      <c r="K1647" s="0" t="n">
        <v>7896579340172</v>
      </c>
      <c r="L1647" s="0" t="s">
        <v>2972</v>
      </c>
      <c r="N1647" s="0" t="n">
        <v>12</v>
      </c>
      <c r="O1647" s="60" t="n">
        <v>13.2</v>
      </c>
    </row>
    <row r="1648" customFormat="false" ht="15" hidden="false" customHeight="false" outlineLevel="0" collapsed="false">
      <c r="A1648" s="0" t="n">
        <v>3</v>
      </c>
      <c r="B1648" s="59" t="n">
        <v>46225</v>
      </c>
      <c r="C1648" s="0" t="n">
        <v>11</v>
      </c>
      <c r="D1648" s="0" t="s">
        <v>2126</v>
      </c>
      <c r="E1648" s="0" t="n">
        <v>1613</v>
      </c>
      <c r="F1648" s="0" t="s">
        <v>178</v>
      </c>
      <c r="I1648" s="0" t="n">
        <v>1609946</v>
      </c>
      <c r="J1648" s="0" t="n">
        <v>110883</v>
      </c>
      <c r="K1648" s="0" t="n">
        <v>45</v>
      </c>
      <c r="L1648" s="0" t="s">
        <v>2973</v>
      </c>
      <c r="N1648" s="0" t="n">
        <v>60</v>
      </c>
      <c r="O1648" s="60" t="n">
        <v>837.27</v>
      </c>
    </row>
    <row r="1649" customFormat="false" ht="15" hidden="false" customHeight="false" outlineLevel="0" collapsed="false">
      <c r="A1649" s="0" t="n">
        <v>3</v>
      </c>
      <c r="B1649" s="59" t="n">
        <v>46225</v>
      </c>
      <c r="C1649" s="0" t="n">
        <v>11</v>
      </c>
      <c r="D1649" s="0" t="s">
        <v>2126</v>
      </c>
      <c r="E1649" s="0" t="n">
        <v>1613</v>
      </c>
      <c r="F1649" s="0" t="s">
        <v>178</v>
      </c>
      <c r="I1649" s="0" t="n">
        <v>1609946</v>
      </c>
      <c r="J1649" s="0" t="n">
        <v>100045</v>
      </c>
      <c r="K1649" s="0" t="n">
        <v>46</v>
      </c>
      <c r="L1649" s="0" t="s">
        <v>2974</v>
      </c>
      <c r="N1649" s="0" t="n">
        <v>60</v>
      </c>
      <c r="O1649" s="60" t="n">
        <v>672.6</v>
      </c>
    </row>
    <row r="1650" customFormat="false" ht="15" hidden="false" customHeight="false" outlineLevel="0" collapsed="false">
      <c r="A1650" s="0" t="n">
        <v>3</v>
      </c>
      <c r="B1650" s="59" t="n">
        <v>46225</v>
      </c>
      <c r="C1650" s="0" t="n">
        <v>11</v>
      </c>
      <c r="D1650" s="0" t="s">
        <v>2126</v>
      </c>
      <c r="E1650" s="0" t="n">
        <v>1613</v>
      </c>
      <c r="F1650" s="0" t="s">
        <v>178</v>
      </c>
      <c r="I1650" s="0" t="n">
        <v>1609946</v>
      </c>
      <c r="J1650" s="0" t="n">
        <v>100073</v>
      </c>
      <c r="K1650" s="0" t="n">
        <v>74</v>
      </c>
      <c r="L1650" s="0" t="s">
        <v>2279</v>
      </c>
      <c r="N1650" s="0" t="n">
        <v>54</v>
      </c>
      <c r="O1650" s="60" t="n">
        <v>1140.48</v>
      </c>
    </row>
    <row r="1651" customFormat="false" ht="15" hidden="false" customHeight="false" outlineLevel="0" collapsed="false">
      <c r="A1651" s="0" t="n">
        <v>3</v>
      </c>
      <c r="B1651" s="59" t="n">
        <v>46225</v>
      </c>
      <c r="C1651" s="0" t="n">
        <v>11</v>
      </c>
      <c r="D1651" s="0" t="s">
        <v>2126</v>
      </c>
      <c r="E1651" s="0" t="n">
        <v>1613</v>
      </c>
      <c r="F1651" s="0" t="s">
        <v>178</v>
      </c>
      <c r="I1651" s="0" t="n">
        <v>1609946</v>
      </c>
      <c r="J1651" s="0" t="n">
        <v>103796</v>
      </c>
      <c r="K1651" s="0" t="n">
        <v>7893000436725</v>
      </c>
      <c r="L1651" s="0" t="s">
        <v>2975</v>
      </c>
      <c r="N1651" s="0" t="n">
        <v>12</v>
      </c>
      <c r="O1651" s="60" t="n">
        <v>148.68</v>
      </c>
    </row>
    <row r="1652" customFormat="false" ht="15" hidden="false" customHeight="false" outlineLevel="0" collapsed="false">
      <c r="A1652" s="0" t="n">
        <v>3</v>
      </c>
      <c r="B1652" s="59" t="n">
        <v>46225</v>
      </c>
      <c r="C1652" s="0" t="n">
        <v>11</v>
      </c>
      <c r="D1652" s="0" t="s">
        <v>2126</v>
      </c>
      <c r="E1652" s="0" t="n">
        <v>1613</v>
      </c>
      <c r="F1652" s="0" t="s">
        <v>178</v>
      </c>
      <c r="I1652" s="0" t="n">
        <v>1609946</v>
      </c>
      <c r="J1652" s="0" t="n">
        <v>103830</v>
      </c>
      <c r="K1652" s="0" t="n">
        <v>7893000394209</v>
      </c>
      <c r="L1652" s="0" t="s">
        <v>2976</v>
      </c>
      <c r="N1652" s="0" t="n">
        <v>24</v>
      </c>
      <c r="O1652" s="60" t="n">
        <v>211.08</v>
      </c>
    </row>
    <row r="1653" customFormat="false" ht="15" hidden="false" customHeight="false" outlineLevel="0" collapsed="false">
      <c r="A1653" s="0" t="n">
        <v>3</v>
      </c>
      <c r="B1653" s="59" t="n">
        <v>46225</v>
      </c>
      <c r="C1653" s="0" t="n">
        <v>11</v>
      </c>
      <c r="D1653" s="0" t="s">
        <v>2126</v>
      </c>
      <c r="E1653" s="0" t="n">
        <v>1613</v>
      </c>
      <c r="F1653" s="0" t="s">
        <v>178</v>
      </c>
      <c r="I1653" s="0" t="n">
        <v>1609946</v>
      </c>
      <c r="J1653" s="0" t="n">
        <v>22445</v>
      </c>
      <c r="K1653" s="0" t="n">
        <v>7891515432089</v>
      </c>
      <c r="L1653" s="0" t="s">
        <v>2977</v>
      </c>
      <c r="N1653" s="0" t="n">
        <v>15</v>
      </c>
      <c r="O1653" s="60" t="n">
        <v>63.96</v>
      </c>
    </row>
    <row r="1654" customFormat="false" ht="15" hidden="false" customHeight="false" outlineLevel="0" collapsed="false">
      <c r="A1654" s="0" t="n">
        <v>3</v>
      </c>
      <c r="B1654" s="59" t="n">
        <v>46225</v>
      </c>
      <c r="C1654" s="0" t="n">
        <v>11</v>
      </c>
      <c r="D1654" s="0" t="s">
        <v>2126</v>
      </c>
      <c r="E1654" s="0" t="n">
        <v>1613</v>
      </c>
      <c r="F1654" s="0" t="s">
        <v>178</v>
      </c>
      <c r="I1654" s="0" t="n">
        <v>1609946</v>
      </c>
      <c r="J1654" s="0" t="n">
        <v>23695</v>
      </c>
      <c r="K1654" s="0" t="n">
        <v>7891515474126</v>
      </c>
      <c r="L1654" s="0" t="s">
        <v>2789</v>
      </c>
      <c r="N1654" s="0" t="n">
        <v>90</v>
      </c>
      <c r="O1654" s="60" t="n">
        <v>158.33</v>
      </c>
    </row>
    <row r="1655" customFormat="false" ht="15" hidden="false" customHeight="false" outlineLevel="0" collapsed="false">
      <c r="A1655" s="0" t="n">
        <v>3</v>
      </c>
      <c r="B1655" s="59" t="n">
        <v>46225</v>
      </c>
      <c r="C1655" s="0" t="n">
        <v>11</v>
      </c>
      <c r="D1655" s="0" t="s">
        <v>2126</v>
      </c>
      <c r="E1655" s="0" t="n">
        <v>1613</v>
      </c>
      <c r="F1655" s="0" t="s">
        <v>178</v>
      </c>
      <c r="I1655" s="0" t="n">
        <v>1609946</v>
      </c>
      <c r="J1655" s="0" t="n">
        <v>110181</v>
      </c>
      <c r="K1655" s="0" t="n">
        <v>37389</v>
      </c>
      <c r="L1655" s="0" t="s">
        <v>2978</v>
      </c>
      <c r="N1655" s="0" t="n">
        <v>60</v>
      </c>
      <c r="O1655" s="60" t="n">
        <v>714.6</v>
      </c>
    </row>
    <row r="1656" customFormat="false" ht="15" hidden="false" customHeight="false" outlineLevel="0" collapsed="false">
      <c r="A1656" s="0" t="n">
        <v>3</v>
      </c>
      <c r="B1656" s="59" t="n">
        <v>46225</v>
      </c>
      <c r="C1656" s="0" t="n">
        <v>22</v>
      </c>
      <c r="D1656" s="0" t="s">
        <v>2172</v>
      </c>
      <c r="E1656" s="0" t="n">
        <v>42</v>
      </c>
      <c r="F1656" s="0" t="s">
        <v>81</v>
      </c>
      <c r="I1656" s="0" t="n">
        <v>4412</v>
      </c>
      <c r="J1656" s="0" t="n">
        <v>100006</v>
      </c>
      <c r="K1656" s="0" t="n">
        <v>7</v>
      </c>
      <c r="L1656" s="0" t="s">
        <v>2228</v>
      </c>
      <c r="N1656" s="0" t="n">
        <v>1.952</v>
      </c>
      <c r="O1656" s="60" t="n">
        <v>64.98</v>
      </c>
    </row>
    <row r="1657" customFormat="false" ht="15" hidden="false" customHeight="false" outlineLevel="0" collapsed="false">
      <c r="A1657" s="0" t="n">
        <v>3</v>
      </c>
      <c r="B1657" s="59" t="n">
        <v>46225</v>
      </c>
      <c r="C1657" s="0" t="n">
        <v>22</v>
      </c>
      <c r="D1657" s="0" t="s">
        <v>2172</v>
      </c>
      <c r="E1657" s="0" t="n">
        <v>42</v>
      </c>
      <c r="F1657" s="0" t="s">
        <v>81</v>
      </c>
      <c r="I1657" s="0" t="n">
        <v>4412</v>
      </c>
      <c r="J1657" s="0" t="n">
        <v>100008</v>
      </c>
      <c r="K1657" s="0" t="n">
        <v>9</v>
      </c>
      <c r="L1657" s="0" t="s">
        <v>2229</v>
      </c>
      <c r="N1657" s="0" t="n">
        <v>13.45</v>
      </c>
      <c r="O1657" s="60" t="n">
        <v>458.92</v>
      </c>
    </row>
    <row r="1658" customFormat="false" ht="15" hidden="false" customHeight="false" outlineLevel="0" collapsed="false">
      <c r="A1658" s="0" t="n">
        <v>3</v>
      </c>
      <c r="B1658" s="59" t="n">
        <v>46225</v>
      </c>
      <c r="C1658" s="0" t="n">
        <v>22</v>
      </c>
      <c r="D1658" s="0" t="s">
        <v>2172</v>
      </c>
      <c r="E1658" s="0" t="n">
        <v>42</v>
      </c>
      <c r="F1658" s="0" t="s">
        <v>81</v>
      </c>
      <c r="I1658" s="0" t="n">
        <v>4412</v>
      </c>
      <c r="J1658" s="0" t="n">
        <v>100010</v>
      </c>
      <c r="K1658" s="0" t="n">
        <v>11</v>
      </c>
      <c r="L1658" s="0" t="s">
        <v>2230</v>
      </c>
      <c r="N1658" s="0" t="n">
        <v>2.268</v>
      </c>
      <c r="O1658" s="60" t="n">
        <v>88.71</v>
      </c>
    </row>
    <row r="1659" customFormat="false" ht="15" hidden="false" customHeight="false" outlineLevel="0" collapsed="false">
      <c r="A1659" s="0" t="n">
        <v>3</v>
      </c>
      <c r="B1659" s="59" t="n">
        <v>46225</v>
      </c>
      <c r="C1659" s="0" t="n">
        <v>22</v>
      </c>
      <c r="D1659" s="0" t="s">
        <v>2172</v>
      </c>
      <c r="E1659" s="0" t="n">
        <v>42</v>
      </c>
      <c r="F1659" s="0" t="s">
        <v>81</v>
      </c>
      <c r="I1659" s="0" t="n">
        <v>4412</v>
      </c>
      <c r="J1659" s="0" t="n">
        <v>100011</v>
      </c>
      <c r="K1659" s="0" t="n">
        <v>12</v>
      </c>
      <c r="L1659" s="0" t="s">
        <v>2231</v>
      </c>
      <c r="N1659" s="0" t="n">
        <v>5.916</v>
      </c>
      <c r="O1659" s="60" t="n">
        <v>231.4</v>
      </c>
    </row>
    <row r="1660" customFormat="false" ht="15" hidden="false" customHeight="false" outlineLevel="0" collapsed="false">
      <c r="A1660" s="0" t="n">
        <v>3</v>
      </c>
      <c r="B1660" s="59" t="n">
        <v>46225</v>
      </c>
      <c r="C1660" s="0" t="n">
        <v>22</v>
      </c>
      <c r="D1660" s="0" t="s">
        <v>2172</v>
      </c>
      <c r="E1660" s="0" t="n">
        <v>42</v>
      </c>
      <c r="F1660" s="0" t="s">
        <v>81</v>
      </c>
      <c r="I1660" s="0" t="n">
        <v>4412</v>
      </c>
      <c r="J1660" s="0" t="n">
        <v>100012</v>
      </c>
      <c r="K1660" s="0" t="n">
        <v>13</v>
      </c>
      <c r="L1660" s="0" t="s">
        <v>2232</v>
      </c>
      <c r="N1660" s="0" t="n">
        <v>4.608</v>
      </c>
      <c r="O1660" s="60" t="n">
        <v>195.58</v>
      </c>
    </row>
    <row r="1661" customFormat="false" ht="15" hidden="false" customHeight="false" outlineLevel="0" collapsed="false">
      <c r="A1661" s="0" t="n">
        <v>3</v>
      </c>
      <c r="B1661" s="59" t="n">
        <v>46225</v>
      </c>
      <c r="C1661" s="0" t="n">
        <v>22</v>
      </c>
      <c r="D1661" s="0" t="s">
        <v>2172</v>
      </c>
      <c r="E1661" s="0" t="n">
        <v>42</v>
      </c>
      <c r="F1661" s="0" t="s">
        <v>81</v>
      </c>
      <c r="I1661" s="0" t="n">
        <v>4412</v>
      </c>
      <c r="J1661" s="0" t="n">
        <v>100013</v>
      </c>
      <c r="K1661" s="0" t="n">
        <v>14</v>
      </c>
      <c r="L1661" s="0" t="s">
        <v>2233</v>
      </c>
      <c r="N1661" s="0" t="n">
        <v>9.775</v>
      </c>
      <c r="O1661" s="60" t="n">
        <v>447.44</v>
      </c>
    </row>
    <row r="1662" customFormat="false" ht="15" hidden="false" customHeight="false" outlineLevel="0" collapsed="false">
      <c r="A1662" s="0" t="n">
        <v>3</v>
      </c>
      <c r="B1662" s="59" t="n">
        <v>46225</v>
      </c>
      <c r="C1662" s="0" t="n">
        <v>22</v>
      </c>
      <c r="D1662" s="0" t="s">
        <v>2172</v>
      </c>
      <c r="E1662" s="0" t="n">
        <v>42</v>
      </c>
      <c r="F1662" s="0" t="s">
        <v>81</v>
      </c>
      <c r="I1662" s="0" t="n">
        <v>4412</v>
      </c>
      <c r="J1662" s="0" t="n">
        <v>100014</v>
      </c>
      <c r="K1662" s="0" t="n">
        <v>15</v>
      </c>
      <c r="L1662" s="0" t="s">
        <v>2234</v>
      </c>
      <c r="N1662" s="0" t="n">
        <v>3.548</v>
      </c>
      <c r="O1662" s="60" t="n">
        <v>165.36</v>
      </c>
    </row>
    <row r="1663" customFormat="false" ht="15" hidden="false" customHeight="false" outlineLevel="0" collapsed="false">
      <c r="A1663" s="0" t="n">
        <v>3</v>
      </c>
      <c r="B1663" s="59" t="n">
        <v>46225</v>
      </c>
      <c r="C1663" s="0" t="n">
        <v>22</v>
      </c>
      <c r="D1663" s="0" t="s">
        <v>2172</v>
      </c>
      <c r="E1663" s="0" t="n">
        <v>42</v>
      </c>
      <c r="F1663" s="0" t="s">
        <v>81</v>
      </c>
      <c r="I1663" s="0" t="n">
        <v>4412</v>
      </c>
      <c r="J1663" s="0" t="n">
        <v>100015</v>
      </c>
      <c r="K1663" s="0" t="n">
        <v>16</v>
      </c>
      <c r="L1663" s="0" t="s">
        <v>2235</v>
      </c>
      <c r="N1663" s="0" t="n">
        <v>1.324</v>
      </c>
      <c r="O1663" s="60" t="n">
        <v>56.2</v>
      </c>
    </row>
    <row r="1664" customFormat="false" ht="15" hidden="false" customHeight="false" outlineLevel="0" collapsed="false">
      <c r="A1664" s="0" t="n">
        <v>3</v>
      </c>
      <c r="B1664" s="59" t="n">
        <v>46225</v>
      </c>
      <c r="C1664" s="0" t="n">
        <v>22</v>
      </c>
      <c r="D1664" s="0" t="s">
        <v>2172</v>
      </c>
      <c r="E1664" s="0" t="n">
        <v>42</v>
      </c>
      <c r="F1664" s="0" t="s">
        <v>81</v>
      </c>
      <c r="I1664" s="0" t="n">
        <v>4412</v>
      </c>
      <c r="J1664" s="0" t="n">
        <v>100016</v>
      </c>
      <c r="K1664" s="0" t="n">
        <v>17</v>
      </c>
      <c r="L1664" s="0" t="s">
        <v>2236</v>
      </c>
      <c r="N1664" s="0" t="n">
        <v>1.91</v>
      </c>
      <c r="O1664" s="60" t="n">
        <v>87.43</v>
      </c>
    </row>
    <row r="1665" customFormat="false" ht="15" hidden="false" customHeight="false" outlineLevel="0" collapsed="false">
      <c r="A1665" s="0" t="n">
        <v>3</v>
      </c>
      <c r="B1665" s="59" t="n">
        <v>46225</v>
      </c>
      <c r="C1665" s="0" t="n">
        <v>22</v>
      </c>
      <c r="D1665" s="0" t="s">
        <v>2172</v>
      </c>
      <c r="E1665" s="0" t="n">
        <v>42</v>
      </c>
      <c r="F1665" s="0" t="s">
        <v>81</v>
      </c>
      <c r="I1665" s="0" t="n">
        <v>4412</v>
      </c>
      <c r="J1665" s="0" t="n">
        <v>100017</v>
      </c>
      <c r="K1665" s="0" t="n">
        <v>18</v>
      </c>
      <c r="L1665" s="0" t="s">
        <v>2237</v>
      </c>
      <c r="N1665" s="0" t="n">
        <v>1.426</v>
      </c>
      <c r="O1665" s="60" t="n">
        <v>77.14</v>
      </c>
    </row>
    <row r="1666" customFormat="false" ht="15" hidden="false" customHeight="false" outlineLevel="0" collapsed="false">
      <c r="A1666" s="0" t="n">
        <v>3</v>
      </c>
      <c r="B1666" s="59" t="n">
        <v>46225</v>
      </c>
      <c r="C1666" s="0" t="n">
        <v>22</v>
      </c>
      <c r="D1666" s="0" t="s">
        <v>2172</v>
      </c>
      <c r="E1666" s="0" t="n">
        <v>42</v>
      </c>
      <c r="F1666" s="0" t="s">
        <v>81</v>
      </c>
      <c r="I1666" s="0" t="n">
        <v>4412</v>
      </c>
      <c r="J1666" s="0" t="n">
        <v>100019</v>
      </c>
      <c r="K1666" s="0" t="n">
        <v>20</v>
      </c>
      <c r="L1666" s="0" t="s">
        <v>2795</v>
      </c>
      <c r="N1666" s="0" t="n">
        <v>4.148</v>
      </c>
      <c r="O1666" s="60" t="n">
        <v>148.44</v>
      </c>
    </row>
    <row r="1667" customFormat="false" ht="15" hidden="false" customHeight="false" outlineLevel="0" collapsed="false">
      <c r="A1667" s="0" t="n">
        <v>3</v>
      </c>
      <c r="B1667" s="59" t="n">
        <v>46225</v>
      </c>
      <c r="C1667" s="0" t="n">
        <v>22</v>
      </c>
      <c r="D1667" s="0" t="s">
        <v>2172</v>
      </c>
      <c r="E1667" s="0" t="n">
        <v>42</v>
      </c>
      <c r="F1667" s="0" t="s">
        <v>81</v>
      </c>
      <c r="I1667" s="0" t="n">
        <v>4412</v>
      </c>
      <c r="J1667" s="0" t="n">
        <v>100053</v>
      </c>
      <c r="K1667" s="0" t="n">
        <v>54</v>
      </c>
      <c r="L1667" s="0" t="s">
        <v>2238</v>
      </c>
      <c r="N1667" s="0" t="n">
        <v>0.952</v>
      </c>
      <c r="O1667" s="60" t="n">
        <v>35.65</v>
      </c>
    </row>
    <row r="1668" customFormat="false" ht="15" hidden="false" customHeight="false" outlineLevel="0" collapsed="false">
      <c r="A1668" s="0" t="n">
        <v>3</v>
      </c>
      <c r="B1668" s="59" t="n">
        <v>46225</v>
      </c>
      <c r="C1668" s="0" t="n">
        <v>22</v>
      </c>
      <c r="D1668" s="0" t="s">
        <v>2172</v>
      </c>
      <c r="E1668" s="0" t="n">
        <v>42</v>
      </c>
      <c r="F1668" s="0" t="s">
        <v>81</v>
      </c>
      <c r="I1668" s="0" t="n">
        <v>4412</v>
      </c>
      <c r="J1668" s="0" t="n">
        <v>100638</v>
      </c>
      <c r="K1668" s="0" t="n">
        <v>508</v>
      </c>
      <c r="L1668" s="0" t="s">
        <v>2178</v>
      </c>
      <c r="N1668" s="0" t="n">
        <v>2.708</v>
      </c>
      <c r="O1668" s="60" t="n">
        <v>4.49</v>
      </c>
    </row>
    <row r="1669" customFormat="false" ht="15" hidden="false" customHeight="false" outlineLevel="0" collapsed="false">
      <c r="A1669" s="0" t="n">
        <v>3</v>
      </c>
      <c r="B1669" s="59" t="n">
        <v>46225</v>
      </c>
      <c r="C1669" s="0" t="n">
        <v>22</v>
      </c>
      <c r="D1669" s="0" t="s">
        <v>2172</v>
      </c>
      <c r="E1669" s="0" t="n">
        <v>42</v>
      </c>
      <c r="F1669" s="0" t="s">
        <v>81</v>
      </c>
      <c r="I1669" s="0" t="n">
        <v>4412</v>
      </c>
      <c r="J1669" s="0" t="n">
        <v>100520</v>
      </c>
      <c r="K1669" s="0" t="n">
        <v>507</v>
      </c>
      <c r="L1669" s="0" t="s">
        <v>2179</v>
      </c>
      <c r="N1669" s="0" t="n">
        <v>9.945</v>
      </c>
      <c r="O1669" s="60" t="n">
        <v>24.75</v>
      </c>
    </row>
    <row r="1670" customFormat="false" ht="15" hidden="false" customHeight="false" outlineLevel="0" collapsed="false">
      <c r="A1670" s="0" t="n">
        <v>3</v>
      </c>
      <c r="B1670" s="59" t="n">
        <v>46225</v>
      </c>
      <c r="C1670" s="0" t="n">
        <v>22</v>
      </c>
      <c r="D1670" s="0" t="s">
        <v>2172</v>
      </c>
      <c r="E1670" s="0" t="n">
        <v>42</v>
      </c>
      <c r="F1670" s="0" t="s">
        <v>81</v>
      </c>
      <c r="I1670" s="0" t="n">
        <v>4412</v>
      </c>
      <c r="J1670" s="0" t="n">
        <v>110455</v>
      </c>
      <c r="K1670" s="0" t="n">
        <v>53212</v>
      </c>
      <c r="L1670" s="0" t="s">
        <v>2180</v>
      </c>
      <c r="N1670" s="0" t="n">
        <v>0.27</v>
      </c>
      <c r="O1670" s="60" t="n">
        <v>0.01</v>
      </c>
    </row>
    <row r="1671" customFormat="false" ht="15" hidden="false" customHeight="false" outlineLevel="0" collapsed="false">
      <c r="A1671" s="0" t="n">
        <v>3</v>
      </c>
      <c r="B1671" s="59" t="n">
        <v>46225</v>
      </c>
      <c r="C1671" s="0" t="n">
        <v>100</v>
      </c>
      <c r="D1671" s="0" t="s">
        <v>2181</v>
      </c>
      <c r="E1671" s="0" t="n">
        <v>42</v>
      </c>
      <c r="F1671" s="0" t="s">
        <v>81</v>
      </c>
      <c r="I1671" s="0" t="n">
        <v>1434695</v>
      </c>
      <c r="J1671" s="0" t="n">
        <v>100006</v>
      </c>
      <c r="K1671" s="0" t="n">
        <v>7</v>
      </c>
      <c r="L1671" s="0" t="s">
        <v>2228</v>
      </c>
      <c r="N1671" s="0" t="n">
        <v>1.952</v>
      </c>
      <c r="O1671" s="60" t="n">
        <v>64.98</v>
      </c>
    </row>
    <row r="1672" customFormat="false" ht="15" hidden="false" customHeight="false" outlineLevel="0" collapsed="false">
      <c r="A1672" s="0" t="n">
        <v>3</v>
      </c>
      <c r="B1672" s="59" t="n">
        <v>46225</v>
      </c>
      <c r="C1672" s="0" t="n">
        <v>100</v>
      </c>
      <c r="D1672" s="0" t="s">
        <v>2181</v>
      </c>
      <c r="E1672" s="0" t="n">
        <v>42</v>
      </c>
      <c r="F1672" s="0" t="s">
        <v>81</v>
      </c>
      <c r="I1672" s="0" t="n">
        <v>1434695</v>
      </c>
      <c r="J1672" s="0" t="n">
        <v>100008</v>
      </c>
      <c r="K1672" s="0" t="n">
        <v>9</v>
      </c>
      <c r="L1672" s="0" t="s">
        <v>2229</v>
      </c>
      <c r="N1672" s="0" t="n">
        <v>13.45</v>
      </c>
      <c r="O1672" s="60" t="n">
        <v>458.92</v>
      </c>
    </row>
    <row r="1673" customFormat="false" ht="15" hidden="false" customHeight="false" outlineLevel="0" collapsed="false">
      <c r="A1673" s="0" t="n">
        <v>3</v>
      </c>
      <c r="B1673" s="59" t="n">
        <v>46225</v>
      </c>
      <c r="C1673" s="0" t="n">
        <v>100</v>
      </c>
      <c r="D1673" s="0" t="s">
        <v>2181</v>
      </c>
      <c r="E1673" s="0" t="n">
        <v>42</v>
      </c>
      <c r="F1673" s="0" t="s">
        <v>81</v>
      </c>
      <c r="I1673" s="0" t="n">
        <v>1434695</v>
      </c>
      <c r="J1673" s="0" t="n">
        <v>100010</v>
      </c>
      <c r="K1673" s="0" t="n">
        <v>11</v>
      </c>
      <c r="L1673" s="0" t="s">
        <v>2230</v>
      </c>
      <c r="N1673" s="0" t="n">
        <v>2.268</v>
      </c>
      <c r="O1673" s="60" t="n">
        <v>88.71</v>
      </c>
    </row>
    <row r="1674" customFormat="false" ht="15" hidden="false" customHeight="false" outlineLevel="0" collapsed="false">
      <c r="A1674" s="0" t="n">
        <v>3</v>
      </c>
      <c r="B1674" s="59" t="n">
        <v>46225</v>
      </c>
      <c r="C1674" s="0" t="n">
        <v>100</v>
      </c>
      <c r="D1674" s="0" t="s">
        <v>2181</v>
      </c>
      <c r="E1674" s="0" t="n">
        <v>42</v>
      </c>
      <c r="F1674" s="0" t="s">
        <v>81</v>
      </c>
      <c r="I1674" s="0" t="n">
        <v>1434695</v>
      </c>
      <c r="J1674" s="0" t="n">
        <v>100011</v>
      </c>
      <c r="K1674" s="0" t="n">
        <v>12</v>
      </c>
      <c r="L1674" s="0" t="s">
        <v>2231</v>
      </c>
      <c r="N1674" s="0" t="n">
        <v>5.916</v>
      </c>
      <c r="O1674" s="60" t="n">
        <v>231.4</v>
      </c>
    </row>
    <row r="1675" customFormat="false" ht="15" hidden="false" customHeight="false" outlineLevel="0" collapsed="false">
      <c r="A1675" s="0" t="n">
        <v>3</v>
      </c>
      <c r="B1675" s="59" t="n">
        <v>46225</v>
      </c>
      <c r="C1675" s="0" t="n">
        <v>100</v>
      </c>
      <c r="D1675" s="0" t="s">
        <v>2181</v>
      </c>
      <c r="E1675" s="0" t="n">
        <v>42</v>
      </c>
      <c r="F1675" s="0" t="s">
        <v>81</v>
      </c>
      <c r="I1675" s="0" t="n">
        <v>1434695</v>
      </c>
      <c r="J1675" s="0" t="n">
        <v>100012</v>
      </c>
      <c r="K1675" s="0" t="n">
        <v>13</v>
      </c>
      <c r="L1675" s="0" t="s">
        <v>2232</v>
      </c>
      <c r="N1675" s="0" t="n">
        <v>4.608</v>
      </c>
      <c r="O1675" s="60" t="n">
        <v>195.58</v>
      </c>
    </row>
    <row r="1676" customFormat="false" ht="15" hidden="false" customHeight="false" outlineLevel="0" collapsed="false">
      <c r="A1676" s="0" t="n">
        <v>3</v>
      </c>
      <c r="B1676" s="59" t="n">
        <v>46225</v>
      </c>
      <c r="C1676" s="0" t="n">
        <v>100</v>
      </c>
      <c r="D1676" s="0" t="s">
        <v>2181</v>
      </c>
      <c r="E1676" s="0" t="n">
        <v>42</v>
      </c>
      <c r="F1676" s="0" t="s">
        <v>81</v>
      </c>
      <c r="I1676" s="0" t="n">
        <v>1434695</v>
      </c>
      <c r="J1676" s="0" t="n">
        <v>100013</v>
      </c>
      <c r="K1676" s="0" t="n">
        <v>14</v>
      </c>
      <c r="L1676" s="0" t="s">
        <v>2233</v>
      </c>
      <c r="N1676" s="0" t="n">
        <v>9.775</v>
      </c>
      <c r="O1676" s="60" t="n">
        <v>447.44</v>
      </c>
    </row>
    <row r="1677" customFormat="false" ht="15" hidden="false" customHeight="false" outlineLevel="0" collapsed="false">
      <c r="A1677" s="0" t="n">
        <v>3</v>
      </c>
      <c r="B1677" s="59" t="n">
        <v>46225</v>
      </c>
      <c r="C1677" s="0" t="n">
        <v>100</v>
      </c>
      <c r="D1677" s="0" t="s">
        <v>2181</v>
      </c>
      <c r="E1677" s="0" t="n">
        <v>42</v>
      </c>
      <c r="F1677" s="0" t="s">
        <v>81</v>
      </c>
      <c r="I1677" s="0" t="n">
        <v>1434695</v>
      </c>
      <c r="J1677" s="0" t="n">
        <v>100014</v>
      </c>
      <c r="K1677" s="0" t="n">
        <v>15</v>
      </c>
      <c r="L1677" s="0" t="s">
        <v>2234</v>
      </c>
      <c r="N1677" s="0" t="n">
        <v>3.548</v>
      </c>
      <c r="O1677" s="60" t="n">
        <v>165.36</v>
      </c>
    </row>
    <row r="1678" customFormat="false" ht="15" hidden="false" customHeight="false" outlineLevel="0" collapsed="false">
      <c r="A1678" s="0" t="n">
        <v>3</v>
      </c>
      <c r="B1678" s="59" t="n">
        <v>46225</v>
      </c>
      <c r="C1678" s="0" t="n">
        <v>100</v>
      </c>
      <c r="D1678" s="0" t="s">
        <v>2181</v>
      </c>
      <c r="E1678" s="0" t="n">
        <v>42</v>
      </c>
      <c r="F1678" s="0" t="s">
        <v>81</v>
      </c>
      <c r="I1678" s="0" t="n">
        <v>1434695</v>
      </c>
      <c r="J1678" s="0" t="n">
        <v>100015</v>
      </c>
      <c r="K1678" s="0" t="n">
        <v>16</v>
      </c>
      <c r="L1678" s="0" t="s">
        <v>2235</v>
      </c>
      <c r="N1678" s="0" t="n">
        <v>1.324</v>
      </c>
      <c r="O1678" s="60" t="n">
        <v>56.2</v>
      </c>
    </row>
    <row r="1679" customFormat="false" ht="15" hidden="false" customHeight="false" outlineLevel="0" collapsed="false">
      <c r="A1679" s="0" t="n">
        <v>3</v>
      </c>
      <c r="B1679" s="59" t="n">
        <v>46225</v>
      </c>
      <c r="C1679" s="0" t="n">
        <v>100</v>
      </c>
      <c r="D1679" s="0" t="s">
        <v>2181</v>
      </c>
      <c r="E1679" s="0" t="n">
        <v>42</v>
      </c>
      <c r="F1679" s="0" t="s">
        <v>81</v>
      </c>
      <c r="I1679" s="0" t="n">
        <v>1434695</v>
      </c>
      <c r="J1679" s="0" t="n">
        <v>100016</v>
      </c>
      <c r="K1679" s="0" t="n">
        <v>17</v>
      </c>
      <c r="L1679" s="0" t="s">
        <v>2236</v>
      </c>
      <c r="N1679" s="0" t="n">
        <v>1.91</v>
      </c>
      <c r="O1679" s="60" t="n">
        <v>87.43</v>
      </c>
    </row>
    <row r="1680" customFormat="false" ht="15" hidden="false" customHeight="false" outlineLevel="0" collapsed="false">
      <c r="A1680" s="0" t="n">
        <v>3</v>
      </c>
      <c r="B1680" s="59" t="n">
        <v>46225</v>
      </c>
      <c r="C1680" s="0" t="n">
        <v>100</v>
      </c>
      <c r="D1680" s="0" t="s">
        <v>2181</v>
      </c>
      <c r="E1680" s="0" t="n">
        <v>42</v>
      </c>
      <c r="F1680" s="0" t="s">
        <v>81</v>
      </c>
      <c r="I1680" s="0" t="n">
        <v>1434695</v>
      </c>
      <c r="J1680" s="0" t="n">
        <v>100017</v>
      </c>
      <c r="K1680" s="0" t="n">
        <v>18</v>
      </c>
      <c r="L1680" s="0" t="s">
        <v>2237</v>
      </c>
      <c r="N1680" s="0" t="n">
        <v>1.426</v>
      </c>
      <c r="O1680" s="60" t="n">
        <v>77.14</v>
      </c>
    </row>
    <row r="1681" customFormat="false" ht="15" hidden="false" customHeight="false" outlineLevel="0" collapsed="false">
      <c r="A1681" s="0" t="n">
        <v>3</v>
      </c>
      <c r="B1681" s="59" t="n">
        <v>46225</v>
      </c>
      <c r="C1681" s="0" t="n">
        <v>100</v>
      </c>
      <c r="D1681" s="0" t="s">
        <v>2181</v>
      </c>
      <c r="E1681" s="0" t="n">
        <v>42</v>
      </c>
      <c r="F1681" s="0" t="s">
        <v>81</v>
      </c>
      <c r="I1681" s="0" t="n">
        <v>1434695</v>
      </c>
      <c r="J1681" s="0" t="n">
        <v>100019</v>
      </c>
      <c r="K1681" s="0" t="n">
        <v>20</v>
      </c>
      <c r="L1681" s="0" t="s">
        <v>2795</v>
      </c>
      <c r="N1681" s="0" t="n">
        <v>4.148</v>
      </c>
      <c r="O1681" s="60" t="n">
        <v>148.44</v>
      </c>
    </row>
    <row r="1682" customFormat="false" ht="15" hidden="false" customHeight="false" outlineLevel="0" collapsed="false">
      <c r="A1682" s="0" t="n">
        <v>3</v>
      </c>
      <c r="B1682" s="59" t="n">
        <v>46225</v>
      </c>
      <c r="C1682" s="0" t="n">
        <v>100</v>
      </c>
      <c r="D1682" s="0" t="s">
        <v>2181</v>
      </c>
      <c r="E1682" s="0" t="n">
        <v>42</v>
      </c>
      <c r="F1682" s="0" t="s">
        <v>81</v>
      </c>
      <c r="I1682" s="0" t="n">
        <v>1434695</v>
      </c>
      <c r="J1682" s="0" t="n">
        <v>100053</v>
      </c>
      <c r="K1682" s="0" t="n">
        <v>54</v>
      </c>
      <c r="L1682" s="0" t="s">
        <v>2238</v>
      </c>
      <c r="N1682" s="0" t="n">
        <v>0.952</v>
      </c>
      <c r="O1682" s="60" t="n">
        <v>35.65</v>
      </c>
    </row>
    <row r="1683" customFormat="false" ht="15" hidden="false" customHeight="false" outlineLevel="0" collapsed="false">
      <c r="A1683" s="0" t="n">
        <v>3</v>
      </c>
      <c r="B1683" s="59" t="n">
        <v>46225</v>
      </c>
      <c r="C1683" s="0" t="n">
        <v>100</v>
      </c>
      <c r="D1683" s="0" t="s">
        <v>2181</v>
      </c>
      <c r="E1683" s="0" t="n">
        <v>42</v>
      </c>
      <c r="F1683" s="0" t="s">
        <v>81</v>
      </c>
      <c r="I1683" s="0" t="n">
        <v>1434695</v>
      </c>
      <c r="J1683" s="0" t="n">
        <v>100638</v>
      </c>
      <c r="K1683" s="0" t="n">
        <v>508</v>
      </c>
      <c r="L1683" s="0" t="s">
        <v>2178</v>
      </c>
      <c r="N1683" s="0" t="n">
        <v>2.708</v>
      </c>
      <c r="O1683" s="60" t="n">
        <v>4.49</v>
      </c>
    </row>
    <row r="1684" customFormat="false" ht="15" hidden="false" customHeight="false" outlineLevel="0" collapsed="false">
      <c r="A1684" s="0" t="n">
        <v>3</v>
      </c>
      <c r="B1684" s="59" t="n">
        <v>46225</v>
      </c>
      <c r="C1684" s="0" t="n">
        <v>100</v>
      </c>
      <c r="D1684" s="0" t="s">
        <v>2181</v>
      </c>
      <c r="E1684" s="0" t="n">
        <v>42</v>
      </c>
      <c r="F1684" s="0" t="s">
        <v>81</v>
      </c>
      <c r="I1684" s="0" t="n">
        <v>1434695</v>
      </c>
      <c r="J1684" s="0" t="n">
        <v>100520</v>
      </c>
      <c r="K1684" s="0" t="n">
        <v>507</v>
      </c>
      <c r="L1684" s="0" t="s">
        <v>2179</v>
      </c>
      <c r="N1684" s="0" t="n">
        <v>9.945</v>
      </c>
      <c r="O1684" s="60" t="n">
        <v>24.75</v>
      </c>
    </row>
    <row r="1685" customFormat="false" ht="15" hidden="false" customHeight="false" outlineLevel="0" collapsed="false">
      <c r="A1685" s="0" t="n">
        <v>3</v>
      </c>
      <c r="B1685" s="59" t="n">
        <v>46225</v>
      </c>
      <c r="C1685" s="0" t="n">
        <v>100</v>
      </c>
      <c r="D1685" s="0" t="s">
        <v>2181</v>
      </c>
      <c r="E1685" s="0" t="n">
        <v>42</v>
      </c>
      <c r="F1685" s="0" t="s">
        <v>81</v>
      </c>
      <c r="I1685" s="0" t="n">
        <v>1434695</v>
      </c>
      <c r="J1685" s="0" t="n">
        <v>110455</v>
      </c>
      <c r="K1685" s="0" t="n">
        <v>53212</v>
      </c>
      <c r="L1685" s="0" t="s">
        <v>2180</v>
      </c>
      <c r="N1685" s="0" t="n">
        <v>0.27</v>
      </c>
      <c r="O1685" s="60" t="n">
        <v>0.01</v>
      </c>
    </row>
    <row r="1686" customFormat="false" ht="15" hidden="false" customHeight="false" outlineLevel="0" collapsed="false">
      <c r="A1686" s="0" t="n">
        <v>3</v>
      </c>
      <c r="B1686" s="59" t="n">
        <v>46226</v>
      </c>
      <c r="C1686" s="0" t="n">
        <v>6</v>
      </c>
      <c r="D1686" s="0" t="s">
        <v>2125</v>
      </c>
      <c r="E1686" s="0" t="n">
        <v>42</v>
      </c>
      <c r="F1686" s="0" t="s">
        <v>81</v>
      </c>
      <c r="I1686" s="0" t="n">
        <v>4413</v>
      </c>
      <c r="J1686" s="0" t="n">
        <v>109791</v>
      </c>
      <c r="K1686" s="0" t="n">
        <v>9667</v>
      </c>
      <c r="L1686" s="0" t="s">
        <v>2123</v>
      </c>
      <c r="N1686" s="0" t="n">
        <v>20</v>
      </c>
      <c r="O1686" s="60" t="n">
        <v>40</v>
      </c>
    </row>
    <row r="1687" customFormat="false" ht="15" hidden="false" customHeight="false" outlineLevel="0" collapsed="false">
      <c r="A1687" s="0" t="n">
        <v>3</v>
      </c>
      <c r="B1687" s="59" t="n">
        <v>46226</v>
      </c>
      <c r="C1687" s="0" t="n">
        <v>6</v>
      </c>
      <c r="D1687" s="0" t="s">
        <v>2125</v>
      </c>
      <c r="E1687" s="0" t="n">
        <v>42</v>
      </c>
      <c r="F1687" s="0" t="s">
        <v>81</v>
      </c>
      <c r="I1687" s="0" t="n">
        <v>4413</v>
      </c>
      <c r="J1687" s="0" t="n">
        <v>37361</v>
      </c>
      <c r="K1687" s="0" t="n">
        <v>2240817</v>
      </c>
      <c r="L1687" s="0" t="s">
        <v>2124</v>
      </c>
      <c r="N1687" s="0" t="n">
        <v>8</v>
      </c>
      <c r="O1687" s="60" t="n">
        <v>20</v>
      </c>
    </row>
    <row r="1688" customFormat="false" ht="15" hidden="false" customHeight="false" outlineLevel="0" collapsed="false">
      <c r="A1688" s="0" t="n">
        <v>3</v>
      </c>
      <c r="B1688" s="59" t="n">
        <v>46226</v>
      </c>
      <c r="C1688" s="0" t="n">
        <v>6</v>
      </c>
      <c r="D1688" s="0" t="s">
        <v>2125</v>
      </c>
      <c r="E1688" s="0" t="n">
        <v>42</v>
      </c>
      <c r="F1688" s="0" t="s">
        <v>81</v>
      </c>
      <c r="I1688" s="0" t="n">
        <v>4414</v>
      </c>
      <c r="J1688" s="0" t="n">
        <v>27510</v>
      </c>
      <c r="K1688" s="0" t="n">
        <v>7898306020241</v>
      </c>
      <c r="L1688" s="0" t="s">
        <v>2979</v>
      </c>
      <c r="N1688" s="0" t="n">
        <v>100</v>
      </c>
      <c r="O1688" s="60" t="n">
        <v>960</v>
      </c>
    </row>
    <row r="1689" customFormat="false" ht="15" hidden="false" customHeight="false" outlineLevel="0" collapsed="false">
      <c r="A1689" s="0" t="n">
        <v>3</v>
      </c>
      <c r="B1689" s="59" t="n">
        <v>46226</v>
      </c>
      <c r="C1689" s="0" t="n">
        <v>6</v>
      </c>
      <c r="D1689" s="0" t="s">
        <v>2125</v>
      </c>
      <c r="E1689" s="0" t="n">
        <v>42</v>
      </c>
      <c r="F1689" s="0" t="s">
        <v>81</v>
      </c>
      <c r="I1689" s="0" t="n">
        <v>4414</v>
      </c>
      <c r="J1689" s="0" t="n">
        <v>52668</v>
      </c>
      <c r="K1689" s="0" t="n">
        <v>7898306020036</v>
      </c>
      <c r="L1689" s="0" t="s">
        <v>2980</v>
      </c>
      <c r="N1689" s="0" t="n">
        <v>50</v>
      </c>
      <c r="O1689" s="60" t="n">
        <v>240</v>
      </c>
    </row>
    <row r="1690" customFormat="false" ht="15" hidden="false" customHeight="false" outlineLevel="0" collapsed="false">
      <c r="A1690" s="0" t="n">
        <v>3</v>
      </c>
      <c r="B1690" s="59" t="n">
        <v>46226</v>
      </c>
      <c r="C1690" s="0" t="n">
        <v>6</v>
      </c>
      <c r="D1690" s="0" t="s">
        <v>2125</v>
      </c>
      <c r="E1690" s="0" t="n">
        <v>42</v>
      </c>
      <c r="F1690" s="0" t="s">
        <v>81</v>
      </c>
      <c r="I1690" s="0" t="n">
        <v>4415</v>
      </c>
      <c r="J1690" s="0" t="n">
        <v>100103</v>
      </c>
      <c r="K1690" s="0" t="n">
        <v>104</v>
      </c>
      <c r="L1690" s="0" t="s">
        <v>2193</v>
      </c>
      <c r="N1690" s="0" t="n">
        <v>20</v>
      </c>
      <c r="O1690" s="60" t="n">
        <v>125</v>
      </c>
    </row>
    <row r="1691" customFormat="false" ht="15" hidden="false" customHeight="false" outlineLevel="0" collapsed="false">
      <c r="A1691" s="0" t="n">
        <v>3</v>
      </c>
      <c r="B1691" s="59" t="n">
        <v>46226</v>
      </c>
      <c r="C1691" s="0" t="n">
        <v>11</v>
      </c>
      <c r="D1691" s="0" t="s">
        <v>2126</v>
      </c>
      <c r="E1691" s="0" t="n">
        <v>1734</v>
      </c>
      <c r="F1691" s="0" t="s">
        <v>126</v>
      </c>
      <c r="I1691" s="0" t="n">
        <v>256020</v>
      </c>
      <c r="J1691" s="0" t="n">
        <v>38222</v>
      </c>
      <c r="K1691" s="0" t="n">
        <v>7898055450863</v>
      </c>
      <c r="L1691" s="0" t="s">
        <v>2479</v>
      </c>
      <c r="N1691" s="0" t="n">
        <v>20</v>
      </c>
      <c r="O1691" s="60" t="n">
        <v>159.45</v>
      </c>
    </row>
    <row r="1692" customFormat="false" ht="15" hidden="false" customHeight="false" outlineLevel="0" collapsed="false">
      <c r="A1692" s="0" t="n">
        <v>3</v>
      </c>
      <c r="B1692" s="59" t="n">
        <v>46226</v>
      </c>
      <c r="C1692" s="0" t="n">
        <v>11</v>
      </c>
      <c r="D1692" s="0" t="s">
        <v>2126</v>
      </c>
      <c r="E1692" s="0" t="n">
        <v>1734</v>
      </c>
      <c r="F1692" s="0" t="s">
        <v>126</v>
      </c>
      <c r="I1692" s="0" t="n">
        <v>256020</v>
      </c>
      <c r="J1692" s="0" t="n">
        <v>38784</v>
      </c>
      <c r="K1692" s="0" t="n">
        <v>7898055450320</v>
      </c>
      <c r="L1692" s="0" t="s">
        <v>2981</v>
      </c>
      <c r="N1692" s="0" t="n">
        <v>20</v>
      </c>
      <c r="O1692" s="60" t="n">
        <v>56.65</v>
      </c>
    </row>
    <row r="1693" customFormat="false" ht="15" hidden="false" customHeight="false" outlineLevel="0" collapsed="false">
      <c r="A1693" s="0" t="n">
        <v>3</v>
      </c>
      <c r="B1693" s="59" t="n">
        <v>46226</v>
      </c>
      <c r="C1693" s="0" t="n">
        <v>11</v>
      </c>
      <c r="D1693" s="0" t="s">
        <v>2126</v>
      </c>
      <c r="E1693" s="0" t="n">
        <v>1734</v>
      </c>
      <c r="F1693" s="0" t="s">
        <v>126</v>
      </c>
      <c r="I1693" s="0" t="n">
        <v>256020</v>
      </c>
      <c r="J1693" s="0" t="n">
        <v>38785</v>
      </c>
      <c r="K1693" s="0" t="n">
        <v>7898055450344</v>
      </c>
      <c r="L1693" s="0" t="s">
        <v>2481</v>
      </c>
      <c r="N1693" s="0" t="n">
        <v>20</v>
      </c>
      <c r="O1693" s="60" t="n">
        <v>56.65</v>
      </c>
    </row>
    <row r="1694" customFormat="false" ht="15" hidden="false" customHeight="false" outlineLevel="0" collapsed="false">
      <c r="A1694" s="0" t="n">
        <v>3</v>
      </c>
      <c r="B1694" s="59" t="n">
        <v>46226</v>
      </c>
      <c r="C1694" s="0" t="n">
        <v>11</v>
      </c>
      <c r="D1694" s="0" t="s">
        <v>2126</v>
      </c>
      <c r="E1694" s="0" t="n">
        <v>1734</v>
      </c>
      <c r="F1694" s="0" t="s">
        <v>126</v>
      </c>
      <c r="I1694" s="0" t="n">
        <v>256020</v>
      </c>
      <c r="J1694" s="0" t="n">
        <v>38787</v>
      </c>
      <c r="K1694" s="0" t="n">
        <v>7898055450849</v>
      </c>
      <c r="L1694" s="0" t="s">
        <v>2982</v>
      </c>
      <c r="N1694" s="0" t="n">
        <v>20</v>
      </c>
      <c r="O1694" s="60" t="n">
        <v>159.45</v>
      </c>
    </row>
    <row r="1695" customFormat="false" ht="15" hidden="false" customHeight="false" outlineLevel="0" collapsed="false">
      <c r="A1695" s="0" t="n">
        <v>3</v>
      </c>
      <c r="B1695" s="59" t="n">
        <v>46226</v>
      </c>
      <c r="C1695" s="0" t="n">
        <v>11</v>
      </c>
      <c r="D1695" s="0" t="s">
        <v>2126</v>
      </c>
      <c r="E1695" s="0" t="n">
        <v>1734</v>
      </c>
      <c r="F1695" s="0" t="s">
        <v>126</v>
      </c>
      <c r="I1695" s="0" t="n">
        <v>256020</v>
      </c>
      <c r="J1695" s="0" t="n">
        <v>39028</v>
      </c>
      <c r="K1695" s="0" t="n">
        <v>7898055450368</v>
      </c>
      <c r="L1695" s="0" t="s">
        <v>2482</v>
      </c>
      <c r="N1695" s="0" t="n">
        <v>20</v>
      </c>
      <c r="O1695" s="60" t="n">
        <v>111.19</v>
      </c>
    </row>
    <row r="1696" customFormat="false" ht="15" hidden="false" customHeight="false" outlineLevel="0" collapsed="false">
      <c r="A1696" s="0" t="n">
        <v>3</v>
      </c>
      <c r="B1696" s="59" t="n">
        <v>46226</v>
      </c>
      <c r="C1696" s="0" t="n">
        <v>11</v>
      </c>
      <c r="D1696" s="0" t="s">
        <v>2126</v>
      </c>
      <c r="E1696" s="0" t="n">
        <v>1734</v>
      </c>
      <c r="F1696" s="0" t="s">
        <v>126</v>
      </c>
      <c r="I1696" s="0" t="n">
        <v>256020</v>
      </c>
      <c r="J1696" s="0" t="n">
        <v>44940</v>
      </c>
      <c r="K1696" s="0" t="n">
        <v>7898055450382</v>
      </c>
      <c r="L1696" s="0" t="s">
        <v>2983</v>
      </c>
      <c r="N1696" s="0" t="n">
        <v>20</v>
      </c>
      <c r="O1696" s="60" t="n">
        <v>56.65</v>
      </c>
    </row>
    <row r="1697" customFormat="false" ht="15" hidden="false" customHeight="false" outlineLevel="0" collapsed="false">
      <c r="A1697" s="0" t="n">
        <v>3</v>
      </c>
      <c r="B1697" s="59" t="n">
        <v>46226</v>
      </c>
      <c r="C1697" s="0" t="n">
        <v>11</v>
      </c>
      <c r="D1697" s="0" t="s">
        <v>2126</v>
      </c>
      <c r="E1697" s="0" t="n">
        <v>1734</v>
      </c>
      <c r="F1697" s="0" t="s">
        <v>126</v>
      </c>
      <c r="I1697" s="0" t="n">
        <v>256020</v>
      </c>
      <c r="J1697" s="0" t="n">
        <v>45875</v>
      </c>
      <c r="K1697" s="0" t="n">
        <v>7898055450214</v>
      </c>
      <c r="L1697" s="0" t="s">
        <v>2483</v>
      </c>
      <c r="N1697" s="0" t="n">
        <v>20</v>
      </c>
      <c r="O1697" s="60" t="n">
        <v>56.65</v>
      </c>
    </row>
    <row r="1698" customFormat="false" ht="15" hidden="false" customHeight="false" outlineLevel="0" collapsed="false">
      <c r="A1698" s="0" t="n">
        <v>3</v>
      </c>
      <c r="B1698" s="59" t="n">
        <v>46226</v>
      </c>
      <c r="C1698" s="0" t="n">
        <v>11</v>
      </c>
      <c r="D1698" s="0" t="s">
        <v>2126</v>
      </c>
      <c r="E1698" s="0" t="n">
        <v>1734</v>
      </c>
      <c r="F1698" s="0" t="s">
        <v>126</v>
      </c>
      <c r="I1698" s="0" t="n">
        <v>256020</v>
      </c>
      <c r="J1698" s="0" t="n">
        <v>81026</v>
      </c>
      <c r="K1698" s="0" t="n">
        <v>7898055455745</v>
      </c>
      <c r="L1698" s="0" t="s">
        <v>2142</v>
      </c>
      <c r="N1698" s="0" t="n">
        <v>8</v>
      </c>
      <c r="O1698" s="60" t="n">
        <v>54.55</v>
      </c>
    </row>
    <row r="1699" customFormat="false" ht="15" hidden="false" customHeight="false" outlineLevel="0" collapsed="false">
      <c r="A1699" s="0" t="n">
        <v>3</v>
      </c>
      <c r="B1699" s="59" t="n">
        <v>46226</v>
      </c>
      <c r="C1699" s="0" t="n">
        <v>11</v>
      </c>
      <c r="D1699" s="0" t="s">
        <v>2126</v>
      </c>
      <c r="E1699" s="0" t="n">
        <v>1699</v>
      </c>
      <c r="F1699" s="0" t="s">
        <v>61</v>
      </c>
      <c r="I1699" s="0" t="n">
        <v>308737</v>
      </c>
      <c r="J1699" s="0" t="n">
        <v>101262</v>
      </c>
      <c r="K1699" s="0" t="n">
        <v>7896179500013</v>
      </c>
      <c r="L1699" s="0" t="s">
        <v>2785</v>
      </c>
      <c r="N1699" s="0" t="n">
        <v>48</v>
      </c>
      <c r="O1699" s="60" t="n">
        <v>135.6</v>
      </c>
    </row>
    <row r="1700" customFormat="false" ht="15" hidden="false" customHeight="false" outlineLevel="0" collapsed="false">
      <c r="A1700" s="0" t="n">
        <v>3</v>
      </c>
      <c r="B1700" s="59" t="n">
        <v>46226</v>
      </c>
      <c r="C1700" s="0" t="n">
        <v>11</v>
      </c>
      <c r="D1700" s="0" t="s">
        <v>2126</v>
      </c>
      <c r="E1700" s="0" t="n">
        <v>1699</v>
      </c>
      <c r="F1700" s="0" t="s">
        <v>61</v>
      </c>
      <c r="I1700" s="0" t="n">
        <v>308737</v>
      </c>
      <c r="J1700" s="0" t="n">
        <v>101759</v>
      </c>
      <c r="K1700" s="0" t="n">
        <v>7896179500037</v>
      </c>
      <c r="L1700" s="0" t="s">
        <v>2825</v>
      </c>
      <c r="N1700" s="0" t="n">
        <v>12</v>
      </c>
      <c r="O1700" s="60" t="n">
        <v>38.7</v>
      </c>
    </row>
    <row r="1701" customFormat="false" ht="15" hidden="false" customHeight="false" outlineLevel="0" collapsed="false">
      <c r="A1701" s="0" t="n">
        <v>3</v>
      </c>
      <c r="B1701" s="59" t="n">
        <v>46226</v>
      </c>
      <c r="C1701" s="0" t="n">
        <v>11</v>
      </c>
      <c r="D1701" s="0" t="s">
        <v>2126</v>
      </c>
      <c r="E1701" s="0" t="n">
        <v>1699</v>
      </c>
      <c r="F1701" s="0" t="s">
        <v>61</v>
      </c>
      <c r="I1701" s="0" t="n">
        <v>308737</v>
      </c>
      <c r="J1701" s="0" t="n">
        <v>102219</v>
      </c>
      <c r="K1701" s="0" t="n">
        <v>7898617582247</v>
      </c>
      <c r="L1701" s="0" t="s">
        <v>2984</v>
      </c>
      <c r="N1701" s="0" t="n">
        <v>24</v>
      </c>
      <c r="O1701" s="60" t="n">
        <v>92.5</v>
      </c>
    </row>
    <row r="1702" customFormat="false" ht="15" hidden="false" customHeight="false" outlineLevel="0" collapsed="false">
      <c r="A1702" s="0" t="n">
        <v>3</v>
      </c>
      <c r="B1702" s="59" t="n">
        <v>46226</v>
      </c>
      <c r="C1702" s="0" t="n">
        <v>11</v>
      </c>
      <c r="D1702" s="0" t="s">
        <v>2126</v>
      </c>
      <c r="E1702" s="0" t="n">
        <v>1699</v>
      </c>
      <c r="F1702" s="0" t="s">
        <v>61</v>
      </c>
      <c r="I1702" s="0" t="n">
        <v>308737</v>
      </c>
      <c r="J1702" s="0" t="n">
        <v>102457</v>
      </c>
      <c r="K1702" s="0" t="n">
        <v>7896031253347</v>
      </c>
      <c r="L1702" s="0" t="s">
        <v>2985</v>
      </c>
      <c r="N1702" s="0" t="n">
        <v>24</v>
      </c>
      <c r="O1702" s="60" t="n">
        <v>211.9</v>
      </c>
    </row>
    <row r="1703" customFormat="false" ht="15" hidden="false" customHeight="false" outlineLevel="0" collapsed="false">
      <c r="A1703" s="0" t="n">
        <v>3</v>
      </c>
      <c r="B1703" s="59" t="n">
        <v>46226</v>
      </c>
      <c r="C1703" s="0" t="n">
        <v>11</v>
      </c>
      <c r="D1703" s="0" t="s">
        <v>2126</v>
      </c>
      <c r="E1703" s="0" t="n">
        <v>1699</v>
      </c>
      <c r="F1703" s="0" t="s">
        <v>61</v>
      </c>
      <c r="I1703" s="0" t="n">
        <v>308737</v>
      </c>
      <c r="J1703" s="0" t="n">
        <v>104678</v>
      </c>
      <c r="K1703" s="0" t="n">
        <v>7898247780075</v>
      </c>
      <c r="L1703" s="0" t="s">
        <v>2748</v>
      </c>
      <c r="N1703" s="0" t="n">
        <v>40</v>
      </c>
      <c r="O1703" s="60" t="n">
        <v>283</v>
      </c>
    </row>
    <row r="1704" customFormat="false" ht="15" hidden="false" customHeight="false" outlineLevel="0" collapsed="false">
      <c r="A1704" s="0" t="n">
        <v>3</v>
      </c>
      <c r="B1704" s="59" t="n">
        <v>46226</v>
      </c>
      <c r="C1704" s="0" t="n">
        <v>11</v>
      </c>
      <c r="D1704" s="0" t="s">
        <v>2126</v>
      </c>
      <c r="E1704" s="0" t="n">
        <v>1699</v>
      </c>
      <c r="F1704" s="0" t="s">
        <v>61</v>
      </c>
      <c r="I1704" s="0" t="n">
        <v>308737</v>
      </c>
      <c r="J1704" s="0" t="n">
        <v>13188</v>
      </c>
      <c r="K1704" s="0" t="n">
        <v>7896393601046</v>
      </c>
      <c r="L1704" s="0" t="s">
        <v>2986</v>
      </c>
      <c r="N1704" s="0" t="n">
        <v>60</v>
      </c>
      <c r="O1704" s="60" t="n">
        <v>245.8</v>
      </c>
    </row>
    <row r="1705" customFormat="false" ht="15" hidden="false" customHeight="false" outlineLevel="0" collapsed="false">
      <c r="A1705" s="0" t="n">
        <v>3</v>
      </c>
      <c r="B1705" s="59" t="n">
        <v>46226</v>
      </c>
      <c r="C1705" s="0" t="n">
        <v>11</v>
      </c>
      <c r="D1705" s="0" t="s">
        <v>2126</v>
      </c>
      <c r="E1705" s="0" t="n">
        <v>1699</v>
      </c>
      <c r="F1705" s="0" t="s">
        <v>61</v>
      </c>
      <c r="I1705" s="0" t="n">
        <v>308737</v>
      </c>
      <c r="J1705" s="0" t="n">
        <v>23413</v>
      </c>
      <c r="K1705" s="0" t="n">
        <v>7898542022900</v>
      </c>
      <c r="L1705" s="0" t="s">
        <v>2987</v>
      </c>
      <c r="N1705" s="0" t="n">
        <v>144</v>
      </c>
      <c r="O1705" s="60" t="n">
        <v>184.4</v>
      </c>
    </row>
    <row r="1706" customFormat="false" ht="15" hidden="false" customHeight="false" outlineLevel="0" collapsed="false">
      <c r="A1706" s="0" t="n">
        <v>3</v>
      </c>
      <c r="B1706" s="59" t="n">
        <v>46226</v>
      </c>
      <c r="C1706" s="0" t="n">
        <v>11</v>
      </c>
      <c r="D1706" s="0" t="s">
        <v>2126</v>
      </c>
      <c r="E1706" s="0" t="n">
        <v>1699</v>
      </c>
      <c r="F1706" s="0" t="s">
        <v>61</v>
      </c>
      <c r="I1706" s="0" t="n">
        <v>308737</v>
      </c>
      <c r="J1706" s="0" t="n">
        <v>25579</v>
      </c>
      <c r="K1706" s="0" t="n">
        <v>7506306241183</v>
      </c>
      <c r="L1706" s="0" t="s">
        <v>2988</v>
      </c>
      <c r="N1706" s="0" t="n">
        <v>12</v>
      </c>
      <c r="O1706" s="60" t="n">
        <v>167.9</v>
      </c>
    </row>
    <row r="1707" customFormat="false" ht="15" hidden="false" customHeight="false" outlineLevel="0" collapsed="false">
      <c r="A1707" s="0" t="n">
        <v>3</v>
      </c>
      <c r="B1707" s="59" t="n">
        <v>46226</v>
      </c>
      <c r="C1707" s="0" t="n">
        <v>11</v>
      </c>
      <c r="D1707" s="0" t="s">
        <v>2126</v>
      </c>
      <c r="E1707" s="0" t="n">
        <v>1699</v>
      </c>
      <c r="F1707" s="0" t="s">
        <v>61</v>
      </c>
      <c r="I1707" s="0" t="n">
        <v>308737</v>
      </c>
      <c r="J1707" s="0" t="n">
        <v>26420</v>
      </c>
      <c r="K1707" s="0" t="n">
        <v>7898932426110</v>
      </c>
      <c r="L1707" s="0" t="s">
        <v>2989</v>
      </c>
      <c r="N1707" s="0" t="n">
        <v>20</v>
      </c>
      <c r="O1707" s="60" t="n">
        <v>85.9</v>
      </c>
    </row>
    <row r="1708" customFormat="false" ht="15" hidden="false" customHeight="false" outlineLevel="0" collapsed="false">
      <c r="A1708" s="0" t="n">
        <v>3</v>
      </c>
      <c r="B1708" s="59" t="n">
        <v>46226</v>
      </c>
      <c r="C1708" s="0" t="n">
        <v>11</v>
      </c>
      <c r="D1708" s="0" t="s">
        <v>2126</v>
      </c>
      <c r="E1708" s="0" t="n">
        <v>1699</v>
      </c>
      <c r="F1708" s="0" t="s">
        <v>61</v>
      </c>
      <c r="I1708" s="0" t="n">
        <v>308737</v>
      </c>
      <c r="J1708" s="0" t="n">
        <v>29441</v>
      </c>
      <c r="K1708" s="0" t="n">
        <v>7891350034622</v>
      </c>
      <c r="L1708" s="0" t="s">
        <v>2990</v>
      </c>
      <c r="N1708" s="0" t="n">
        <v>12</v>
      </c>
      <c r="O1708" s="60" t="n">
        <v>89.9</v>
      </c>
    </row>
    <row r="1709" customFormat="false" ht="15" hidden="false" customHeight="false" outlineLevel="0" collapsed="false">
      <c r="A1709" s="0" t="n">
        <v>3</v>
      </c>
      <c r="B1709" s="59" t="n">
        <v>46226</v>
      </c>
      <c r="C1709" s="0" t="n">
        <v>11</v>
      </c>
      <c r="D1709" s="0" t="s">
        <v>2126</v>
      </c>
      <c r="E1709" s="0" t="n">
        <v>1699</v>
      </c>
      <c r="F1709" s="0" t="s">
        <v>61</v>
      </c>
      <c r="I1709" s="0" t="n">
        <v>308737</v>
      </c>
      <c r="J1709" s="0" t="n">
        <v>29443</v>
      </c>
      <c r="K1709" s="0" t="n">
        <v>7891350034646</v>
      </c>
      <c r="L1709" s="0" t="s">
        <v>2991</v>
      </c>
      <c r="N1709" s="0" t="n">
        <v>12</v>
      </c>
      <c r="O1709" s="60" t="n">
        <v>89.9</v>
      </c>
    </row>
    <row r="1710" customFormat="false" ht="15" hidden="false" customHeight="false" outlineLevel="0" collapsed="false">
      <c r="A1710" s="0" t="n">
        <v>3</v>
      </c>
      <c r="B1710" s="59" t="n">
        <v>46226</v>
      </c>
      <c r="C1710" s="0" t="n">
        <v>11</v>
      </c>
      <c r="D1710" s="0" t="s">
        <v>2126</v>
      </c>
      <c r="E1710" s="0" t="n">
        <v>1699</v>
      </c>
      <c r="F1710" s="0" t="s">
        <v>61</v>
      </c>
      <c r="I1710" s="0" t="n">
        <v>308737</v>
      </c>
      <c r="J1710" s="0" t="n">
        <v>31195</v>
      </c>
      <c r="K1710" s="0" t="n">
        <v>7898955964750</v>
      </c>
      <c r="L1710" s="0" t="s">
        <v>2992</v>
      </c>
      <c r="N1710" s="0" t="n">
        <v>20</v>
      </c>
      <c r="O1710" s="60" t="n">
        <v>149</v>
      </c>
    </row>
    <row r="1711" customFormat="false" ht="15" hidden="false" customHeight="false" outlineLevel="0" collapsed="false">
      <c r="A1711" s="0" t="n">
        <v>3</v>
      </c>
      <c r="B1711" s="59" t="n">
        <v>46226</v>
      </c>
      <c r="C1711" s="0" t="n">
        <v>11</v>
      </c>
      <c r="D1711" s="0" t="s">
        <v>2126</v>
      </c>
      <c r="E1711" s="0" t="n">
        <v>1699</v>
      </c>
      <c r="F1711" s="0" t="s">
        <v>61</v>
      </c>
      <c r="I1711" s="0" t="n">
        <v>308737</v>
      </c>
      <c r="J1711" s="0" t="n">
        <v>32805</v>
      </c>
      <c r="K1711" s="0" t="n">
        <v>7896433800378</v>
      </c>
      <c r="L1711" s="0" t="s">
        <v>2752</v>
      </c>
      <c r="N1711" s="0" t="n">
        <v>90</v>
      </c>
      <c r="O1711" s="60" t="n">
        <v>255</v>
      </c>
    </row>
    <row r="1712" customFormat="false" ht="15" hidden="false" customHeight="false" outlineLevel="0" collapsed="false">
      <c r="A1712" s="0" t="n">
        <v>3</v>
      </c>
      <c r="B1712" s="59" t="n">
        <v>46226</v>
      </c>
      <c r="C1712" s="0" t="n">
        <v>11</v>
      </c>
      <c r="D1712" s="0" t="s">
        <v>2126</v>
      </c>
      <c r="E1712" s="0" t="n">
        <v>1699</v>
      </c>
      <c r="F1712" s="0" t="s">
        <v>61</v>
      </c>
      <c r="I1712" s="0" t="n">
        <v>308737</v>
      </c>
      <c r="J1712" s="0" t="n">
        <v>37982</v>
      </c>
      <c r="K1712" s="0" t="n">
        <v>7896219183107</v>
      </c>
      <c r="L1712" s="0" t="s">
        <v>2993</v>
      </c>
      <c r="N1712" s="0" t="n">
        <v>24</v>
      </c>
      <c r="O1712" s="60" t="n">
        <v>103</v>
      </c>
    </row>
    <row r="1713" customFormat="false" ht="15" hidden="false" customHeight="false" outlineLevel="0" collapsed="false">
      <c r="A1713" s="0" t="n">
        <v>3</v>
      </c>
      <c r="B1713" s="59" t="n">
        <v>46226</v>
      </c>
      <c r="C1713" s="0" t="n">
        <v>11</v>
      </c>
      <c r="D1713" s="0" t="s">
        <v>2126</v>
      </c>
      <c r="E1713" s="0" t="n">
        <v>1699</v>
      </c>
      <c r="F1713" s="0" t="s">
        <v>61</v>
      </c>
      <c r="I1713" s="0" t="n">
        <v>308737</v>
      </c>
      <c r="J1713" s="0" t="n">
        <v>39110</v>
      </c>
      <c r="K1713" s="0" t="n">
        <v>7896219181929</v>
      </c>
      <c r="L1713" s="0" t="s">
        <v>2994</v>
      </c>
      <c r="N1713" s="0" t="n">
        <v>14</v>
      </c>
      <c r="O1713" s="60" t="n">
        <v>58.5</v>
      </c>
    </row>
    <row r="1714" customFormat="false" ht="15" hidden="false" customHeight="false" outlineLevel="0" collapsed="false">
      <c r="A1714" s="0" t="n">
        <v>3</v>
      </c>
      <c r="B1714" s="59" t="n">
        <v>46226</v>
      </c>
      <c r="C1714" s="0" t="n">
        <v>11</v>
      </c>
      <c r="D1714" s="0" t="s">
        <v>2126</v>
      </c>
      <c r="E1714" s="0" t="n">
        <v>1699</v>
      </c>
      <c r="F1714" s="0" t="s">
        <v>61</v>
      </c>
      <c r="I1714" s="0" t="n">
        <v>308737</v>
      </c>
      <c r="J1714" s="0" t="n">
        <v>39111</v>
      </c>
      <c r="K1714" s="0" t="n">
        <v>7896219181943</v>
      </c>
      <c r="L1714" s="0" t="s">
        <v>2995</v>
      </c>
      <c r="N1714" s="0" t="n">
        <v>14</v>
      </c>
      <c r="O1714" s="60" t="n">
        <v>58.5</v>
      </c>
    </row>
    <row r="1715" customFormat="false" ht="15" hidden="false" customHeight="false" outlineLevel="0" collapsed="false">
      <c r="A1715" s="0" t="n">
        <v>3</v>
      </c>
      <c r="B1715" s="59" t="n">
        <v>46226</v>
      </c>
      <c r="C1715" s="0" t="n">
        <v>11</v>
      </c>
      <c r="D1715" s="0" t="s">
        <v>2126</v>
      </c>
      <c r="E1715" s="0" t="n">
        <v>1699</v>
      </c>
      <c r="F1715" s="0" t="s">
        <v>61</v>
      </c>
      <c r="I1715" s="0" t="n">
        <v>308737</v>
      </c>
      <c r="J1715" s="0" t="n">
        <v>39112</v>
      </c>
      <c r="K1715" s="0" t="n">
        <v>7896219181936</v>
      </c>
      <c r="L1715" s="0" t="s">
        <v>2996</v>
      </c>
      <c r="N1715" s="0" t="n">
        <v>14</v>
      </c>
      <c r="O1715" s="60" t="n">
        <v>58.5</v>
      </c>
    </row>
    <row r="1716" customFormat="false" ht="15" hidden="false" customHeight="false" outlineLevel="0" collapsed="false">
      <c r="A1716" s="0" t="n">
        <v>3</v>
      </c>
      <c r="B1716" s="59" t="n">
        <v>46226</v>
      </c>
      <c r="C1716" s="0" t="n">
        <v>11</v>
      </c>
      <c r="D1716" s="0" t="s">
        <v>2126</v>
      </c>
      <c r="E1716" s="0" t="n">
        <v>1699</v>
      </c>
      <c r="F1716" s="0" t="s">
        <v>61</v>
      </c>
      <c r="I1716" s="0" t="n">
        <v>308737</v>
      </c>
      <c r="J1716" s="0" t="n">
        <v>80005</v>
      </c>
      <c r="K1716" s="0" t="n">
        <v>7891000457092</v>
      </c>
      <c r="L1716" s="0" t="s">
        <v>2997</v>
      </c>
      <c r="N1716" s="0" t="n">
        <v>30</v>
      </c>
      <c r="O1716" s="60" t="n">
        <v>375</v>
      </c>
    </row>
    <row r="1717" customFormat="false" ht="15" hidden="false" customHeight="false" outlineLevel="0" collapsed="false">
      <c r="A1717" s="0" t="n">
        <v>3</v>
      </c>
      <c r="B1717" s="59" t="n">
        <v>46226</v>
      </c>
      <c r="C1717" s="0" t="n">
        <v>11</v>
      </c>
      <c r="D1717" s="0" t="s">
        <v>2126</v>
      </c>
      <c r="E1717" s="0" t="n">
        <v>1815</v>
      </c>
      <c r="F1717" s="0" t="s">
        <v>54</v>
      </c>
      <c r="I1717" s="0" t="n">
        <v>393808</v>
      </c>
      <c r="J1717" s="0" t="n">
        <v>100024</v>
      </c>
      <c r="K1717" s="0" t="n">
        <v>25</v>
      </c>
      <c r="L1717" s="0" t="s">
        <v>2998</v>
      </c>
      <c r="N1717" s="0" t="n">
        <v>55.07</v>
      </c>
      <c r="O1717" s="60" t="n">
        <v>770.43</v>
      </c>
    </row>
    <row r="1718" customFormat="false" ht="15" hidden="false" customHeight="false" outlineLevel="0" collapsed="false">
      <c r="A1718" s="0" t="n">
        <v>3</v>
      </c>
      <c r="B1718" s="59" t="n">
        <v>46226</v>
      </c>
      <c r="C1718" s="0" t="n">
        <v>11</v>
      </c>
      <c r="D1718" s="0" t="s">
        <v>2126</v>
      </c>
      <c r="E1718" s="0" t="n">
        <v>1815</v>
      </c>
      <c r="F1718" s="0" t="s">
        <v>54</v>
      </c>
      <c r="I1718" s="0" t="n">
        <v>393808</v>
      </c>
      <c r="J1718" s="0" t="n">
        <v>100034</v>
      </c>
      <c r="K1718" s="0" t="n">
        <v>35</v>
      </c>
      <c r="L1718" s="0" t="s">
        <v>2999</v>
      </c>
      <c r="N1718" s="0" t="n">
        <v>100</v>
      </c>
      <c r="O1718" s="60" t="n">
        <v>1399</v>
      </c>
    </row>
    <row r="1719" customFormat="false" ht="15" hidden="false" customHeight="false" outlineLevel="0" collapsed="false">
      <c r="A1719" s="0" t="n">
        <v>3</v>
      </c>
      <c r="B1719" s="59" t="n">
        <v>46226</v>
      </c>
      <c r="C1719" s="0" t="n">
        <v>11</v>
      </c>
      <c r="D1719" s="0" t="s">
        <v>2126</v>
      </c>
      <c r="E1719" s="0" t="n">
        <v>1815</v>
      </c>
      <c r="F1719" s="0" t="s">
        <v>54</v>
      </c>
      <c r="I1719" s="0" t="n">
        <v>393808</v>
      </c>
      <c r="J1719" s="0" t="n">
        <v>100035</v>
      </c>
      <c r="K1719" s="0" t="n">
        <v>36</v>
      </c>
      <c r="L1719" s="0" t="s">
        <v>2784</v>
      </c>
      <c r="N1719" s="0" t="n">
        <v>180</v>
      </c>
      <c r="O1719" s="60" t="n">
        <v>1258.2</v>
      </c>
    </row>
    <row r="1720" customFormat="false" ht="15" hidden="false" customHeight="false" outlineLevel="0" collapsed="false">
      <c r="A1720" s="0" t="n">
        <v>3</v>
      </c>
      <c r="B1720" s="59" t="n">
        <v>46226</v>
      </c>
      <c r="C1720" s="0" t="n">
        <v>11</v>
      </c>
      <c r="D1720" s="0" t="s">
        <v>2126</v>
      </c>
      <c r="E1720" s="0" t="n">
        <v>1815</v>
      </c>
      <c r="F1720" s="0" t="s">
        <v>54</v>
      </c>
      <c r="I1720" s="0" t="n">
        <v>393808</v>
      </c>
      <c r="J1720" s="0" t="n">
        <v>102407</v>
      </c>
      <c r="K1720" s="0" t="n">
        <v>7893000394117</v>
      </c>
      <c r="L1720" s="0" t="s">
        <v>2427</v>
      </c>
      <c r="N1720" s="0" t="n">
        <v>48</v>
      </c>
      <c r="O1720" s="60" t="n">
        <v>238</v>
      </c>
    </row>
    <row r="1721" customFormat="false" ht="15" hidden="false" customHeight="false" outlineLevel="0" collapsed="false">
      <c r="A1721" s="0" t="n">
        <v>3</v>
      </c>
      <c r="B1721" s="59" t="n">
        <v>46226</v>
      </c>
      <c r="C1721" s="0" t="n">
        <v>11</v>
      </c>
      <c r="D1721" s="0" t="s">
        <v>2126</v>
      </c>
      <c r="E1721" s="0" t="n">
        <v>1815</v>
      </c>
      <c r="F1721" s="0" t="s">
        <v>54</v>
      </c>
      <c r="I1721" s="0" t="n">
        <v>393808</v>
      </c>
      <c r="J1721" s="0" t="n">
        <v>23695</v>
      </c>
      <c r="K1721" s="0" t="n">
        <v>7891515474126</v>
      </c>
      <c r="L1721" s="0" t="s">
        <v>2789</v>
      </c>
      <c r="N1721" s="0" t="n">
        <v>225</v>
      </c>
      <c r="O1721" s="60" t="n">
        <v>385</v>
      </c>
    </row>
    <row r="1722" customFormat="false" ht="15" hidden="false" customHeight="false" outlineLevel="0" collapsed="false">
      <c r="A1722" s="0" t="n">
        <v>3</v>
      </c>
      <c r="B1722" s="59" t="n">
        <v>46226</v>
      </c>
      <c r="C1722" s="0" t="n">
        <v>11</v>
      </c>
      <c r="D1722" s="0" t="s">
        <v>2126</v>
      </c>
      <c r="E1722" s="0" t="n">
        <v>1815</v>
      </c>
      <c r="F1722" s="0" t="s">
        <v>54</v>
      </c>
      <c r="I1722" s="0" t="n">
        <v>393808</v>
      </c>
      <c r="J1722" s="0" t="n">
        <v>110191</v>
      </c>
      <c r="K1722" s="0" t="n">
        <v>37402</v>
      </c>
      <c r="L1722" s="0" t="s">
        <v>2432</v>
      </c>
      <c r="N1722" s="0" t="n">
        <v>80</v>
      </c>
      <c r="O1722" s="60" t="n">
        <v>559.2</v>
      </c>
    </row>
    <row r="1723" customFormat="false" ht="15" hidden="false" customHeight="false" outlineLevel="0" collapsed="false">
      <c r="A1723" s="0" t="n">
        <v>3</v>
      </c>
      <c r="B1723" s="59" t="n">
        <v>46226</v>
      </c>
      <c r="C1723" s="0" t="n">
        <v>11</v>
      </c>
      <c r="D1723" s="0" t="s">
        <v>2126</v>
      </c>
      <c r="E1723" s="0" t="n">
        <v>1815</v>
      </c>
      <c r="F1723" s="0" t="s">
        <v>54</v>
      </c>
      <c r="I1723" s="0" t="n">
        <v>393808</v>
      </c>
      <c r="J1723" s="0" t="n">
        <v>110523</v>
      </c>
      <c r="K1723" s="0" t="n">
        <v>57058</v>
      </c>
      <c r="L1723" s="0" t="s">
        <v>3000</v>
      </c>
      <c r="N1723" s="0" t="n">
        <v>10.773</v>
      </c>
      <c r="O1723" s="60" t="n">
        <v>242.39</v>
      </c>
    </row>
    <row r="1724" customFormat="false" ht="15" hidden="false" customHeight="false" outlineLevel="0" collapsed="false">
      <c r="A1724" s="0" t="n">
        <v>3</v>
      </c>
      <c r="B1724" s="59" t="n">
        <v>46226</v>
      </c>
      <c r="C1724" s="0" t="n">
        <v>11</v>
      </c>
      <c r="D1724" s="0" t="s">
        <v>2126</v>
      </c>
      <c r="E1724" s="0" t="n">
        <v>1815</v>
      </c>
      <c r="F1724" s="0" t="s">
        <v>54</v>
      </c>
      <c r="I1724" s="0" t="n">
        <v>393808</v>
      </c>
      <c r="J1724" s="0" t="n">
        <v>57552</v>
      </c>
      <c r="K1724" s="0" t="n">
        <v>7896807416099</v>
      </c>
      <c r="L1724" s="0" t="s">
        <v>3001</v>
      </c>
      <c r="N1724" s="0" t="n">
        <v>6</v>
      </c>
      <c r="O1724" s="60" t="n">
        <v>115</v>
      </c>
    </row>
    <row r="1725" customFormat="false" ht="15" hidden="false" customHeight="false" outlineLevel="0" collapsed="false">
      <c r="A1725" s="0" t="n">
        <v>3</v>
      </c>
      <c r="B1725" s="59" t="n">
        <v>46226</v>
      </c>
      <c r="C1725" s="0" t="n">
        <v>11</v>
      </c>
      <c r="D1725" s="0" t="s">
        <v>2126</v>
      </c>
      <c r="E1725" s="0" t="n">
        <v>1815</v>
      </c>
      <c r="F1725" s="0" t="s">
        <v>54</v>
      </c>
      <c r="I1725" s="0" t="n">
        <v>393808</v>
      </c>
      <c r="J1725" s="0" t="n">
        <v>61513</v>
      </c>
      <c r="K1725" s="0" t="n">
        <v>742832226301</v>
      </c>
      <c r="L1725" s="0" t="s">
        <v>2433</v>
      </c>
      <c r="N1725" s="0" t="n">
        <v>60</v>
      </c>
      <c r="O1725" s="60" t="n">
        <v>311.94</v>
      </c>
    </row>
    <row r="1726" customFormat="false" ht="15" hidden="false" customHeight="false" outlineLevel="0" collapsed="false">
      <c r="A1726" s="0" t="n">
        <v>3</v>
      </c>
      <c r="B1726" s="59" t="n">
        <v>46226</v>
      </c>
      <c r="C1726" s="0" t="n">
        <v>11</v>
      </c>
      <c r="D1726" s="0" t="s">
        <v>2126</v>
      </c>
      <c r="E1726" s="0" t="n">
        <v>1815</v>
      </c>
      <c r="F1726" s="0" t="s">
        <v>54</v>
      </c>
      <c r="I1726" s="0" t="n">
        <v>393808</v>
      </c>
      <c r="J1726" s="0" t="n">
        <v>61514</v>
      </c>
      <c r="K1726" s="0" t="n">
        <v>742832226349</v>
      </c>
      <c r="L1726" s="0" t="s">
        <v>2434</v>
      </c>
      <c r="N1726" s="0" t="n">
        <v>36</v>
      </c>
      <c r="O1726" s="60" t="n">
        <v>245.94</v>
      </c>
    </row>
    <row r="1727" customFormat="false" ht="15" hidden="false" customHeight="false" outlineLevel="0" collapsed="false">
      <c r="A1727" s="0" t="n">
        <v>3</v>
      </c>
      <c r="B1727" s="59" t="n">
        <v>46226</v>
      </c>
      <c r="C1727" s="0" t="n">
        <v>11</v>
      </c>
      <c r="D1727" s="0" t="s">
        <v>2126</v>
      </c>
      <c r="E1727" s="0" t="n">
        <v>1815</v>
      </c>
      <c r="F1727" s="0" t="s">
        <v>54</v>
      </c>
      <c r="I1727" s="0" t="n">
        <v>393808</v>
      </c>
      <c r="J1727" s="0" t="n">
        <v>110778</v>
      </c>
      <c r="K1727" s="0" t="n">
        <v>71976</v>
      </c>
      <c r="L1727" s="0" t="s">
        <v>3002</v>
      </c>
      <c r="N1727" s="0" t="n">
        <v>15</v>
      </c>
      <c r="O1727" s="60" t="n">
        <v>134.85</v>
      </c>
    </row>
    <row r="1728" customFormat="false" ht="15" hidden="false" customHeight="false" outlineLevel="0" collapsed="false">
      <c r="A1728" s="0" t="n">
        <v>3</v>
      </c>
      <c r="B1728" s="59" t="n">
        <v>46226</v>
      </c>
      <c r="C1728" s="0" t="n">
        <v>11</v>
      </c>
      <c r="D1728" s="0" t="s">
        <v>2126</v>
      </c>
      <c r="E1728" s="0" t="n">
        <v>1815</v>
      </c>
      <c r="F1728" s="0" t="s">
        <v>54</v>
      </c>
      <c r="I1728" s="0" t="n">
        <v>393808</v>
      </c>
      <c r="J1728" s="0" t="n">
        <v>81827</v>
      </c>
      <c r="K1728" s="0" t="n">
        <v>7899567291838</v>
      </c>
      <c r="L1728" s="0" t="s">
        <v>3003</v>
      </c>
      <c r="N1728" s="0" t="n">
        <v>20</v>
      </c>
      <c r="O1728" s="60" t="n">
        <v>499.9</v>
      </c>
    </row>
    <row r="1729" customFormat="false" ht="15" hidden="false" customHeight="false" outlineLevel="0" collapsed="false">
      <c r="A1729" s="0" t="n">
        <v>3</v>
      </c>
      <c r="B1729" s="59" t="n">
        <v>46226</v>
      </c>
      <c r="C1729" s="0" t="n">
        <v>11</v>
      </c>
      <c r="D1729" s="0" t="s">
        <v>2126</v>
      </c>
      <c r="E1729" s="0" t="n">
        <v>1815</v>
      </c>
      <c r="F1729" s="0" t="s">
        <v>54</v>
      </c>
      <c r="I1729" s="0" t="n">
        <v>393808</v>
      </c>
      <c r="J1729" s="0" t="n">
        <v>81828</v>
      </c>
      <c r="K1729" s="0" t="n">
        <v>7898677910059</v>
      </c>
      <c r="L1729" s="0" t="s">
        <v>3004</v>
      </c>
      <c r="N1729" s="0" t="n">
        <v>36</v>
      </c>
      <c r="O1729" s="60" t="n">
        <v>41.99</v>
      </c>
    </row>
    <row r="1730" customFormat="false" ht="15" hidden="false" customHeight="false" outlineLevel="0" collapsed="false">
      <c r="A1730" s="0" t="n">
        <v>3</v>
      </c>
      <c r="B1730" s="59" t="n">
        <v>46226</v>
      </c>
      <c r="C1730" s="0" t="n">
        <v>11</v>
      </c>
      <c r="D1730" s="0" t="s">
        <v>2126</v>
      </c>
      <c r="E1730" s="0" t="n">
        <v>1642</v>
      </c>
      <c r="F1730" s="0" t="s">
        <v>276</v>
      </c>
      <c r="I1730" s="0" t="n">
        <v>1033137</v>
      </c>
      <c r="J1730" s="0" t="n">
        <v>105780</v>
      </c>
      <c r="K1730" s="0" t="n">
        <v>7896289210017</v>
      </c>
      <c r="L1730" s="0" t="s">
        <v>2186</v>
      </c>
      <c r="N1730" s="0" t="n">
        <v>10</v>
      </c>
      <c r="O1730" s="60" t="n">
        <v>106.7</v>
      </c>
    </row>
    <row r="1731" customFormat="false" ht="15" hidden="false" customHeight="false" outlineLevel="0" collapsed="false">
      <c r="A1731" s="0" t="n">
        <v>3</v>
      </c>
      <c r="B1731" s="59" t="n">
        <v>46226</v>
      </c>
      <c r="C1731" s="0" t="n">
        <v>11</v>
      </c>
      <c r="D1731" s="0" t="s">
        <v>2126</v>
      </c>
      <c r="E1731" s="0" t="n">
        <v>1642</v>
      </c>
      <c r="F1731" s="0" t="s">
        <v>276</v>
      </c>
      <c r="I1731" s="0" t="n">
        <v>1033137</v>
      </c>
      <c r="J1731" s="0" t="n">
        <v>105782</v>
      </c>
      <c r="K1731" s="0" t="n">
        <v>7896289210352</v>
      </c>
      <c r="L1731" s="0" t="s">
        <v>2187</v>
      </c>
      <c r="N1731" s="0" t="n">
        <v>6</v>
      </c>
      <c r="O1731" s="60" t="n">
        <v>41.16</v>
      </c>
    </row>
    <row r="1732" customFormat="false" ht="15" hidden="false" customHeight="false" outlineLevel="0" collapsed="false">
      <c r="A1732" s="0" t="n">
        <v>3</v>
      </c>
      <c r="B1732" s="59" t="n">
        <v>46226</v>
      </c>
      <c r="C1732" s="0" t="n">
        <v>11</v>
      </c>
      <c r="D1732" s="0" t="s">
        <v>2126</v>
      </c>
      <c r="E1732" s="0" t="n">
        <v>1642</v>
      </c>
      <c r="F1732" s="0" t="s">
        <v>276</v>
      </c>
      <c r="I1732" s="0" t="n">
        <v>1033137</v>
      </c>
      <c r="J1732" s="0" t="n">
        <v>106079</v>
      </c>
      <c r="K1732" s="0" t="n">
        <v>7896289210130</v>
      </c>
      <c r="L1732" s="0" t="s">
        <v>2188</v>
      </c>
      <c r="N1732" s="0" t="n">
        <v>6</v>
      </c>
      <c r="O1732" s="60" t="n">
        <v>82.2</v>
      </c>
    </row>
    <row r="1733" customFormat="false" ht="15" hidden="false" customHeight="false" outlineLevel="0" collapsed="false">
      <c r="A1733" s="0" t="n">
        <v>3</v>
      </c>
      <c r="B1733" s="59" t="n">
        <v>46226</v>
      </c>
      <c r="C1733" s="0" t="n">
        <v>11</v>
      </c>
      <c r="D1733" s="0" t="s">
        <v>2126</v>
      </c>
      <c r="E1733" s="0" t="n">
        <v>1642</v>
      </c>
      <c r="F1733" s="0" t="s">
        <v>276</v>
      </c>
      <c r="I1733" s="0" t="n">
        <v>1033137</v>
      </c>
      <c r="J1733" s="0" t="n">
        <v>106274</v>
      </c>
      <c r="K1733" s="0" t="n">
        <v>7896289210086</v>
      </c>
      <c r="L1733" s="0" t="s">
        <v>2189</v>
      </c>
      <c r="N1733" s="0" t="n">
        <v>6</v>
      </c>
      <c r="O1733" s="60" t="n">
        <v>75.36</v>
      </c>
    </row>
    <row r="1734" customFormat="false" ht="15" hidden="false" customHeight="false" outlineLevel="0" collapsed="false">
      <c r="A1734" s="0" t="n">
        <v>3</v>
      </c>
      <c r="B1734" s="59" t="n">
        <v>46226</v>
      </c>
      <c r="C1734" s="0" t="n">
        <v>11</v>
      </c>
      <c r="D1734" s="0" t="s">
        <v>2126</v>
      </c>
      <c r="E1734" s="0" t="n">
        <v>1642</v>
      </c>
      <c r="F1734" s="0" t="s">
        <v>276</v>
      </c>
      <c r="I1734" s="0" t="n">
        <v>1033137</v>
      </c>
      <c r="J1734" s="0" t="n">
        <v>106280</v>
      </c>
      <c r="K1734" s="0" t="n">
        <v>7896289210062</v>
      </c>
      <c r="L1734" s="0" t="s">
        <v>2190</v>
      </c>
      <c r="N1734" s="0" t="n">
        <v>6</v>
      </c>
      <c r="O1734" s="60" t="n">
        <v>75.36</v>
      </c>
    </row>
    <row r="1735" customFormat="false" ht="15" hidden="false" customHeight="false" outlineLevel="0" collapsed="false">
      <c r="A1735" s="0" t="n">
        <v>3</v>
      </c>
      <c r="B1735" s="59" t="n">
        <v>46226</v>
      </c>
      <c r="C1735" s="0" t="n">
        <v>11</v>
      </c>
      <c r="D1735" s="0" t="s">
        <v>2126</v>
      </c>
      <c r="E1735" s="0" t="n">
        <v>1642</v>
      </c>
      <c r="F1735" s="0" t="s">
        <v>276</v>
      </c>
      <c r="I1735" s="0" t="n">
        <v>1033137</v>
      </c>
      <c r="J1735" s="0" t="n">
        <v>106407</v>
      </c>
      <c r="K1735" s="0" t="n">
        <v>7896289210031</v>
      </c>
      <c r="L1735" s="0" t="s">
        <v>2191</v>
      </c>
      <c r="N1735" s="0" t="n">
        <v>10</v>
      </c>
      <c r="O1735" s="60" t="n">
        <v>116.4</v>
      </c>
    </row>
    <row r="1736" customFormat="false" ht="15" hidden="false" customHeight="false" outlineLevel="0" collapsed="false">
      <c r="A1736" s="0" t="n">
        <v>3</v>
      </c>
      <c r="B1736" s="59" t="n">
        <v>46226</v>
      </c>
      <c r="C1736" s="0" t="n">
        <v>11</v>
      </c>
      <c r="D1736" s="0" t="s">
        <v>2126</v>
      </c>
      <c r="E1736" s="0" t="n">
        <v>1642</v>
      </c>
      <c r="F1736" s="0" t="s">
        <v>276</v>
      </c>
      <c r="I1736" s="0" t="n">
        <v>1033137</v>
      </c>
      <c r="J1736" s="0" t="n">
        <v>29706</v>
      </c>
      <c r="K1736" s="0" t="n">
        <v>7896289240205</v>
      </c>
      <c r="L1736" s="0" t="s">
        <v>2735</v>
      </c>
      <c r="N1736" s="0" t="n">
        <v>5</v>
      </c>
      <c r="O1736" s="60" t="n">
        <v>43</v>
      </c>
    </row>
    <row r="1737" customFormat="false" ht="15" hidden="false" customHeight="false" outlineLevel="0" collapsed="false">
      <c r="A1737" s="0" t="n">
        <v>3</v>
      </c>
      <c r="B1737" s="59" t="n">
        <v>46226</v>
      </c>
      <c r="C1737" s="0" t="n">
        <v>11</v>
      </c>
      <c r="D1737" s="0" t="s">
        <v>2126</v>
      </c>
      <c r="E1737" s="0" t="n">
        <v>1740</v>
      </c>
      <c r="F1737" s="0" t="s">
        <v>171</v>
      </c>
      <c r="I1737" s="0" t="n">
        <v>1250418</v>
      </c>
      <c r="J1737" s="0" t="n">
        <v>100036</v>
      </c>
      <c r="K1737" s="0" t="n">
        <v>37</v>
      </c>
      <c r="L1737" s="0" t="s">
        <v>2170</v>
      </c>
      <c r="N1737" s="0" t="n">
        <v>50</v>
      </c>
      <c r="O1737" s="60" t="n">
        <v>999</v>
      </c>
    </row>
    <row r="1738" customFormat="false" ht="15" hidden="false" customHeight="false" outlineLevel="0" collapsed="false">
      <c r="A1738" s="0" t="n">
        <v>3</v>
      </c>
      <c r="B1738" s="59" t="n">
        <v>46226</v>
      </c>
      <c r="C1738" s="0" t="n">
        <v>11</v>
      </c>
      <c r="D1738" s="0" t="s">
        <v>2126</v>
      </c>
      <c r="E1738" s="0" t="n">
        <v>1740</v>
      </c>
      <c r="F1738" s="0" t="s">
        <v>171</v>
      </c>
      <c r="I1738" s="0" t="n">
        <v>1250418</v>
      </c>
      <c r="J1738" s="0" t="n">
        <v>12790</v>
      </c>
      <c r="K1738" s="0" t="n">
        <v>7891164026530</v>
      </c>
      <c r="L1738" s="0" t="s">
        <v>3005</v>
      </c>
      <c r="N1738" s="0" t="n">
        <v>8</v>
      </c>
      <c r="O1738" s="60" t="n">
        <v>122.01</v>
      </c>
    </row>
    <row r="1739" customFormat="false" ht="15" hidden="false" customHeight="false" outlineLevel="0" collapsed="false">
      <c r="A1739" s="0" t="n">
        <v>3</v>
      </c>
      <c r="B1739" s="59" t="n">
        <v>46226</v>
      </c>
      <c r="C1739" s="0" t="n">
        <v>11</v>
      </c>
      <c r="D1739" s="0" t="s">
        <v>2126</v>
      </c>
      <c r="E1739" s="0" t="n">
        <v>1740</v>
      </c>
      <c r="F1739" s="0" t="s">
        <v>171</v>
      </c>
      <c r="I1739" s="0" t="n">
        <v>1250418</v>
      </c>
      <c r="J1739" s="0" t="n">
        <v>110201</v>
      </c>
      <c r="K1739" s="0" t="n">
        <v>37424</v>
      </c>
      <c r="L1739" s="0" t="s">
        <v>2573</v>
      </c>
      <c r="N1739" s="0" t="n">
        <v>30</v>
      </c>
      <c r="O1739" s="60" t="n">
        <v>659.4</v>
      </c>
    </row>
    <row r="1740" customFormat="false" ht="15" hidden="false" customHeight="false" outlineLevel="0" collapsed="false">
      <c r="A1740" s="0" t="n">
        <v>3</v>
      </c>
      <c r="B1740" s="59" t="n">
        <v>46226</v>
      </c>
      <c r="C1740" s="0" t="n">
        <v>11</v>
      </c>
      <c r="D1740" s="0" t="s">
        <v>2126</v>
      </c>
      <c r="E1740" s="0" t="n">
        <v>1740</v>
      </c>
      <c r="F1740" s="0" t="s">
        <v>171</v>
      </c>
      <c r="I1740" s="0" t="n">
        <v>1250418</v>
      </c>
      <c r="J1740" s="0" t="n">
        <v>39418</v>
      </c>
      <c r="K1740" s="0" t="n">
        <v>7891164026547</v>
      </c>
      <c r="L1740" s="0" t="s">
        <v>3006</v>
      </c>
      <c r="N1740" s="0" t="n">
        <v>8</v>
      </c>
      <c r="O1740" s="60" t="n">
        <v>119.91</v>
      </c>
    </row>
    <row r="1741" customFormat="false" ht="15" hidden="false" customHeight="false" outlineLevel="0" collapsed="false">
      <c r="A1741" s="0" t="n">
        <v>3</v>
      </c>
      <c r="B1741" s="59" t="n">
        <v>46226</v>
      </c>
      <c r="C1741" s="0" t="n">
        <v>11</v>
      </c>
      <c r="D1741" s="0" t="s">
        <v>2126</v>
      </c>
      <c r="E1741" s="0" t="n">
        <v>1740</v>
      </c>
      <c r="F1741" s="0" t="s">
        <v>171</v>
      </c>
      <c r="I1741" s="0" t="n">
        <v>1250418</v>
      </c>
      <c r="J1741" s="0" t="n">
        <v>41242</v>
      </c>
      <c r="K1741" s="0" t="n">
        <v>7891164138370</v>
      </c>
      <c r="L1741" s="0" t="s">
        <v>2574</v>
      </c>
      <c r="N1741" s="0" t="n">
        <v>60</v>
      </c>
      <c r="O1741" s="60" t="n">
        <v>93.58</v>
      </c>
    </row>
    <row r="1742" customFormat="false" ht="15" hidden="false" customHeight="false" outlineLevel="0" collapsed="false">
      <c r="A1742" s="0" t="n">
        <v>3</v>
      </c>
      <c r="B1742" s="59" t="n">
        <v>46226</v>
      </c>
      <c r="C1742" s="0" t="n">
        <v>11</v>
      </c>
      <c r="D1742" s="0" t="s">
        <v>2126</v>
      </c>
      <c r="E1742" s="0" t="n">
        <v>1740</v>
      </c>
      <c r="F1742" s="0" t="s">
        <v>171</v>
      </c>
      <c r="I1742" s="0" t="n">
        <v>1250418</v>
      </c>
      <c r="J1742" s="0" t="n">
        <v>55039</v>
      </c>
      <c r="K1742" s="0" t="n">
        <v>7891164027117</v>
      </c>
      <c r="L1742" s="0" t="s">
        <v>2433</v>
      </c>
      <c r="N1742" s="0" t="n">
        <v>20</v>
      </c>
      <c r="O1742" s="60" t="n">
        <v>189.8</v>
      </c>
    </row>
    <row r="1743" customFormat="false" ht="15" hidden="false" customHeight="false" outlineLevel="0" collapsed="false">
      <c r="A1743" s="0" t="n">
        <v>3</v>
      </c>
      <c r="B1743" s="59" t="n">
        <v>46226</v>
      </c>
      <c r="C1743" s="0" t="n">
        <v>11</v>
      </c>
      <c r="D1743" s="0" t="s">
        <v>2126</v>
      </c>
      <c r="E1743" s="0" t="n">
        <v>1740</v>
      </c>
      <c r="F1743" s="0" t="s">
        <v>171</v>
      </c>
      <c r="I1743" s="0" t="n">
        <v>1250418</v>
      </c>
      <c r="J1743" s="0" t="n">
        <v>110530</v>
      </c>
      <c r="K1743" s="0" t="n">
        <v>57638</v>
      </c>
      <c r="L1743" s="0" t="s">
        <v>2576</v>
      </c>
      <c r="N1743" s="0" t="n">
        <v>10</v>
      </c>
      <c r="O1743" s="60" t="n">
        <v>229.8</v>
      </c>
    </row>
    <row r="1744" customFormat="false" ht="15" hidden="false" customHeight="false" outlineLevel="0" collapsed="false">
      <c r="A1744" s="0" t="n">
        <v>3</v>
      </c>
      <c r="B1744" s="59" t="n">
        <v>46226</v>
      </c>
      <c r="C1744" s="0" t="n">
        <v>11</v>
      </c>
      <c r="D1744" s="0" t="s">
        <v>2126</v>
      </c>
      <c r="E1744" s="0" t="n">
        <v>1740</v>
      </c>
      <c r="F1744" s="0" t="s">
        <v>171</v>
      </c>
      <c r="I1744" s="0" t="n">
        <v>1250418</v>
      </c>
      <c r="J1744" s="0" t="n">
        <v>61465</v>
      </c>
      <c r="K1744" s="0" t="n">
        <v>7891164018535</v>
      </c>
      <c r="L1744" s="0" t="s">
        <v>2577</v>
      </c>
      <c r="N1744" s="0" t="n">
        <v>14</v>
      </c>
      <c r="O1744" s="60" t="n">
        <v>73.49</v>
      </c>
    </row>
    <row r="1745" customFormat="false" ht="15" hidden="false" customHeight="false" outlineLevel="0" collapsed="false">
      <c r="A1745" s="0" t="n">
        <v>3</v>
      </c>
      <c r="B1745" s="59" t="n">
        <v>46226</v>
      </c>
      <c r="C1745" s="0" t="n">
        <v>11</v>
      </c>
      <c r="D1745" s="0" t="s">
        <v>2126</v>
      </c>
      <c r="E1745" s="0" t="n">
        <v>1740</v>
      </c>
      <c r="F1745" s="0" t="s">
        <v>171</v>
      </c>
      <c r="I1745" s="0" t="n">
        <v>1250418</v>
      </c>
      <c r="J1745" s="0" t="n">
        <v>79194</v>
      </c>
      <c r="K1745" s="0" t="n">
        <v>7891164006846</v>
      </c>
      <c r="L1745" s="0" t="s">
        <v>2694</v>
      </c>
      <c r="N1745" s="0" t="n">
        <v>15</v>
      </c>
      <c r="O1745" s="60" t="n">
        <v>114.95</v>
      </c>
    </row>
    <row r="1746" customFormat="false" ht="15" hidden="false" customHeight="false" outlineLevel="0" collapsed="false">
      <c r="A1746" s="0" t="n">
        <v>3</v>
      </c>
      <c r="B1746" s="59" t="n">
        <v>46226</v>
      </c>
      <c r="C1746" s="0" t="n">
        <v>11</v>
      </c>
      <c r="D1746" s="0" t="s">
        <v>2126</v>
      </c>
      <c r="E1746" s="0" t="n">
        <v>1672</v>
      </c>
      <c r="F1746" s="0" t="s">
        <v>68</v>
      </c>
      <c r="I1746" s="0" t="n">
        <v>1400631</v>
      </c>
      <c r="J1746" s="0" t="n">
        <v>101308</v>
      </c>
      <c r="K1746" s="0" t="n">
        <v>7896579330098</v>
      </c>
      <c r="L1746" s="0" t="s">
        <v>2471</v>
      </c>
      <c r="N1746" s="0" t="n">
        <v>50</v>
      </c>
      <c r="O1746" s="60" t="n">
        <v>375</v>
      </c>
    </row>
    <row r="1747" customFormat="false" ht="15" hidden="false" customHeight="false" outlineLevel="0" collapsed="false">
      <c r="A1747" s="0" t="n">
        <v>3</v>
      </c>
      <c r="B1747" s="59" t="n">
        <v>46226</v>
      </c>
      <c r="C1747" s="0" t="n">
        <v>11</v>
      </c>
      <c r="D1747" s="0" t="s">
        <v>2126</v>
      </c>
      <c r="E1747" s="0" t="n">
        <v>1672</v>
      </c>
      <c r="F1747" s="0" t="s">
        <v>68</v>
      </c>
      <c r="I1747" s="0" t="n">
        <v>1400631</v>
      </c>
      <c r="J1747" s="0" t="n">
        <v>37507</v>
      </c>
      <c r="K1747" s="0" t="n">
        <v>7896579310854</v>
      </c>
      <c r="L1747" s="0" t="s">
        <v>2472</v>
      </c>
      <c r="N1747" s="0" t="n">
        <v>200</v>
      </c>
      <c r="O1747" s="60" t="n">
        <v>1400</v>
      </c>
    </row>
    <row r="1748" customFormat="false" ht="15" hidden="false" customHeight="false" outlineLevel="0" collapsed="false">
      <c r="A1748" s="0" t="n">
        <v>3</v>
      </c>
      <c r="B1748" s="59" t="n">
        <v>46226</v>
      </c>
      <c r="C1748" s="0" t="n">
        <v>107</v>
      </c>
      <c r="D1748" s="0" t="s">
        <v>2244</v>
      </c>
      <c r="E1748" s="0" t="n">
        <v>1672</v>
      </c>
      <c r="F1748" s="0" t="s">
        <v>68</v>
      </c>
      <c r="I1748" s="0" t="n">
        <v>1400632</v>
      </c>
      <c r="J1748" s="0" t="n">
        <v>101308</v>
      </c>
      <c r="K1748" s="0" t="n">
        <v>7896579330098</v>
      </c>
      <c r="L1748" s="0" t="s">
        <v>2471</v>
      </c>
      <c r="N1748" s="0" t="n">
        <v>5</v>
      </c>
      <c r="O1748" s="60" t="n">
        <v>48</v>
      </c>
    </row>
    <row r="1749" customFormat="false" ht="15" hidden="false" customHeight="false" outlineLevel="0" collapsed="false">
      <c r="A1749" s="0" t="n">
        <v>3</v>
      </c>
      <c r="B1749" s="59" t="n">
        <v>46227</v>
      </c>
      <c r="C1749" s="0" t="n">
        <v>1</v>
      </c>
      <c r="D1749" s="0" t="s">
        <v>2118</v>
      </c>
      <c r="E1749" s="0" t="n">
        <v>10035</v>
      </c>
      <c r="F1749" s="0" t="s">
        <v>229</v>
      </c>
      <c r="I1749" s="0" t="n">
        <v>373</v>
      </c>
      <c r="J1749" s="0" t="n">
        <v>38652</v>
      </c>
      <c r="K1749" s="0" t="n">
        <v>7898994684220</v>
      </c>
      <c r="L1749" s="0" t="s">
        <v>2246</v>
      </c>
      <c r="N1749" s="0" t="n">
        <v>70</v>
      </c>
      <c r="O1749" s="60" t="n">
        <v>630</v>
      </c>
    </row>
    <row r="1750" customFormat="false" ht="15" hidden="false" customHeight="false" outlineLevel="0" collapsed="false">
      <c r="A1750" s="0" t="n">
        <v>3</v>
      </c>
      <c r="B1750" s="59" t="n">
        <v>46227</v>
      </c>
      <c r="C1750" s="0" t="n">
        <v>1</v>
      </c>
      <c r="D1750" s="0" t="s">
        <v>2118</v>
      </c>
      <c r="E1750" s="0" t="n">
        <v>10035</v>
      </c>
      <c r="F1750" s="0" t="s">
        <v>229</v>
      </c>
      <c r="I1750" s="0" t="n">
        <v>373</v>
      </c>
      <c r="J1750" s="0" t="n">
        <v>43726</v>
      </c>
      <c r="K1750" s="0" t="n">
        <v>2245461</v>
      </c>
      <c r="L1750" s="0" t="s">
        <v>2339</v>
      </c>
      <c r="N1750" s="0" t="n">
        <v>20</v>
      </c>
      <c r="O1750" s="60" t="n">
        <v>400</v>
      </c>
    </row>
    <row r="1751" customFormat="false" ht="15" hidden="false" customHeight="false" outlineLevel="0" collapsed="false">
      <c r="A1751" s="0" t="n">
        <v>3</v>
      </c>
      <c r="B1751" s="59" t="n">
        <v>46227</v>
      </c>
      <c r="C1751" s="0" t="n">
        <v>6</v>
      </c>
      <c r="D1751" s="0" t="s">
        <v>2125</v>
      </c>
      <c r="E1751" s="0" t="n">
        <v>42</v>
      </c>
      <c r="F1751" s="0" t="s">
        <v>81</v>
      </c>
      <c r="I1751" s="0" t="n">
        <v>4417</v>
      </c>
      <c r="J1751" s="0" t="n">
        <v>100112</v>
      </c>
      <c r="K1751" s="0" t="n">
        <v>113</v>
      </c>
      <c r="L1751" s="0" t="s">
        <v>2263</v>
      </c>
      <c r="N1751" s="0" t="n">
        <v>34.606</v>
      </c>
      <c r="O1751" s="60" t="n">
        <v>103.82</v>
      </c>
    </row>
    <row r="1752" customFormat="false" ht="15" hidden="false" customHeight="false" outlineLevel="0" collapsed="false">
      <c r="A1752" s="0" t="n">
        <v>3</v>
      </c>
      <c r="B1752" s="59" t="n">
        <v>46227</v>
      </c>
      <c r="C1752" s="0" t="n">
        <v>6</v>
      </c>
      <c r="D1752" s="0" t="s">
        <v>2125</v>
      </c>
      <c r="E1752" s="0" t="n">
        <v>42</v>
      </c>
      <c r="F1752" s="0" t="s">
        <v>81</v>
      </c>
      <c r="I1752" s="0" t="n">
        <v>4417</v>
      </c>
      <c r="J1752" s="0" t="n">
        <v>100140</v>
      </c>
      <c r="K1752" s="0" t="n">
        <v>141</v>
      </c>
      <c r="L1752" s="0" t="s">
        <v>2192</v>
      </c>
      <c r="N1752" s="0" t="n">
        <v>0.374</v>
      </c>
      <c r="O1752" s="60" t="n">
        <v>29.92</v>
      </c>
    </row>
    <row r="1753" customFormat="false" ht="15" hidden="false" customHeight="false" outlineLevel="0" collapsed="false">
      <c r="A1753" s="0" t="n">
        <v>3</v>
      </c>
      <c r="B1753" s="59" t="n">
        <v>46227</v>
      </c>
      <c r="C1753" s="0" t="n">
        <v>6</v>
      </c>
      <c r="D1753" s="0" t="s">
        <v>2125</v>
      </c>
      <c r="E1753" s="0" t="n">
        <v>42</v>
      </c>
      <c r="F1753" s="0" t="s">
        <v>81</v>
      </c>
      <c r="I1753" s="0" t="n">
        <v>4418</v>
      </c>
      <c r="J1753" s="0" t="n">
        <v>72679</v>
      </c>
      <c r="K1753" s="0" t="n">
        <v>246</v>
      </c>
      <c r="L1753" s="0" t="s">
        <v>2195</v>
      </c>
      <c r="N1753" s="0" t="n">
        <v>20</v>
      </c>
      <c r="O1753" s="60" t="n">
        <v>280</v>
      </c>
    </row>
    <row r="1754" customFormat="false" ht="15" hidden="false" customHeight="false" outlineLevel="0" collapsed="false">
      <c r="A1754" s="0" t="n">
        <v>3</v>
      </c>
      <c r="B1754" s="59" t="n">
        <v>46227</v>
      </c>
      <c r="C1754" s="0" t="n">
        <v>6</v>
      </c>
      <c r="D1754" s="0" t="s">
        <v>2125</v>
      </c>
      <c r="E1754" s="0" t="n">
        <v>42</v>
      </c>
      <c r="F1754" s="0" t="s">
        <v>81</v>
      </c>
      <c r="I1754" s="0" t="n">
        <v>4419</v>
      </c>
      <c r="J1754" s="0" t="n">
        <v>37361</v>
      </c>
      <c r="K1754" s="0" t="n">
        <v>2240817</v>
      </c>
      <c r="L1754" s="0" t="s">
        <v>2124</v>
      </c>
      <c r="N1754" s="0" t="n">
        <v>40</v>
      </c>
      <c r="O1754" s="60" t="n">
        <v>80</v>
      </c>
    </row>
    <row r="1755" customFormat="false" ht="15" hidden="false" customHeight="false" outlineLevel="0" collapsed="false">
      <c r="A1755" s="0" t="n">
        <v>3</v>
      </c>
      <c r="B1755" s="59" t="n">
        <v>46227</v>
      </c>
      <c r="C1755" s="0" t="n">
        <v>6</v>
      </c>
      <c r="D1755" s="0" t="s">
        <v>2125</v>
      </c>
      <c r="E1755" s="0" t="n">
        <v>42</v>
      </c>
      <c r="F1755" s="0" t="s">
        <v>81</v>
      </c>
      <c r="I1755" s="0" t="n">
        <v>4420</v>
      </c>
      <c r="J1755" s="0" t="n">
        <v>100062</v>
      </c>
      <c r="K1755" s="0" t="n">
        <v>63</v>
      </c>
      <c r="L1755" s="0" t="s">
        <v>2259</v>
      </c>
      <c r="N1755" s="0" t="n">
        <v>10</v>
      </c>
      <c r="O1755" s="60" t="n">
        <v>120</v>
      </c>
    </row>
    <row r="1756" customFormat="false" ht="15" hidden="false" customHeight="false" outlineLevel="0" collapsed="false">
      <c r="A1756" s="0" t="n">
        <v>3</v>
      </c>
      <c r="B1756" s="59" t="n">
        <v>46227</v>
      </c>
      <c r="C1756" s="0" t="n">
        <v>6</v>
      </c>
      <c r="D1756" s="0" t="s">
        <v>2125</v>
      </c>
      <c r="E1756" s="0" t="n">
        <v>42</v>
      </c>
      <c r="F1756" s="0" t="s">
        <v>81</v>
      </c>
      <c r="I1756" s="0" t="n">
        <v>4420</v>
      </c>
      <c r="J1756" s="0" t="n">
        <v>100104</v>
      </c>
      <c r="K1756" s="0" t="n">
        <v>105</v>
      </c>
      <c r="L1756" s="0" t="s">
        <v>2260</v>
      </c>
      <c r="N1756" s="0" t="n">
        <v>5</v>
      </c>
      <c r="O1756" s="60" t="n">
        <v>35</v>
      </c>
    </row>
    <row r="1757" customFormat="false" ht="15" hidden="false" customHeight="false" outlineLevel="0" collapsed="false">
      <c r="A1757" s="0" t="n">
        <v>3</v>
      </c>
      <c r="B1757" s="59" t="n">
        <v>46227</v>
      </c>
      <c r="C1757" s="0" t="n">
        <v>6</v>
      </c>
      <c r="D1757" s="0" t="s">
        <v>2125</v>
      </c>
      <c r="E1757" s="0" t="n">
        <v>42</v>
      </c>
      <c r="F1757" s="0" t="s">
        <v>81</v>
      </c>
      <c r="I1757" s="0" t="n">
        <v>4420</v>
      </c>
      <c r="J1757" s="0" t="n">
        <v>100105</v>
      </c>
      <c r="K1757" s="0" t="n">
        <v>106</v>
      </c>
      <c r="L1757" s="0" t="s">
        <v>2620</v>
      </c>
      <c r="N1757" s="0" t="n">
        <v>24</v>
      </c>
      <c r="O1757" s="60" t="n">
        <v>160</v>
      </c>
    </row>
    <row r="1758" customFormat="false" ht="15" hidden="false" customHeight="false" outlineLevel="0" collapsed="false">
      <c r="A1758" s="0" t="n">
        <v>3</v>
      </c>
      <c r="B1758" s="59" t="n">
        <v>46227</v>
      </c>
      <c r="C1758" s="0" t="n">
        <v>6</v>
      </c>
      <c r="D1758" s="0" t="s">
        <v>2125</v>
      </c>
      <c r="E1758" s="0" t="n">
        <v>42</v>
      </c>
      <c r="F1758" s="0" t="s">
        <v>81</v>
      </c>
      <c r="I1758" s="0" t="n">
        <v>4420</v>
      </c>
      <c r="J1758" s="0" t="n">
        <v>100107</v>
      </c>
      <c r="K1758" s="0" t="n">
        <v>108</v>
      </c>
      <c r="L1758" s="0" t="s">
        <v>2877</v>
      </c>
      <c r="N1758" s="0" t="n">
        <v>3</v>
      </c>
      <c r="O1758" s="60" t="n">
        <v>36</v>
      </c>
    </row>
    <row r="1759" customFormat="false" ht="15" hidden="false" customHeight="false" outlineLevel="0" collapsed="false">
      <c r="A1759" s="0" t="n">
        <v>3</v>
      </c>
      <c r="B1759" s="59" t="n">
        <v>46227</v>
      </c>
      <c r="C1759" s="0" t="n">
        <v>6</v>
      </c>
      <c r="D1759" s="0" t="s">
        <v>2125</v>
      </c>
      <c r="E1759" s="0" t="n">
        <v>42</v>
      </c>
      <c r="F1759" s="0" t="s">
        <v>81</v>
      </c>
      <c r="I1759" s="0" t="n">
        <v>4420</v>
      </c>
      <c r="J1759" s="0" t="n">
        <v>100109</v>
      </c>
      <c r="K1759" s="0" t="n">
        <v>110</v>
      </c>
      <c r="L1759" s="0" t="s">
        <v>2261</v>
      </c>
      <c r="N1759" s="0" t="n">
        <v>40</v>
      </c>
      <c r="O1759" s="60" t="n">
        <v>280</v>
      </c>
    </row>
    <row r="1760" customFormat="false" ht="15" hidden="false" customHeight="false" outlineLevel="0" collapsed="false">
      <c r="A1760" s="0" t="n">
        <v>3</v>
      </c>
      <c r="B1760" s="59" t="n">
        <v>46227</v>
      </c>
      <c r="C1760" s="0" t="n">
        <v>6</v>
      </c>
      <c r="D1760" s="0" t="s">
        <v>2125</v>
      </c>
      <c r="E1760" s="0" t="n">
        <v>42</v>
      </c>
      <c r="F1760" s="0" t="s">
        <v>81</v>
      </c>
      <c r="I1760" s="0" t="n">
        <v>4420</v>
      </c>
      <c r="J1760" s="0" t="n">
        <v>100110</v>
      </c>
      <c r="K1760" s="0" t="n">
        <v>111</v>
      </c>
      <c r="L1760" s="0" t="s">
        <v>2262</v>
      </c>
      <c r="N1760" s="0" t="n">
        <v>10</v>
      </c>
      <c r="O1760" s="60" t="n">
        <v>90</v>
      </c>
    </row>
    <row r="1761" customFormat="false" ht="15" hidden="false" customHeight="false" outlineLevel="0" collapsed="false">
      <c r="A1761" s="0" t="n">
        <v>3</v>
      </c>
      <c r="B1761" s="59" t="n">
        <v>46227</v>
      </c>
      <c r="C1761" s="0" t="n">
        <v>6</v>
      </c>
      <c r="D1761" s="0" t="s">
        <v>2125</v>
      </c>
      <c r="E1761" s="0" t="n">
        <v>42</v>
      </c>
      <c r="F1761" s="0" t="s">
        <v>81</v>
      </c>
      <c r="I1761" s="0" t="n">
        <v>4420</v>
      </c>
      <c r="J1761" s="0" t="n">
        <v>100113</v>
      </c>
      <c r="K1761" s="0" t="n">
        <v>114</v>
      </c>
      <c r="L1761" s="0" t="s">
        <v>2264</v>
      </c>
      <c r="N1761" s="0" t="n">
        <v>20</v>
      </c>
      <c r="O1761" s="60" t="n">
        <v>80</v>
      </c>
    </row>
    <row r="1762" customFormat="false" ht="15" hidden="false" customHeight="false" outlineLevel="0" collapsed="false">
      <c r="A1762" s="0" t="n">
        <v>3</v>
      </c>
      <c r="B1762" s="59" t="n">
        <v>46227</v>
      </c>
      <c r="C1762" s="0" t="n">
        <v>6</v>
      </c>
      <c r="D1762" s="0" t="s">
        <v>2125</v>
      </c>
      <c r="E1762" s="0" t="n">
        <v>42</v>
      </c>
      <c r="F1762" s="0" t="s">
        <v>81</v>
      </c>
      <c r="I1762" s="0" t="n">
        <v>4420</v>
      </c>
      <c r="J1762" s="0" t="n">
        <v>100115</v>
      </c>
      <c r="K1762" s="0" t="n">
        <v>116</v>
      </c>
      <c r="L1762" s="0" t="s">
        <v>2265</v>
      </c>
      <c r="N1762" s="0" t="n">
        <v>15</v>
      </c>
      <c r="O1762" s="60" t="n">
        <v>135</v>
      </c>
    </row>
    <row r="1763" customFormat="false" ht="15" hidden="false" customHeight="false" outlineLevel="0" collapsed="false">
      <c r="A1763" s="0" t="n">
        <v>3</v>
      </c>
      <c r="B1763" s="59" t="n">
        <v>46227</v>
      </c>
      <c r="C1763" s="0" t="n">
        <v>6</v>
      </c>
      <c r="D1763" s="0" t="s">
        <v>2125</v>
      </c>
      <c r="E1763" s="0" t="n">
        <v>42</v>
      </c>
      <c r="F1763" s="0" t="s">
        <v>81</v>
      </c>
      <c r="I1763" s="0" t="n">
        <v>4420</v>
      </c>
      <c r="J1763" s="0" t="n">
        <v>100116</v>
      </c>
      <c r="K1763" s="0" t="n">
        <v>117</v>
      </c>
      <c r="L1763" s="0" t="s">
        <v>2266</v>
      </c>
      <c r="N1763" s="0" t="n">
        <v>4</v>
      </c>
      <c r="O1763" s="60" t="n">
        <v>40</v>
      </c>
    </row>
    <row r="1764" customFormat="false" ht="15" hidden="false" customHeight="false" outlineLevel="0" collapsed="false">
      <c r="A1764" s="0" t="n">
        <v>3</v>
      </c>
      <c r="B1764" s="59" t="n">
        <v>46227</v>
      </c>
      <c r="C1764" s="0" t="n">
        <v>6</v>
      </c>
      <c r="D1764" s="0" t="s">
        <v>2125</v>
      </c>
      <c r="E1764" s="0" t="n">
        <v>42</v>
      </c>
      <c r="F1764" s="0" t="s">
        <v>81</v>
      </c>
      <c r="I1764" s="0" t="n">
        <v>4420</v>
      </c>
      <c r="J1764" s="0" t="n">
        <v>100118</v>
      </c>
      <c r="K1764" s="0" t="n">
        <v>119</v>
      </c>
      <c r="L1764" s="0" t="s">
        <v>2267</v>
      </c>
      <c r="N1764" s="0" t="n">
        <v>10</v>
      </c>
      <c r="O1764" s="60" t="n">
        <v>70</v>
      </c>
    </row>
    <row r="1765" customFormat="false" ht="15" hidden="false" customHeight="false" outlineLevel="0" collapsed="false">
      <c r="A1765" s="0" t="n">
        <v>3</v>
      </c>
      <c r="B1765" s="59" t="n">
        <v>46227</v>
      </c>
      <c r="C1765" s="0" t="n">
        <v>6</v>
      </c>
      <c r="D1765" s="0" t="s">
        <v>2125</v>
      </c>
      <c r="E1765" s="0" t="n">
        <v>42</v>
      </c>
      <c r="F1765" s="0" t="s">
        <v>81</v>
      </c>
      <c r="I1765" s="0" t="n">
        <v>4420</v>
      </c>
      <c r="J1765" s="0" t="n">
        <v>100121</v>
      </c>
      <c r="K1765" s="0" t="n">
        <v>122</v>
      </c>
      <c r="L1765" s="0" t="s">
        <v>2422</v>
      </c>
      <c r="N1765" s="0" t="n">
        <v>10</v>
      </c>
      <c r="O1765" s="60" t="n">
        <v>100</v>
      </c>
    </row>
    <row r="1766" customFormat="false" ht="15" hidden="false" customHeight="false" outlineLevel="0" collapsed="false">
      <c r="A1766" s="0" t="n">
        <v>3</v>
      </c>
      <c r="B1766" s="59" t="n">
        <v>46227</v>
      </c>
      <c r="C1766" s="0" t="n">
        <v>6</v>
      </c>
      <c r="D1766" s="0" t="s">
        <v>2125</v>
      </c>
      <c r="E1766" s="0" t="n">
        <v>42</v>
      </c>
      <c r="F1766" s="0" t="s">
        <v>81</v>
      </c>
      <c r="I1766" s="0" t="n">
        <v>4420</v>
      </c>
      <c r="J1766" s="0" t="n">
        <v>100124</v>
      </c>
      <c r="K1766" s="0" t="n">
        <v>125</v>
      </c>
      <c r="L1766" s="0" t="s">
        <v>2269</v>
      </c>
      <c r="N1766" s="0" t="n">
        <v>13.5</v>
      </c>
      <c r="O1766" s="60" t="n">
        <v>121.5</v>
      </c>
    </row>
    <row r="1767" customFormat="false" ht="15" hidden="false" customHeight="false" outlineLevel="0" collapsed="false">
      <c r="A1767" s="0" t="n">
        <v>3</v>
      </c>
      <c r="B1767" s="59" t="n">
        <v>46227</v>
      </c>
      <c r="C1767" s="0" t="n">
        <v>6</v>
      </c>
      <c r="D1767" s="0" t="s">
        <v>2125</v>
      </c>
      <c r="E1767" s="0" t="n">
        <v>42</v>
      </c>
      <c r="F1767" s="0" t="s">
        <v>81</v>
      </c>
      <c r="I1767" s="0" t="n">
        <v>4420</v>
      </c>
      <c r="J1767" s="0" t="n">
        <v>100125</v>
      </c>
      <c r="K1767" s="0" t="n">
        <v>126</v>
      </c>
      <c r="L1767" s="0" t="s">
        <v>2424</v>
      </c>
      <c r="N1767" s="0" t="n">
        <v>40</v>
      </c>
      <c r="O1767" s="60" t="n">
        <v>260</v>
      </c>
    </row>
    <row r="1768" customFormat="false" ht="15" hidden="false" customHeight="false" outlineLevel="0" collapsed="false">
      <c r="A1768" s="0" t="n">
        <v>3</v>
      </c>
      <c r="B1768" s="59" t="n">
        <v>46227</v>
      </c>
      <c r="C1768" s="0" t="n">
        <v>6</v>
      </c>
      <c r="D1768" s="0" t="s">
        <v>2125</v>
      </c>
      <c r="E1768" s="0" t="n">
        <v>42</v>
      </c>
      <c r="F1768" s="0" t="s">
        <v>81</v>
      </c>
      <c r="I1768" s="0" t="n">
        <v>4420</v>
      </c>
      <c r="J1768" s="0" t="n">
        <v>100130</v>
      </c>
      <c r="K1768" s="0" t="n">
        <v>131</v>
      </c>
      <c r="L1768" s="0" t="s">
        <v>2621</v>
      </c>
      <c r="N1768" s="0" t="n">
        <v>10</v>
      </c>
      <c r="O1768" s="60" t="n">
        <v>80</v>
      </c>
    </row>
    <row r="1769" customFormat="false" ht="15" hidden="false" customHeight="false" outlineLevel="0" collapsed="false">
      <c r="A1769" s="0" t="n">
        <v>3</v>
      </c>
      <c r="B1769" s="59" t="n">
        <v>46227</v>
      </c>
      <c r="C1769" s="0" t="n">
        <v>6</v>
      </c>
      <c r="D1769" s="0" t="s">
        <v>2125</v>
      </c>
      <c r="E1769" s="0" t="n">
        <v>42</v>
      </c>
      <c r="F1769" s="0" t="s">
        <v>81</v>
      </c>
      <c r="I1769" s="0" t="n">
        <v>4420</v>
      </c>
      <c r="J1769" s="0" t="n">
        <v>100132</v>
      </c>
      <c r="K1769" s="0" t="n">
        <v>133</v>
      </c>
      <c r="L1769" s="0" t="s">
        <v>2270</v>
      </c>
      <c r="N1769" s="0" t="n">
        <v>126</v>
      </c>
      <c r="O1769" s="60" t="n">
        <v>297</v>
      </c>
    </row>
    <row r="1770" customFormat="false" ht="15" hidden="false" customHeight="false" outlineLevel="0" collapsed="false">
      <c r="A1770" s="0" t="n">
        <v>3</v>
      </c>
      <c r="B1770" s="59" t="n">
        <v>46227</v>
      </c>
      <c r="C1770" s="0" t="n">
        <v>6</v>
      </c>
      <c r="D1770" s="0" t="s">
        <v>2125</v>
      </c>
      <c r="E1770" s="0" t="n">
        <v>42</v>
      </c>
      <c r="F1770" s="0" t="s">
        <v>81</v>
      </c>
      <c r="I1770" s="0" t="n">
        <v>4420</v>
      </c>
      <c r="J1770" s="0" t="n">
        <v>100133</v>
      </c>
      <c r="K1770" s="0" t="n">
        <v>134</v>
      </c>
      <c r="L1770" s="0" t="s">
        <v>2271</v>
      </c>
      <c r="N1770" s="0" t="n">
        <v>10</v>
      </c>
      <c r="O1770" s="60" t="n">
        <v>60</v>
      </c>
    </row>
    <row r="1771" customFormat="false" ht="15" hidden="false" customHeight="false" outlineLevel="0" collapsed="false">
      <c r="A1771" s="0" t="n">
        <v>3</v>
      </c>
      <c r="B1771" s="59" t="n">
        <v>46227</v>
      </c>
      <c r="C1771" s="0" t="n">
        <v>6</v>
      </c>
      <c r="D1771" s="0" t="s">
        <v>2125</v>
      </c>
      <c r="E1771" s="0" t="n">
        <v>42</v>
      </c>
      <c r="F1771" s="0" t="s">
        <v>81</v>
      </c>
      <c r="I1771" s="0" t="n">
        <v>4420</v>
      </c>
      <c r="J1771" s="0" t="n">
        <v>100148</v>
      </c>
      <c r="K1771" s="0" t="n">
        <v>149</v>
      </c>
      <c r="L1771" s="0" t="s">
        <v>2272</v>
      </c>
      <c r="N1771" s="0" t="n">
        <v>5.8</v>
      </c>
      <c r="O1771" s="60" t="n">
        <v>69.5</v>
      </c>
    </row>
    <row r="1772" customFormat="false" ht="15" hidden="false" customHeight="false" outlineLevel="0" collapsed="false">
      <c r="A1772" s="0" t="n">
        <v>3</v>
      </c>
      <c r="B1772" s="59" t="n">
        <v>46227</v>
      </c>
      <c r="C1772" s="0" t="n">
        <v>6</v>
      </c>
      <c r="D1772" s="0" t="s">
        <v>2125</v>
      </c>
      <c r="E1772" s="0" t="n">
        <v>42</v>
      </c>
      <c r="F1772" s="0" t="s">
        <v>81</v>
      </c>
      <c r="I1772" s="0" t="n">
        <v>4420</v>
      </c>
      <c r="J1772" s="0" t="n">
        <v>110142</v>
      </c>
      <c r="K1772" s="0" t="n">
        <v>16699</v>
      </c>
      <c r="L1772" s="0" t="s">
        <v>2273</v>
      </c>
      <c r="N1772" s="0" t="n">
        <v>20</v>
      </c>
      <c r="O1772" s="60" t="n">
        <v>120</v>
      </c>
    </row>
    <row r="1773" customFormat="false" ht="15" hidden="false" customHeight="false" outlineLevel="0" collapsed="false">
      <c r="A1773" s="0" t="n">
        <v>3</v>
      </c>
      <c r="B1773" s="59" t="n">
        <v>46227</v>
      </c>
      <c r="C1773" s="0" t="n">
        <v>6</v>
      </c>
      <c r="D1773" s="0" t="s">
        <v>2125</v>
      </c>
      <c r="E1773" s="0" t="n">
        <v>42</v>
      </c>
      <c r="F1773" s="0" t="s">
        <v>81</v>
      </c>
      <c r="I1773" s="0" t="n">
        <v>4420</v>
      </c>
      <c r="J1773" s="0" t="n">
        <v>110265</v>
      </c>
      <c r="K1773" s="0" t="n">
        <v>41346</v>
      </c>
      <c r="L1773" s="0" t="s">
        <v>3007</v>
      </c>
      <c r="N1773" s="0" t="n">
        <v>5.6</v>
      </c>
      <c r="O1773" s="60" t="n">
        <v>78</v>
      </c>
    </row>
    <row r="1774" customFormat="false" ht="15" hidden="false" customHeight="false" outlineLevel="0" collapsed="false">
      <c r="A1774" s="0" t="n">
        <v>3</v>
      </c>
      <c r="B1774" s="59" t="n">
        <v>46227</v>
      </c>
      <c r="C1774" s="0" t="n">
        <v>11</v>
      </c>
      <c r="D1774" s="0" t="s">
        <v>2126</v>
      </c>
      <c r="E1774" s="0" t="n">
        <v>10096</v>
      </c>
      <c r="F1774" s="0" t="s">
        <v>1235</v>
      </c>
      <c r="I1774" s="0" t="n">
        <v>73</v>
      </c>
      <c r="J1774" s="0" t="n">
        <v>61580</v>
      </c>
      <c r="K1774" s="0" t="n">
        <v>2258157</v>
      </c>
      <c r="L1774" s="0" t="s">
        <v>3008</v>
      </c>
      <c r="N1774" s="0" t="n">
        <v>20</v>
      </c>
      <c r="O1774" s="60" t="n">
        <v>240</v>
      </c>
    </row>
    <row r="1775" customFormat="false" ht="15" hidden="false" customHeight="false" outlineLevel="0" collapsed="false">
      <c r="A1775" s="0" t="n">
        <v>3</v>
      </c>
      <c r="B1775" s="59" t="n">
        <v>46227</v>
      </c>
      <c r="C1775" s="0" t="n">
        <v>11</v>
      </c>
      <c r="D1775" s="0" t="s">
        <v>2126</v>
      </c>
      <c r="E1775" s="0" t="n">
        <v>10061</v>
      </c>
      <c r="F1775" s="0" t="s">
        <v>467</v>
      </c>
      <c r="I1775" s="0" t="n">
        <v>1133</v>
      </c>
      <c r="J1775" s="0" t="n">
        <v>18846</v>
      </c>
      <c r="K1775" s="0" t="n">
        <v>7898332870056</v>
      </c>
      <c r="L1775" s="0" t="s">
        <v>2650</v>
      </c>
      <c r="N1775" s="0" t="n">
        <v>15</v>
      </c>
      <c r="O1775" s="60" t="n">
        <v>52.5</v>
      </c>
    </row>
    <row r="1776" customFormat="false" ht="15" hidden="false" customHeight="false" outlineLevel="0" collapsed="false">
      <c r="A1776" s="0" t="n">
        <v>3</v>
      </c>
      <c r="B1776" s="59" t="n">
        <v>46227</v>
      </c>
      <c r="C1776" s="0" t="n">
        <v>11</v>
      </c>
      <c r="D1776" s="0" t="s">
        <v>2126</v>
      </c>
      <c r="E1776" s="0" t="n">
        <v>10061</v>
      </c>
      <c r="F1776" s="0" t="s">
        <v>467</v>
      </c>
      <c r="I1776" s="0" t="n">
        <v>1133</v>
      </c>
      <c r="J1776" s="0" t="n">
        <v>31316</v>
      </c>
      <c r="K1776" s="0" t="n">
        <v>7898332870391</v>
      </c>
      <c r="L1776" s="0" t="s">
        <v>3009</v>
      </c>
      <c r="N1776" s="0" t="n">
        <v>24</v>
      </c>
      <c r="O1776" s="60" t="n">
        <v>48</v>
      </c>
    </row>
    <row r="1777" customFormat="false" ht="15" hidden="false" customHeight="false" outlineLevel="0" collapsed="false">
      <c r="A1777" s="0" t="n">
        <v>3</v>
      </c>
      <c r="B1777" s="59" t="n">
        <v>46227</v>
      </c>
      <c r="C1777" s="0" t="n">
        <v>11</v>
      </c>
      <c r="D1777" s="0" t="s">
        <v>2126</v>
      </c>
      <c r="E1777" s="0" t="n">
        <v>10061</v>
      </c>
      <c r="F1777" s="0" t="s">
        <v>467</v>
      </c>
      <c r="I1777" s="0" t="n">
        <v>1133</v>
      </c>
      <c r="J1777" s="0" t="n">
        <v>40257</v>
      </c>
      <c r="K1777" s="0" t="n">
        <v>7898332870438</v>
      </c>
      <c r="L1777" s="0" t="s">
        <v>2653</v>
      </c>
      <c r="N1777" s="0" t="n">
        <v>500</v>
      </c>
      <c r="O1777" s="60" t="n">
        <v>300</v>
      </c>
    </row>
    <row r="1778" customFormat="false" ht="15" hidden="false" customHeight="false" outlineLevel="0" collapsed="false">
      <c r="A1778" s="0" t="n">
        <v>3</v>
      </c>
      <c r="B1778" s="59" t="n">
        <v>46227</v>
      </c>
      <c r="C1778" s="0" t="n">
        <v>11</v>
      </c>
      <c r="D1778" s="0" t="s">
        <v>2126</v>
      </c>
      <c r="E1778" s="0" t="n">
        <v>10063</v>
      </c>
      <c r="F1778" s="0" t="s">
        <v>220</v>
      </c>
      <c r="I1778" s="0" t="n">
        <v>2587</v>
      </c>
      <c r="J1778" s="0" t="n">
        <v>100174</v>
      </c>
      <c r="K1778" s="0" t="n">
        <v>7898141930286</v>
      </c>
      <c r="L1778" s="0" t="s">
        <v>2250</v>
      </c>
      <c r="N1778" s="0" t="n">
        <v>1440</v>
      </c>
      <c r="O1778" s="60" t="n">
        <v>760</v>
      </c>
    </row>
    <row r="1779" customFormat="false" ht="15" hidden="false" customHeight="false" outlineLevel="0" collapsed="false">
      <c r="A1779" s="0" t="n">
        <v>3</v>
      </c>
      <c r="B1779" s="59" t="n">
        <v>46227</v>
      </c>
      <c r="C1779" s="0" t="n">
        <v>11</v>
      </c>
      <c r="D1779" s="0" t="s">
        <v>2126</v>
      </c>
      <c r="E1779" s="0" t="n">
        <v>10063</v>
      </c>
      <c r="F1779" s="0" t="s">
        <v>220</v>
      </c>
      <c r="I1779" s="0" t="n">
        <v>2587</v>
      </c>
      <c r="J1779" s="0" t="n">
        <v>100933</v>
      </c>
      <c r="K1779" s="0" t="n">
        <v>7896982100059</v>
      </c>
      <c r="L1779" s="0" t="s">
        <v>2251</v>
      </c>
      <c r="N1779" s="0" t="n">
        <v>2160</v>
      </c>
      <c r="O1779" s="60" t="n">
        <v>1110</v>
      </c>
    </row>
    <row r="1780" customFormat="false" ht="15" hidden="false" customHeight="false" outlineLevel="0" collapsed="false">
      <c r="A1780" s="0" t="n">
        <v>3</v>
      </c>
      <c r="B1780" s="59" t="n">
        <v>46227</v>
      </c>
      <c r="C1780" s="0" t="n">
        <v>11</v>
      </c>
      <c r="D1780" s="0" t="s">
        <v>2126</v>
      </c>
      <c r="E1780" s="0" t="n">
        <v>1615</v>
      </c>
      <c r="F1780" s="0" t="s">
        <v>131</v>
      </c>
      <c r="I1780" s="0" t="n">
        <v>14946</v>
      </c>
      <c r="J1780" s="0" t="n">
        <v>100114</v>
      </c>
      <c r="K1780" s="0" t="n">
        <v>115</v>
      </c>
      <c r="L1780" s="0" t="s">
        <v>2253</v>
      </c>
      <c r="N1780" s="0" t="n">
        <v>18</v>
      </c>
      <c r="O1780" s="60" t="n">
        <v>180</v>
      </c>
    </row>
    <row r="1781" customFormat="false" ht="15" hidden="false" customHeight="false" outlineLevel="0" collapsed="false">
      <c r="A1781" s="0" t="n">
        <v>3</v>
      </c>
      <c r="B1781" s="59" t="n">
        <v>46227</v>
      </c>
      <c r="C1781" s="0" t="n">
        <v>11</v>
      </c>
      <c r="D1781" s="0" t="s">
        <v>2126</v>
      </c>
      <c r="E1781" s="0" t="n">
        <v>1615</v>
      </c>
      <c r="F1781" s="0" t="s">
        <v>131</v>
      </c>
      <c r="I1781" s="0" t="n">
        <v>14946</v>
      </c>
      <c r="J1781" s="0" t="n">
        <v>37771</v>
      </c>
      <c r="K1781" s="0" t="n">
        <v>774574</v>
      </c>
      <c r="L1781" s="0" t="s">
        <v>2255</v>
      </c>
      <c r="N1781" s="0" t="n">
        <v>20</v>
      </c>
      <c r="O1781" s="60" t="n">
        <v>130</v>
      </c>
    </row>
    <row r="1782" customFormat="false" ht="15" hidden="false" customHeight="false" outlineLevel="0" collapsed="false">
      <c r="A1782" s="0" t="n">
        <v>3</v>
      </c>
      <c r="B1782" s="59" t="n">
        <v>46227</v>
      </c>
      <c r="C1782" s="0" t="n">
        <v>11</v>
      </c>
      <c r="D1782" s="0" t="s">
        <v>2126</v>
      </c>
      <c r="E1782" s="0" t="n">
        <v>1608</v>
      </c>
      <c r="F1782" s="0" t="s">
        <v>42</v>
      </c>
      <c r="I1782" s="0" t="n">
        <v>1699133</v>
      </c>
      <c r="J1782" s="0" t="n">
        <v>40020</v>
      </c>
      <c r="K1782" s="0" t="n">
        <v>7891132110216</v>
      </c>
      <c r="L1782" s="0" t="s">
        <v>3010</v>
      </c>
      <c r="N1782" s="0" t="n">
        <v>48</v>
      </c>
      <c r="O1782" s="60" t="n">
        <v>86.88</v>
      </c>
    </row>
    <row r="1783" customFormat="false" ht="15" hidden="false" customHeight="false" outlineLevel="0" collapsed="false">
      <c r="A1783" s="0" t="n">
        <v>3</v>
      </c>
      <c r="B1783" s="59" t="n">
        <v>46227</v>
      </c>
      <c r="C1783" s="0" t="n">
        <v>11</v>
      </c>
      <c r="D1783" s="0" t="s">
        <v>2126</v>
      </c>
      <c r="E1783" s="0" t="n">
        <v>1608</v>
      </c>
      <c r="F1783" s="0" t="s">
        <v>42</v>
      </c>
      <c r="I1783" s="0" t="n">
        <v>1699133</v>
      </c>
      <c r="J1783" s="0" t="n">
        <v>102476</v>
      </c>
      <c r="K1783" s="0" t="n">
        <v>7891132019021</v>
      </c>
      <c r="L1783" s="0" t="s">
        <v>3011</v>
      </c>
      <c r="N1783" s="0" t="n">
        <v>6</v>
      </c>
      <c r="O1783" s="60" t="n">
        <v>23.64</v>
      </c>
    </row>
    <row r="1784" customFormat="false" ht="15" hidden="false" customHeight="false" outlineLevel="0" collapsed="false">
      <c r="A1784" s="0" t="n">
        <v>3</v>
      </c>
      <c r="B1784" s="59" t="n">
        <v>46227</v>
      </c>
      <c r="C1784" s="0" t="n">
        <v>11</v>
      </c>
      <c r="D1784" s="0" t="s">
        <v>2126</v>
      </c>
      <c r="E1784" s="0" t="n">
        <v>1608</v>
      </c>
      <c r="F1784" s="0" t="s">
        <v>42</v>
      </c>
      <c r="I1784" s="0" t="n">
        <v>1699133</v>
      </c>
      <c r="J1784" s="0" t="n">
        <v>102477</v>
      </c>
      <c r="K1784" s="0" t="n">
        <v>7891132019038</v>
      </c>
      <c r="L1784" s="0" t="s">
        <v>3012</v>
      </c>
      <c r="N1784" s="0" t="n">
        <v>6</v>
      </c>
      <c r="O1784" s="60" t="n">
        <v>23.64</v>
      </c>
    </row>
    <row r="1785" customFormat="false" ht="15" hidden="false" customHeight="false" outlineLevel="0" collapsed="false">
      <c r="A1785" s="0" t="n">
        <v>3</v>
      </c>
      <c r="B1785" s="59" t="n">
        <v>46227</v>
      </c>
      <c r="C1785" s="0" t="n">
        <v>11</v>
      </c>
      <c r="D1785" s="0" t="s">
        <v>2126</v>
      </c>
      <c r="E1785" s="0" t="n">
        <v>1608</v>
      </c>
      <c r="F1785" s="0" t="s">
        <v>42</v>
      </c>
      <c r="I1785" s="0" t="n">
        <v>1699133</v>
      </c>
      <c r="J1785" s="0" t="n">
        <v>102511</v>
      </c>
      <c r="K1785" s="0" t="n">
        <v>7891132012015</v>
      </c>
      <c r="L1785" s="0" t="s">
        <v>3013</v>
      </c>
      <c r="N1785" s="0" t="n">
        <v>6</v>
      </c>
      <c r="O1785" s="60" t="n">
        <v>32.04</v>
      </c>
    </row>
    <row r="1786" customFormat="false" ht="15" hidden="false" customHeight="false" outlineLevel="0" collapsed="false">
      <c r="A1786" s="0" t="n">
        <v>3</v>
      </c>
      <c r="B1786" s="59" t="n">
        <v>46227</v>
      </c>
      <c r="C1786" s="0" t="n">
        <v>11</v>
      </c>
      <c r="D1786" s="0" t="s">
        <v>2126</v>
      </c>
      <c r="E1786" s="0" t="n">
        <v>1608</v>
      </c>
      <c r="F1786" s="0" t="s">
        <v>42</v>
      </c>
      <c r="I1786" s="0" t="n">
        <v>1699133</v>
      </c>
      <c r="J1786" s="0" t="n">
        <v>102512</v>
      </c>
      <c r="K1786" s="0" t="n">
        <v>7891132019274</v>
      </c>
      <c r="L1786" s="0" t="s">
        <v>3014</v>
      </c>
      <c r="N1786" s="0" t="n">
        <v>48</v>
      </c>
      <c r="O1786" s="60" t="n">
        <v>201.6</v>
      </c>
    </row>
    <row r="1787" customFormat="false" ht="15" hidden="false" customHeight="false" outlineLevel="0" collapsed="false">
      <c r="A1787" s="0" t="n">
        <v>3</v>
      </c>
      <c r="B1787" s="59" t="n">
        <v>46227</v>
      </c>
      <c r="C1787" s="0" t="n">
        <v>11</v>
      </c>
      <c r="D1787" s="0" t="s">
        <v>2126</v>
      </c>
      <c r="E1787" s="0" t="n">
        <v>1608</v>
      </c>
      <c r="F1787" s="0" t="s">
        <v>42</v>
      </c>
      <c r="I1787" s="0" t="n">
        <v>1699133</v>
      </c>
      <c r="J1787" s="0" t="n">
        <v>102517</v>
      </c>
      <c r="K1787" s="0" t="n">
        <v>7891132019281</v>
      </c>
      <c r="L1787" s="0" t="s">
        <v>3015</v>
      </c>
      <c r="N1787" s="0" t="n">
        <v>48</v>
      </c>
      <c r="O1787" s="60" t="n">
        <v>201.6</v>
      </c>
    </row>
    <row r="1788" customFormat="false" ht="15" hidden="false" customHeight="false" outlineLevel="0" collapsed="false">
      <c r="A1788" s="0" t="n">
        <v>3</v>
      </c>
      <c r="B1788" s="59" t="n">
        <v>46227</v>
      </c>
      <c r="C1788" s="0" t="n">
        <v>11</v>
      </c>
      <c r="D1788" s="0" t="s">
        <v>2126</v>
      </c>
      <c r="E1788" s="0" t="n">
        <v>1608</v>
      </c>
      <c r="F1788" s="0" t="s">
        <v>42</v>
      </c>
      <c r="I1788" s="0" t="n">
        <v>1699133</v>
      </c>
      <c r="J1788" s="0" t="n">
        <v>102973</v>
      </c>
      <c r="K1788" s="0" t="n">
        <v>7896009728013</v>
      </c>
      <c r="L1788" s="0" t="s">
        <v>3016</v>
      </c>
      <c r="N1788" s="0" t="n">
        <v>1</v>
      </c>
      <c r="O1788" s="60" t="n">
        <v>5.43</v>
      </c>
    </row>
    <row r="1789" customFormat="false" ht="15" hidden="false" customHeight="false" outlineLevel="0" collapsed="false">
      <c r="A1789" s="0" t="n">
        <v>3</v>
      </c>
      <c r="B1789" s="59" t="n">
        <v>46227</v>
      </c>
      <c r="C1789" s="0" t="n">
        <v>11</v>
      </c>
      <c r="D1789" s="0" t="s">
        <v>2126</v>
      </c>
      <c r="E1789" s="0" t="n">
        <v>1608</v>
      </c>
      <c r="F1789" s="0" t="s">
        <v>42</v>
      </c>
      <c r="I1789" s="0" t="n">
        <v>1699133</v>
      </c>
      <c r="J1789" s="0" t="n">
        <v>109870</v>
      </c>
      <c r="K1789" s="0" t="n">
        <v>7891079011805</v>
      </c>
      <c r="L1789" s="0" t="s">
        <v>2749</v>
      </c>
      <c r="N1789" s="0" t="n">
        <v>300</v>
      </c>
      <c r="O1789" s="60" t="n">
        <v>471</v>
      </c>
    </row>
    <row r="1790" customFormat="false" ht="15" hidden="false" customHeight="false" outlineLevel="0" collapsed="false">
      <c r="A1790" s="0" t="n">
        <v>3</v>
      </c>
      <c r="B1790" s="59" t="n">
        <v>46227</v>
      </c>
      <c r="C1790" s="0" t="n">
        <v>11</v>
      </c>
      <c r="D1790" s="0" t="s">
        <v>2126</v>
      </c>
      <c r="E1790" s="0" t="n">
        <v>1608</v>
      </c>
      <c r="F1790" s="0" t="s">
        <v>42</v>
      </c>
      <c r="I1790" s="0" t="n">
        <v>1699133</v>
      </c>
      <c r="J1790" s="0" t="n">
        <v>10667</v>
      </c>
      <c r="K1790" s="0" t="n">
        <v>7891079011812</v>
      </c>
      <c r="L1790" s="0" t="s">
        <v>2751</v>
      </c>
      <c r="N1790" s="0" t="n">
        <v>200</v>
      </c>
      <c r="O1790" s="60" t="n">
        <v>314</v>
      </c>
    </row>
    <row r="1791" customFormat="false" ht="15" hidden="false" customHeight="false" outlineLevel="0" collapsed="false">
      <c r="A1791" s="0" t="n">
        <v>3</v>
      </c>
      <c r="B1791" s="59" t="n">
        <v>46227</v>
      </c>
      <c r="C1791" s="0" t="n">
        <v>11</v>
      </c>
      <c r="D1791" s="0" t="s">
        <v>2126</v>
      </c>
      <c r="E1791" s="0" t="n">
        <v>1608</v>
      </c>
      <c r="F1791" s="0" t="s">
        <v>42</v>
      </c>
      <c r="I1791" s="0" t="n">
        <v>1699133</v>
      </c>
      <c r="J1791" s="0" t="n">
        <v>19599</v>
      </c>
      <c r="K1791" s="0" t="n">
        <v>7891132010080</v>
      </c>
      <c r="L1791" s="0" t="s">
        <v>3017</v>
      </c>
      <c r="N1791" s="0" t="n">
        <v>3</v>
      </c>
      <c r="O1791" s="60" t="n">
        <v>8.16</v>
      </c>
    </row>
    <row r="1792" customFormat="false" ht="15" hidden="false" customHeight="false" outlineLevel="0" collapsed="false">
      <c r="A1792" s="0" t="n">
        <v>3</v>
      </c>
      <c r="B1792" s="59" t="n">
        <v>46227</v>
      </c>
      <c r="C1792" s="0" t="n">
        <v>11</v>
      </c>
      <c r="D1792" s="0" t="s">
        <v>2126</v>
      </c>
      <c r="E1792" s="0" t="n">
        <v>1608</v>
      </c>
      <c r="F1792" s="0" t="s">
        <v>42</v>
      </c>
      <c r="I1792" s="0" t="n">
        <v>1699133</v>
      </c>
      <c r="J1792" s="0" t="n">
        <v>20040</v>
      </c>
      <c r="K1792" s="0" t="n">
        <v>7891132008421</v>
      </c>
      <c r="L1792" s="0" t="s">
        <v>3018</v>
      </c>
      <c r="N1792" s="0" t="n">
        <v>12</v>
      </c>
      <c r="O1792" s="60" t="n">
        <v>34.92</v>
      </c>
    </row>
    <row r="1793" customFormat="false" ht="15" hidden="false" customHeight="false" outlineLevel="0" collapsed="false">
      <c r="A1793" s="0" t="n">
        <v>3</v>
      </c>
      <c r="B1793" s="59" t="n">
        <v>46227</v>
      </c>
      <c r="C1793" s="0" t="n">
        <v>11</v>
      </c>
      <c r="D1793" s="0" t="s">
        <v>2126</v>
      </c>
      <c r="E1793" s="0" t="n">
        <v>1608</v>
      </c>
      <c r="F1793" s="0" t="s">
        <v>42</v>
      </c>
      <c r="I1793" s="0" t="n">
        <v>1699133</v>
      </c>
      <c r="J1793" s="0" t="n">
        <v>20041</v>
      </c>
      <c r="K1793" s="0" t="n">
        <v>7891132008391</v>
      </c>
      <c r="L1793" s="0" t="s">
        <v>3019</v>
      </c>
      <c r="N1793" s="0" t="n">
        <v>12</v>
      </c>
      <c r="O1793" s="60" t="n">
        <v>33.48</v>
      </c>
    </row>
    <row r="1794" customFormat="false" ht="15" hidden="false" customHeight="false" outlineLevel="0" collapsed="false">
      <c r="A1794" s="0" t="n">
        <v>3</v>
      </c>
      <c r="B1794" s="59" t="n">
        <v>46227</v>
      </c>
      <c r="C1794" s="0" t="n">
        <v>11</v>
      </c>
      <c r="D1794" s="0" t="s">
        <v>2126</v>
      </c>
      <c r="E1794" s="0" t="n">
        <v>1608</v>
      </c>
      <c r="F1794" s="0" t="s">
        <v>42</v>
      </c>
      <c r="I1794" s="0" t="n">
        <v>1699133</v>
      </c>
      <c r="J1794" s="0" t="n">
        <v>28539</v>
      </c>
      <c r="K1794" s="0" t="n">
        <v>7891132082469</v>
      </c>
      <c r="L1794" s="0" t="s">
        <v>3020</v>
      </c>
      <c r="N1794" s="0" t="n">
        <v>45</v>
      </c>
      <c r="O1794" s="60" t="n">
        <v>30.24</v>
      </c>
    </row>
    <row r="1795" customFormat="false" ht="15" hidden="false" customHeight="false" outlineLevel="0" collapsed="false">
      <c r="A1795" s="0" t="n">
        <v>3</v>
      </c>
      <c r="B1795" s="59" t="n">
        <v>46227</v>
      </c>
      <c r="C1795" s="0" t="n">
        <v>11</v>
      </c>
      <c r="D1795" s="0" t="s">
        <v>2126</v>
      </c>
      <c r="E1795" s="0" t="n">
        <v>1608</v>
      </c>
      <c r="F1795" s="0" t="s">
        <v>42</v>
      </c>
      <c r="I1795" s="0" t="n">
        <v>1699133</v>
      </c>
      <c r="J1795" s="0" t="n">
        <v>28766</v>
      </c>
      <c r="K1795" s="0" t="n">
        <v>7891132083084</v>
      </c>
      <c r="L1795" s="0" t="s">
        <v>3021</v>
      </c>
      <c r="N1795" s="0" t="n">
        <v>120</v>
      </c>
      <c r="O1795" s="60" t="n">
        <v>80.64</v>
      </c>
    </row>
    <row r="1796" customFormat="false" ht="15" hidden="false" customHeight="false" outlineLevel="0" collapsed="false">
      <c r="A1796" s="0" t="n">
        <v>3</v>
      </c>
      <c r="B1796" s="59" t="n">
        <v>46227</v>
      </c>
      <c r="C1796" s="0" t="n">
        <v>11</v>
      </c>
      <c r="D1796" s="0" t="s">
        <v>2126</v>
      </c>
      <c r="E1796" s="0" t="n">
        <v>1608</v>
      </c>
      <c r="F1796" s="0" t="s">
        <v>42</v>
      </c>
      <c r="I1796" s="0" t="n">
        <v>1699133</v>
      </c>
      <c r="J1796" s="0" t="n">
        <v>30996</v>
      </c>
      <c r="K1796" s="0" t="n">
        <v>7891079013359</v>
      </c>
      <c r="L1796" s="0" t="s">
        <v>3022</v>
      </c>
      <c r="N1796" s="0" t="n">
        <v>50</v>
      </c>
      <c r="O1796" s="60" t="n">
        <v>78.5</v>
      </c>
    </row>
    <row r="1797" customFormat="false" ht="15" hidden="false" customHeight="false" outlineLevel="0" collapsed="false">
      <c r="A1797" s="0" t="n">
        <v>3</v>
      </c>
      <c r="B1797" s="59" t="n">
        <v>46227</v>
      </c>
      <c r="C1797" s="0" t="n">
        <v>11</v>
      </c>
      <c r="D1797" s="0" t="s">
        <v>2126</v>
      </c>
      <c r="E1797" s="0" t="n">
        <v>1608</v>
      </c>
      <c r="F1797" s="0" t="s">
        <v>42</v>
      </c>
      <c r="I1797" s="0" t="n">
        <v>1699133</v>
      </c>
      <c r="J1797" s="0" t="n">
        <v>31069</v>
      </c>
      <c r="K1797" s="0" t="n">
        <v>7891079013342</v>
      </c>
      <c r="L1797" s="0" t="s">
        <v>3023</v>
      </c>
      <c r="N1797" s="0" t="n">
        <v>50</v>
      </c>
      <c r="O1797" s="60" t="n">
        <v>78.5</v>
      </c>
    </row>
    <row r="1798" customFormat="false" ht="15" hidden="false" customHeight="false" outlineLevel="0" collapsed="false">
      <c r="A1798" s="0" t="n">
        <v>3</v>
      </c>
      <c r="B1798" s="59" t="n">
        <v>46227</v>
      </c>
      <c r="C1798" s="0" t="n">
        <v>11</v>
      </c>
      <c r="D1798" s="0" t="s">
        <v>2126</v>
      </c>
      <c r="E1798" s="0" t="n">
        <v>1608</v>
      </c>
      <c r="F1798" s="0" t="s">
        <v>42</v>
      </c>
      <c r="I1798" s="0" t="n">
        <v>1699133</v>
      </c>
      <c r="J1798" s="0" t="n">
        <v>35875</v>
      </c>
      <c r="K1798" s="0" t="n">
        <v>7891132082384</v>
      </c>
      <c r="L1798" s="0" t="s">
        <v>3024</v>
      </c>
      <c r="N1798" s="0" t="n">
        <v>120</v>
      </c>
      <c r="O1798" s="60" t="n">
        <v>80.64</v>
      </c>
    </row>
    <row r="1799" customFormat="false" ht="15" hidden="false" customHeight="false" outlineLevel="0" collapsed="false">
      <c r="A1799" s="0" t="n">
        <v>3</v>
      </c>
      <c r="B1799" s="59" t="n">
        <v>46227</v>
      </c>
      <c r="C1799" s="0" t="n">
        <v>11</v>
      </c>
      <c r="D1799" s="0" t="s">
        <v>2126</v>
      </c>
      <c r="E1799" s="0" t="n">
        <v>1608</v>
      </c>
      <c r="F1799" s="0" t="s">
        <v>42</v>
      </c>
      <c r="I1799" s="0" t="n">
        <v>1699133</v>
      </c>
      <c r="J1799" s="0" t="n">
        <v>35876</v>
      </c>
      <c r="K1799" s="0" t="n">
        <v>7891132082520</v>
      </c>
      <c r="L1799" s="0" t="s">
        <v>3025</v>
      </c>
      <c r="N1799" s="0" t="n">
        <v>120</v>
      </c>
      <c r="O1799" s="60" t="n">
        <v>80.64</v>
      </c>
    </row>
    <row r="1800" customFormat="false" ht="15" hidden="false" customHeight="false" outlineLevel="0" collapsed="false">
      <c r="A1800" s="0" t="n">
        <v>3</v>
      </c>
      <c r="B1800" s="59" t="n">
        <v>46227</v>
      </c>
      <c r="C1800" s="0" t="n">
        <v>11</v>
      </c>
      <c r="D1800" s="0" t="s">
        <v>2126</v>
      </c>
      <c r="E1800" s="0" t="n">
        <v>1608</v>
      </c>
      <c r="F1800" s="0" t="s">
        <v>42</v>
      </c>
      <c r="I1800" s="0" t="n">
        <v>1699133</v>
      </c>
      <c r="J1800" s="0" t="n">
        <v>35877</v>
      </c>
      <c r="K1800" s="0" t="n">
        <v>7891132082445</v>
      </c>
      <c r="L1800" s="0" t="s">
        <v>3026</v>
      </c>
      <c r="N1800" s="0" t="n">
        <v>90</v>
      </c>
      <c r="O1800" s="60" t="n">
        <v>60.48</v>
      </c>
    </row>
    <row r="1801" customFormat="false" ht="15" hidden="false" customHeight="false" outlineLevel="0" collapsed="false">
      <c r="A1801" s="0" t="n">
        <v>3</v>
      </c>
      <c r="B1801" s="59" t="n">
        <v>46227</v>
      </c>
      <c r="C1801" s="0" t="n">
        <v>11</v>
      </c>
      <c r="D1801" s="0" t="s">
        <v>2126</v>
      </c>
      <c r="E1801" s="0" t="n">
        <v>1608</v>
      </c>
      <c r="F1801" s="0" t="s">
        <v>42</v>
      </c>
      <c r="I1801" s="0" t="n">
        <v>1699133</v>
      </c>
      <c r="J1801" s="0" t="n">
        <v>36696</v>
      </c>
      <c r="K1801" s="0" t="n">
        <v>7891132082261</v>
      </c>
      <c r="L1801" s="0" t="s">
        <v>3027</v>
      </c>
      <c r="N1801" s="0" t="n">
        <v>240</v>
      </c>
      <c r="O1801" s="60" t="n">
        <v>161.28</v>
      </c>
    </row>
    <row r="1802" customFormat="false" ht="15" hidden="false" customHeight="false" outlineLevel="0" collapsed="false">
      <c r="A1802" s="0" t="n">
        <v>3</v>
      </c>
      <c r="B1802" s="59" t="n">
        <v>46227</v>
      </c>
      <c r="C1802" s="0" t="n">
        <v>11</v>
      </c>
      <c r="D1802" s="0" t="s">
        <v>2126</v>
      </c>
      <c r="E1802" s="0" t="n">
        <v>1608</v>
      </c>
      <c r="F1802" s="0" t="s">
        <v>42</v>
      </c>
      <c r="I1802" s="0" t="n">
        <v>1699133</v>
      </c>
      <c r="J1802" s="0" t="n">
        <v>36697</v>
      </c>
      <c r="K1802" s="0" t="n">
        <v>7891132082360</v>
      </c>
      <c r="L1802" s="0" t="s">
        <v>3028</v>
      </c>
      <c r="N1802" s="0" t="n">
        <v>120</v>
      </c>
      <c r="O1802" s="60" t="n">
        <v>80.64</v>
      </c>
    </row>
    <row r="1803" customFormat="false" ht="15" hidden="false" customHeight="false" outlineLevel="0" collapsed="false">
      <c r="A1803" s="0" t="n">
        <v>3</v>
      </c>
      <c r="B1803" s="59" t="n">
        <v>46227</v>
      </c>
      <c r="C1803" s="0" t="n">
        <v>11</v>
      </c>
      <c r="D1803" s="0" t="s">
        <v>2126</v>
      </c>
      <c r="E1803" s="0" t="n">
        <v>1608</v>
      </c>
      <c r="F1803" s="0" t="s">
        <v>42</v>
      </c>
      <c r="I1803" s="0" t="n">
        <v>1699133</v>
      </c>
      <c r="J1803" s="0" t="n">
        <v>36698</v>
      </c>
      <c r="K1803" s="0" t="n">
        <v>7891132082322</v>
      </c>
      <c r="L1803" s="0" t="s">
        <v>3029</v>
      </c>
      <c r="N1803" s="0" t="n">
        <v>90</v>
      </c>
      <c r="O1803" s="60" t="n">
        <v>60.48</v>
      </c>
    </row>
    <row r="1804" customFormat="false" ht="15" hidden="false" customHeight="false" outlineLevel="0" collapsed="false">
      <c r="A1804" s="0" t="n">
        <v>3</v>
      </c>
      <c r="B1804" s="59" t="n">
        <v>46227</v>
      </c>
      <c r="C1804" s="0" t="n">
        <v>11</v>
      </c>
      <c r="D1804" s="0" t="s">
        <v>2126</v>
      </c>
      <c r="E1804" s="0" t="n">
        <v>1608</v>
      </c>
      <c r="F1804" s="0" t="s">
        <v>42</v>
      </c>
      <c r="I1804" s="0" t="n">
        <v>1699133</v>
      </c>
      <c r="J1804" s="0" t="n">
        <v>36699</v>
      </c>
      <c r="K1804" s="0" t="n">
        <v>7891132082483</v>
      </c>
      <c r="L1804" s="0" t="s">
        <v>3030</v>
      </c>
      <c r="N1804" s="0" t="n">
        <v>60</v>
      </c>
      <c r="O1804" s="60" t="n">
        <v>40.32</v>
      </c>
    </row>
    <row r="1805" customFormat="false" ht="15" hidden="false" customHeight="false" outlineLevel="0" collapsed="false">
      <c r="A1805" s="0" t="n">
        <v>3</v>
      </c>
      <c r="B1805" s="59" t="n">
        <v>46227</v>
      </c>
      <c r="C1805" s="0" t="n">
        <v>11</v>
      </c>
      <c r="D1805" s="0" t="s">
        <v>2126</v>
      </c>
      <c r="E1805" s="0" t="n">
        <v>1608</v>
      </c>
      <c r="F1805" s="0" t="s">
        <v>42</v>
      </c>
      <c r="I1805" s="0" t="n">
        <v>1699133</v>
      </c>
      <c r="J1805" s="0" t="n">
        <v>36700</v>
      </c>
      <c r="K1805" s="0" t="n">
        <v>7891132082346</v>
      </c>
      <c r="L1805" s="0" t="s">
        <v>3031</v>
      </c>
      <c r="N1805" s="0" t="n">
        <v>120</v>
      </c>
      <c r="O1805" s="60" t="n">
        <v>80.64</v>
      </c>
    </row>
    <row r="1806" customFormat="false" ht="15" hidden="false" customHeight="false" outlineLevel="0" collapsed="false">
      <c r="A1806" s="0" t="n">
        <v>3</v>
      </c>
      <c r="B1806" s="59" t="n">
        <v>46227</v>
      </c>
      <c r="C1806" s="0" t="n">
        <v>11</v>
      </c>
      <c r="D1806" s="0" t="s">
        <v>2126</v>
      </c>
      <c r="E1806" s="0" t="n">
        <v>1608</v>
      </c>
      <c r="F1806" s="0" t="s">
        <v>42</v>
      </c>
      <c r="I1806" s="0" t="n">
        <v>1699133</v>
      </c>
      <c r="J1806" s="0" t="n">
        <v>36703</v>
      </c>
      <c r="K1806" s="0" t="n">
        <v>7891132082285</v>
      </c>
      <c r="L1806" s="0" t="s">
        <v>3032</v>
      </c>
      <c r="N1806" s="0" t="n">
        <v>30</v>
      </c>
      <c r="O1806" s="60" t="n">
        <v>20.16</v>
      </c>
    </row>
    <row r="1807" customFormat="false" ht="15" hidden="false" customHeight="false" outlineLevel="0" collapsed="false">
      <c r="A1807" s="0" t="n">
        <v>3</v>
      </c>
      <c r="B1807" s="59" t="n">
        <v>46227</v>
      </c>
      <c r="C1807" s="0" t="n">
        <v>11</v>
      </c>
      <c r="D1807" s="0" t="s">
        <v>2126</v>
      </c>
      <c r="E1807" s="0" t="n">
        <v>1608</v>
      </c>
      <c r="F1807" s="0" t="s">
        <v>42</v>
      </c>
      <c r="I1807" s="0" t="n">
        <v>1699133</v>
      </c>
      <c r="J1807" s="0" t="n">
        <v>38793</v>
      </c>
      <c r="K1807" s="0" t="n">
        <v>7891132083107</v>
      </c>
      <c r="L1807" s="0" t="s">
        <v>3033</v>
      </c>
      <c r="N1807" s="0" t="n">
        <v>60</v>
      </c>
      <c r="O1807" s="60" t="n">
        <v>40.32</v>
      </c>
    </row>
    <row r="1808" customFormat="false" ht="15" hidden="false" customHeight="false" outlineLevel="0" collapsed="false">
      <c r="A1808" s="0" t="n">
        <v>3</v>
      </c>
      <c r="B1808" s="59" t="n">
        <v>46227</v>
      </c>
      <c r="C1808" s="0" t="n">
        <v>11</v>
      </c>
      <c r="D1808" s="0" t="s">
        <v>2126</v>
      </c>
      <c r="E1808" s="0" t="n">
        <v>1608</v>
      </c>
      <c r="F1808" s="0" t="s">
        <v>42</v>
      </c>
      <c r="I1808" s="0" t="n">
        <v>1699133</v>
      </c>
      <c r="J1808" s="0" t="n">
        <v>42793</v>
      </c>
      <c r="K1808" s="0" t="n">
        <v>7891132110230</v>
      </c>
      <c r="L1808" s="0" t="s">
        <v>3034</v>
      </c>
      <c r="N1808" s="0" t="n">
        <v>48</v>
      </c>
      <c r="O1808" s="60" t="n">
        <v>86.88</v>
      </c>
    </row>
    <row r="1809" customFormat="false" ht="15" hidden="false" customHeight="false" outlineLevel="0" collapsed="false">
      <c r="A1809" s="0" t="n">
        <v>3</v>
      </c>
      <c r="B1809" s="59" t="n">
        <v>46227</v>
      </c>
      <c r="C1809" s="0" t="n">
        <v>171</v>
      </c>
      <c r="D1809" s="0" t="s">
        <v>2182</v>
      </c>
      <c r="E1809" s="0" t="n">
        <v>1955</v>
      </c>
      <c r="F1809" s="0" t="s">
        <v>2052</v>
      </c>
      <c r="I1809" s="0" t="n">
        <v>47281</v>
      </c>
      <c r="J1809" s="0" t="n">
        <v>45153</v>
      </c>
      <c r="K1809" s="0" t="n">
        <v>7899403713715</v>
      </c>
      <c r="L1809" s="0" t="s">
        <v>2412</v>
      </c>
      <c r="N1809" s="0" t="n">
        <v>30</v>
      </c>
      <c r="O1809" s="60" t="n">
        <v>29.55</v>
      </c>
    </row>
    <row r="1810" customFormat="false" ht="15" hidden="false" customHeight="false" outlineLevel="0" collapsed="false">
      <c r="A1810" s="0" t="n">
        <v>3</v>
      </c>
      <c r="B1810" s="59" t="n">
        <v>46227</v>
      </c>
      <c r="C1810" s="0" t="n">
        <v>171</v>
      </c>
      <c r="D1810" s="0" t="s">
        <v>2182</v>
      </c>
      <c r="E1810" s="0" t="n">
        <v>1955</v>
      </c>
      <c r="F1810" s="0" t="s">
        <v>2052</v>
      </c>
      <c r="I1810" s="0" t="n">
        <v>47281</v>
      </c>
      <c r="J1810" s="0" t="n">
        <v>45154</v>
      </c>
      <c r="K1810" s="0" t="n">
        <v>2246390</v>
      </c>
      <c r="L1810" s="0" t="s">
        <v>2413</v>
      </c>
      <c r="N1810" s="0" t="n">
        <v>95</v>
      </c>
      <c r="O1810" s="60" t="n">
        <v>93.24</v>
      </c>
    </row>
    <row r="1811" customFormat="false" ht="15" hidden="false" customHeight="false" outlineLevel="0" collapsed="false">
      <c r="A1811" s="0" t="n">
        <v>3</v>
      </c>
      <c r="B1811" s="59" t="n">
        <v>46227</v>
      </c>
      <c r="C1811" s="0" t="n">
        <v>171</v>
      </c>
      <c r="D1811" s="0" t="s">
        <v>2182</v>
      </c>
      <c r="E1811" s="0" t="n">
        <v>1955</v>
      </c>
      <c r="F1811" s="0" t="s">
        <v>2052</v>
      </c>
      <c r="I1811" s="0" t="n">
        <v>47281</v>
      </c>
      <c r="J1811" s="0" t="n">
        <v>45155</v>
      </c>
      <c r="K1811" s="0" t="n">
        <v>2246406</v>
      </c>
      <c r="L1811" s="0" t="s">
        <v>2414</v>
      </c>
      <c r="N1811" s="0" t="n">
        <v>20</v>
      </c>
      <c r="O1811" s="60" t="n">
        <v>19.7</v>
      </c>
    </row>
    <row r="1812" customFormat="false" ht="15" hidden="false" customHeight="false" outlineLevel="0" collapsed="false">
      <c r="A1812" s="0" t="n">
        <v>3</v>
      </c>
      <c r="B1812" s="59" t="n">
        <v>46228</v>
      </c>
      <c r="C1812" s="0" t="n">
        <v>1</v>
      </c>
      <c r="D1812" s="0" t="s">
        <v>2118</v>
      </c>
      <c r="E1812" s="0" t="n">
        <v>10043</v>
      </c>
      <c r="F1812" s="0" t="s">
        <v>113</v>
      </c>
      <c r="I1812" s="0" t="n">
        <v>806</v>
      </c>
      <c r="J1812" s="0" t="n">
        <v>52096</v>
      </c>
      <c r="K1812" s="0" t="n">
        <v>144315</v>
      </c>
      <c r="L1812" s="0" t="s">
        <v>2415</v>
      </c>
      <c r="N1812" s="0" t="n">
        <v>180</v>
      </c>
      <c r="O1812" s="60" t="n">
        <v>270</v>
      </c>
    </row>
    <row r="1813" customFormat="false" ht="15" hidden="false" customHeight="false" outlineLevel="0" collapsed="false">
      <c r="A1813" s="0" t="n">
        <v>3</v>
      </c>
      <c r="B1813" s="59" t="n">
        <v>46228</v>
      </c>
      <c r="C1813" s="0" t="n">
        <v>6</v>
      </c>
      <c r="D1813" s="0" t="s">
        <v>2125</v>
      </c>
      <c r="E1813" s="0" t="n">
        <v>42</v>
      </c>
      <c r="F1813" s="0" t="s">
        <v>81</v>
      </c>
      <c r="I1813" s="0" t="n">
        <v>4421</v>
      </c>
      <c r="J1813" s="0" t="n">
        <v>100103</v>
      </c>
      <c r="K1813" s="0" t="n">
        <v>104</v>
      </c>
      <c r="L1813" s="0" t="s">
        <v>2193</v>
      </c>
      <c r="N1813" s="0" t="n">
        <v>20</v>
      </c>
      <c r="O1813" s="60" t="n">
        <v>125</v>
      </c>
    </row>
    <row r="1814" customFormat="false" ht="15" hidden="false" customHeight="false" outlineLevel="0" collapsed="false">
      <c r="A1814" s="0" t="n">
        <v>3</v>
      </c>
      <c r="B1814" s="59" t="n">
        <v>46228</v>
      </c>
      <c r="C1814" s="0" t="n">
        <v>6</v>
      </c>
      <c r="D1814" s="0" t="s">
        <v>2125</v>
      </c>
      <c r="E1814" s="0" t="n">
        <v>42</v>
      </c>
      <c r="F1814" s="0" t="s">
        <v>81</v>
      </c>
      <c r="I1814" s="0" t="n">
        <v>4422</v>
      </c>
      <c r="J1814" s="0" t="n">
        <v>109791</v>
      </c>
      <c r="K1814" s="0" t="n">
        <v>9667</v>
      </c>
      <c r="L1814" s="0" t="s">
        <v>2123</v>
      </c>
      <c r="N1814" s="0" t="n">
        <v>14</v>
      </c>
      <c r="O1814" s="60" t="n">
        <v>35</v>
      </c>
    </row>
    <row r="1815" customFormat="false" ht="15" hidden="false" customHeight="false" outlineLevel="0" collapsed="false">
      <c r="A1815" s="0" t="n">
        <v>3</v>
      </c>
      <c r="B1815" s="59" t="n">
        <v>46228</v>
      </c>
      <c r="C1815" s="0" t="n">
        <v>6</v>
      </c>
      <c r="D1815" s="0" t="s">
        <v>2125</v>
      </c>
      <c r="E1815" s="0" t="n">
        <v>42</v>
      </c>
      <c r="F1815" s="0" t="s">
        <v>81</v>
      </c>
      <c r="I1815" s="0" t="n">
        <v>4422</v>
      </c>
      <c r="J1815" s="0" t="n">
        <v>37359</v>
      </c>
      <c r="K1815" s="0" t="n">
        <v>55526</v>
      </c>
      <c r="L1815" s="0" t="s">
        <v>2194</v>
      </c>
      <c r="N1815" s="0" t="n">
        <v>10</v>
      </c>
      <c r="O1815" s="60" t="n">
        <v>50</v>
      </c>
    </row>
    <row r="1816" customFormat="false" ht="15" hidden="false" customHeight="false" outlineLevel="0" collapsed="false">
      <c r="A1816" s="0" t="n">
        <v>3</v>
      </c>
      <c r="B1816" s="59" t="n">
        <v>46228</v>
      </c>
      <c r="C1816" s="0" t="n">
        <v>6</v>
      </c>
      <c r="D1816" s="0" t="s">
        <v>2125</v>
      </c>
      <c r="E1816" s="0" t="n">
        <v>42</v>
      </c>
      <c r="F1816" s="0" t="s">
        <v>81</v>
      </c>
      <c r="I1816" s="0" t="n">
        <v>4422</v>
      </c>
      <c r="J1816" s="0" t="n">
        <v>37361</v>
      </c>
      <c r="K1816" s="0" t="n">
        <v>2240817</v>
      </c>
      <c r="L1816" s="0" t="s">
        <v>2124</v>
      </c>
      <c r="N1816" s="0" t="n">
        <v>110</v>
      </c>
      <c r="O1816" s="60" t="n">
        <v>220</v>
      </c>
    </row>
    <row r="1817" customFormat="false" ht="15" hidden="false" customHeight="false" outlineLevel="0" collapsed="false">
      <c r="A1817" s="0" t="n">
        <v>3</v>
      </c>
      <c r="B1817" s="59" t="n">
        <v>46228</v>
      </c>
      <c r="C1817" s="0" t="n">
        <v>11</v>
      </c>
      <c r="D1817" s="0" t="s">
        <v>2126</v>
      </c>
      <c r="E1817" s="0" t="n">
        <v>1378</v>
      </c>
      <c r="F1817" s="0" t="s">
        <v>121</v>
      </c>
      <c r="I1817" s="0" t="n">
        <v>18359</v>
      </c>
      <c r="J1817" s="0" t="n">
        <v>74061</v>
      </c>
      <c r="K1817" s="0" t="n">
        <v>42882264255</v>
      </c>
      <c r="L1817" s="0" t="s">
        <v>2297</v>
      </c>
      <c r="N1817" s="0" t="n">
        <v>4</v>
      </c>
      <c r="O1817" s="60" t="n">
        <v>20.4</v>
      </c>
    </row>
    <row r="1818" customFormat="false" ht="15" hidden="false" customHeight="false" outlineLevel="0" collapsed="false">
      <c r="A1818" s="0" t="n">
        <v>3</v>
      </c>
      <c r="B1818" s="59" t="n">
        <v>46228</v>
      </c>
      <c r="C1818" s="0" t="n">
        <v>11</v>
      </c>
      <c r="D1818" s="0" t="s">
        <v>2126</v>
      </c>
      <c r="E1818" s="0" t="n">
        <v>1378</v>
      </c>
      <c r="F1818" s="0" t="s">
        <v>121</v>
      </c>
      <c r="I1818" s="0" t="n">
        <v>18359</v>
      </c>
      <c r="J1818" s="0" t="n">
        <v>74063</v>
      </c>
      <c r="K1818" s="0" t="n">
        <v>42882264262</v>
      </c>
      <c r="L1818" s="0" t="s">
        <v>2298</v>
      </c>
      <c r="N1818" s="0" t="n">
        <v>6</v>
      </c>
      <c r="O1818" s="60" t="n">
        <v>27</v>
      </c>
    </row>
    <row r="1819" customFormat="false" ht="15" hidden="false" customHeight="false" outlineLevel="0" collapsed="false">
      <c r="A1819" s="0" t="n">
        <v>3</v>
      </c>
      <c r="B1819" s="59" t="n">
        <v>46228</v>
      </c>
      <c r="C1819" s="0" t="n">
        <v>11</v>
      </c>
      <c r="D1819" s="0" t="s">
        <v>2126</v>
      </c>
      <c r="E1819" s="0" t="n">
        <v>1378</v>
      </c>
      <c r="F1819" s="0" t="s">
        <v>121</v>
      </c>
      <c r="I1819" s="0" t="n">
        <v>18359</v>
      </c>
      <c r="J1819" s="0" t="n">
        <v>74064</v>
      </c>
      <c r="K1819" s="0" t="n">
        <v>42882264279</v>
      </c>
      <c r="L1819" s="0" t="s">
        <v>2299</v>
      </c>
      <c r="N1819" s="0" t="n">
        <v>5</v>
      </c>
      <c r="O1819" s="60" t="n">
        <v>24</v>
      </c>
    </row>
    <row r="1820" customFormat="false" ht="15" hidden="false" customHeight="false" outlineLevel="0" collapsed="false">
      <c r="A1820" s="0" t="n">
        <v>3</v>
      </c>
      <c r="B1820" s="59" t="n">
        <v>46228</v>
      </c>
      <c r="C1820" s="0" t="n">
        <v>11</v>
      </c>
      <c r="D1820" s="0" t="s">
        <v>2126</v>
      </c>
      <c r="E1820" s="0" t="n">
        <v>1378</v>
      </c>
      <c r="F1820" s="0" t="s">
        <v>121</v>
      </c>
      <c r="I1820" s="0" t="n">
        <v>18359</v>
      </c>
      <c r="J1820" s="0" t="n">
        <v>77994</v>
      </c>
      <c r="K1820" s="0" t="n">
        <v>780117</v>
      </c>
      <c r="L1820" s="0" t="s">
        <v>2301</v>
      </c>
      <c r="N1820" s="0" t="n">
        <v>22</v>
      </c>
      <c r="O1820" s="60" t="n">
        <v>127.6</v>
      </c>
    </row>
    <row r="1821" customFormat="false" ht="15" hidden="false" customHeight="false" outlineLevel="0" collapsed="false">
      <c r="A1821" s="0" t="n">
        <v>3</v>
      </c>
      <c r="B1821" s="59" t="n">
        <v>46228</v>
      </c>
      <c r="C1821" s="0" t="n">
        <v>11</v>
      </c>
      <c r="D1821" s="0" t="s">
        <v>2126</v>
      </c>
      <c r="E1821" s="0" t="n">
        <v>1695</v>
      </c>
      <c r="F1821" s="0" t="s">
        <v>271</v>
      </c>
      <c r="I1821" s="0" t="n">
        <v>19453</v>
      </c>
      <c r="J1821" s="0" t="n">
        <v>101947</v>
      </c>
      <c r="K1821" s="0" t="n">
        <v>7891079001028</v>
      </c>
      <c r="L1821" s="0" t="s">
        <v>2742</v>
      </c>
      <c r="N1821" s="0" t="n">
        <v>50</v>
      </c>
      <c r="O1821" s="60" t="n">
        <v>117</v>
      </c>
    </row>
    <row r="1822" customFormat="false" ht="15" hidden="false" customHeight="false" outlineLevel="0" collapsed="false">
      <c r="A1822" s="0" t="n">
        <v>3</v>
      </c>
      <c r="B1822" s="59" t="n">
        <v>46228</v>
      </c>
      <c r="C1822" s="0" t="n">
        <v>11</v>
      </c>
      <c r="D1822" s="0" t="s">
        <v>2126</v>
      </c>
      <c r="E1822" s="0" t="n">
        <v>1695</v>
      </c>
      <c r="F1822" s="0" t="s">
        <v>271</v>
      </c>
      <c r="I1822" s="0" t="n">
        <v>19453</v>
      </c>
      <c r="J1822" s="0" t="n">
        <v>101949</v>
      </c>
      <c r="K1822" s="0" t="n">
        <v>7891079001004</v>
      </c>
      <c r="L1822" s="0" t="s">
        <v>2743</v>
      </c>
      <c r="N1822" s="0" t="n">
        <v>50</v>
      </c>
      <c r="O1822" s="60" t="n">
        <v>117</v>
      </c>
    </row>
    <row r="1823" customFormat="false" ht="15" hidden="false" customHeight="false" outlineLevel="0" collapsed="false">
      <c r="A1823" s="0" t="n">
        <v>3</v>
      </c>
      <c r="B1823" s="59" t="n">
        <v>46228</v>
      </c>
      <c r="C1823" s="0" t="n">
        <v>11</v>
      </c>
      <c r="D1823" s="0" t="s">
        <v>2126</v>
      </c>
      <c r="E1823" s="0" t="n">
        <v>1695</v>
      </c>
      <c r="F1823" s="0" t="s">
        <v>271</v>
      </c>
      <c r="I1823" s="0" t="n">
        <v>19453</v>
      </c>
      <c r="J1823" s="0" t="n">
        <v>101957</v>
      </c>
      <c r="K1823" s="0" t="n">
        <v>7891079000205</v>
      </c>
      <c r="L1823" s="0" t="s">
        <v>2744</v>
      </c>
      <c r="N1823" s="0" t="n">
        <v>50</v>
      </c>
      <c r="O1823" s="60" t="n">
        <v>113</v>
      </c>
    </row>
    <row r="1824" customFormat="false" ht="15" hidden="false" customHeight="false" outlineLevel="0" collapsed="false">
      <c r="A1824" s="0" t="n">
        <v>3</v>
      </c>
      <c r="B1824" s="59" t="n">
        <v>46228</v>
      </c>
      <c r="C1824" s="0" t="n">
        <v>11</v>
      </c>
      <c r="D1824" s="0" t="s">
        <v>2126</v>
      </c>
      <c r="E1824" s="0" t="n">
        <v>1695</v>
      </c>
      <c r="F1824" s="0" t="s">
        <v>271</v>
      </c>
      <c r="I1824" s="0" t="n">
        <v>19453</v>
      </c>
      <c r="J1824" s="0" t="n">
        <v>102290</v>
      </c>
      <c r="K1824" s="0" t="n">
        <v>7896593500019</v>
      </c>
      <c r="L1824" s="0" t="s">
        <v>2745</v>
      </c>
      <c r="N1824" s="0" t="n">
        <v>20</v>
      </c>
      <c r="O1824" s="60" t="n">
        <v>84.4</v>
      </c>
    </row>
    <row r="1825" customFormat="false" ht="15" hidden="false" customHeight="false" outlineLevel="0" collapsed="false">
      <c r="A1825" s="0" t="n">
        <v>3</v>
      </c>
      <c r="B1825" s="59" t="n">
        <v>46228</v>
      </c>
      <c r="C1825" s="0" t="n">
        <v>11</v>
      </c>
      <c r="D1825" s="0" t="s">
        <v>2126</v>
      </c>
      <c r="E1825" s="0" t="n">
        <v>1695</v>
      </c>
      <c r="F1825" s="0" t="s">
        <v>271</v>
      </c>
      <c r="I1825" s="0" t="n">
        <v>19453</v>
      </c>
      <c r="J1825" s="0" t="n">
        <v>102592</v>
      </c>
      <c r="K1825" s="0" t="n">
        <v>7891030003467</v>
      </c>
      <c r="L1825" s="0" t="s">
        <v>3035</v>
      </c>
      <c r="N1825" s="0" t="n">
        <v>108</v>
      </c>
      <c r="O1825" s="60" t="n">
        <v>288.36</v>
      </c>
    </row>
    <row r="1826" customFormat="false" ht="15" hidden="false" customHeight="false" outlineLevel="0" collapsed="false">
      <c r="A1826" s="0" t="n">
        <v>3</v>
      </c>
      <c r="B1826" s="59" t="n">
        <v>46228</v>
      </c>
      <c r="C1826" s="0" t="n">
        <v>11</v>
      </c>
      <c r="D1826" s="0" t="s">
        <v>2126</v>
      </c>
      <c r="E1826" s="0" t="n">
        <v>1695</v>
      </c>
      <c r="F1826" s="0" t="s">
        <v>271</v>
      </c>
      <c r="I1826" s="0" t="n">
        <v>19453</v>
      </c>
      <c r="J1826" s="0" t="n">
        <v>104073</v>
      </c>
      <c r="K1826" s="0" t="n">
        <v>7891107101621</v>
      </c>
      <c r="L1826" s="0" t="s">
        <v>2747</v>
      </c>
      <c r="N1826" s="0" t="n">
        <v>40</v>
      </c>
      <c r="O1826" s="60" t="n">
        <v>282</v>
      </c>
    </row>
    <row r="1827" customFormat="false" ht="15" hidden="false" customHeight="false" outlineLevel="0" collapsed="false">
      <c r="A1827" s="0" t="n">
        <v>3</v>
      </c>
      <c r="B1827" s="59" t="n">
        <v>46228</v>
      </c>
      <c r="C1827" s="0" t="n">
        <v>11</v>
      </c>
      <c r="D1827" s="0" t="s">
        <v>2126</v>
      </c>
      <c r="E1827" s="0" t="n">
        <v>1695</v>
      </c>
      <c r="F1827" s="0" t="s">
        <v>271</v>
      </c>
      <c r="I1827" s="0" t="n">
        <v>19453</v>
      </c>
      <c r="J1827" s="0" t="n">
        <v>104678</v>
      </c>
      <c r="K1827" s="0" t="n">
        <v>7898247780075</v>
      </c>
      <c r="L1827" s="0" t="s">
        <v>2748</v>
      </c>
      <c r="N1827" s="0" t="n">
        <v>40</v>
      </c>
      <c r="O1827" s="60" t="n">
        <v>282</v>
      </c>
    </row>
    <row r="1828" customFormat="false" ht="15" hidden="false" customHeight="false" outlineLevel="0" collapsed="false">
      <c r="A1828" s="0" t="n">
        <v>3</v>
      </c>
      <c r="B1828" s="59" t="n">
        <v>46228</v>
      </c>
      <c r="C1828" s="0" t="n">
        <v>11</v>
      </c>
      <c r="D1828" s="0" t="s">
        <v>2126</v>
      </c>
      <c r="E1828" s="0" t="n">
        <v>1695</v>
      </c>
      <c r="F1828" s="0" t="s">
        <v>271</v>
      </c>
      <c r="I1828" s="0" t="n">
        <v>19453</v>
      </c>
      <c r="J1828" s="0" t="n">
        <v>107754</v>
      </c>
      <c r="K1828" s="0" t="n">
        <v>7898366930351</v>
      </c>
      <c r="L1828" s="0" t="s">
        <v>3036</v>
      </c>
      <c r="N1828" s="0" t="n">
        <v>20</v>
      </c>
      <c r="O1828" s="60" t="n">
        <v>94.6</v>
      </c>
    </row>
    <row r="1829" customFormat="false" ht="15" hidden="false" customHeight="false" outlineLevel="0" collapsed="false">
      <c r="A1829" s="0" t="n">
        <v>3</v>
      </c>
      <c r="B1829" s="59" t="n">
        <v>46228</v>
      </c>
      <c r="C1829" s="0" t="n">
        <v>11</v>
      </c>
      <c r="D1829" s="0" t="s">
        <v>2126</v>
      </c>
      <c r="E1829" s="0" t="n">
        <v>1695</v>
      </c>
      <c r="F1829" s="0" t="s">
        <v>271</v>
      </c>
      <c r="I1829" s="0" t="n">
        <v>19453</v>
      </c>
      <c r="J1829" s="0" t="n">
        <v>109870</v>
      </c>
      <c r="K1829" s="0" t="n">
        <v>7891079011805</v>
      </c>
      <c r="L1829" s="0" t="s">
        <v>2749</v>
      </c>
      <c r="N1829" s="0" t="n">
        <v>100</v>
      </c>
      <c r="O1829" s="60" t="n">
        <v>144</v>
      </c>
    </row>
    <row r="1830" customFormat="false" ht="15" hidden="false" customHeight="false" outlineLevel="0" collapsed="false">
      <c r="A1830" s="0" t="n">
        <v>3</v>
      </c>
      <c r="B1830" s="59" t="n">
        <v>46228</v>
      </c>
      <c r="C1830" s="0" t="n">
        <v>11</v>
      </c>
      <c r="D1830" s="0" t="s">
        <v>2126</v>
      </c>
      <c r="E1830" s="0" t="n">
        <v>1695</v>
      </c>
      <c r="F1830" s="0" t="s">
        <v>271</v>
      </c>
      <c r="I1830" s="0" t="n">
        <v>19453</v>
      </c>
      <c r="J1830" s="0" t="n">
        <v>10469</v>
      </c>
      <c r="K1830" s="0" t="n">
        <v>7891079011829</v>
      </c>
      <c r="L1830" s="0" t="s">
        <v>2750</v>
      </c>
      <c r="N1830" s="0" t="n">
        <v>50</v>
      </c>
      <c r="O1830" s="60" t="n">
        <v>72</v>
      </c>
    </row>
    <row r="1831" customFormat="false" ht="15" hidden="false" customHeight="false" outlineLevel="0" collapsed="false">
      <c r="A1831" s="0" t="n">
        <v>3</v>
      </c>
      <c r="B1831" s="59" t="n">
        <v>46228</v>
      </c>
      <c r="C1831" s="0" t="n">
        <v>11</v>
      </c>
      <c r="D1831" s="0" t="s">
        <v>2126</v>
      </c>
      <c r="E1831" s="0" t="n">
        <v>1695</v>
      </c>
      <c r="F1831" s="0" t="s">
        <v>271</v>
      </c>
      <c r="I1831" s="0" t="n">
        <v>19453</v>
      </c>
      <c r="J1831" s="0" t="n">
        <v>10667</v>
      </c>
      <c r="K1831" s="0" t="n">
        <v>7891079011812</v>
      </c>
      <c r="L1831" s="0" t="s">
        <v>2751</v>
      </c>
      <c r="N1831" s="0" t="n">
        <v>100</v>
      </c>
      <c r="O1831" s="60" t="n">
        <v>144</v>
      </c>
    </row>
    <row r="1832" customFormat="false" ht="15" hidden="false" customHeight="false" outlineLevel="0" collapsed="false">
      <c r="A1832" s="0" t="n">
        <v>3</v>
      </c>
      <c r="B1832" s="59" t="n">
        <v>46228</v>
      </c>
      <c r="C1832" s="0" t="n">
        <v>11</v>
      </c>
      <c r="D1832" s="0" t="s">
        <v>2126</v>
      </c>
      <c r="E1832" s="0" t="n">
        <v>1695</v>
      </c>
      <c r="F1832" s="0" t="s">
        <v>271</v>
      </c>
      <c r="I1832" s="0" t="n">
        <v>19453</v>
      </c>
      <c r="J1832" s="0" t="n">
        <v>15397</v>
      </c>
      <c r="K1832" s="0" t="n">
        <v>7898927045012</v>
      </c>
      <c r="L1832" s="0" t="s">
        <v>3037</v>
      </c>
      <c r="N1832" s="0" t="n">
        <v>45</v>
      </c>
      <c r="O1832" s="60" t="n">
        <v>151.2</v>
      </c>
    </row>
    <row r="1833" customFormat="false" ht="15" hidden="false" customHeight="false" outlineLevel="0" collapsed="false">
      <c r="A1833" s="0" t="n">
        <v>3</v>
      </c>
      <c r="B1833" s="59" t="n">
        <v>46228</v>
      </c>
      <c r="C1833" s="0" t="n">
        <v>11</v>
      </c>
      <c r="D1833" s="0" t="s">
        <v>2126</v>
      </c>
      <c r="E1833" s="0" t="n">
        <v>1695</v>
      </c>
      <c r="F1833" s="0" t="s">
        <v>271</v>
      </c>
      <c r="I1833" s="0" t="n">
        <v>19453</v>
      </c>
      <c r="J1833" s="0" t="n">
        <v>21655</v>
      </c>
      <c r="K1833" s="0" t="n">
        <v>7896102502763</v>
      </c>
      <c r="L1833" s="0" t="s">
        <v>3038</v>
      </c>
      <c r="N1833" s="0" t="n">
        <v>24</v>
      </c>
      <c r="O1833" s="60" t="n">
        <v>90.72</v>
      </c>
    </row>
    <row r="1834" customFormat="false" ht="15" hidden="false" customHeight="false" outlineLevel="0" collapsed="false">
      <c r="A1834" s="0" t="n">
        <v>3</v>
      </c>
      <c r="B1834" s="59" t="n">
        <v>46228</v>
      </c>
      <c r="C1834" s="0" t="n">
        <v>11</v>
      </c>
      <c r="D1834" s="0" t="s">
        <v>2126</v>
      </c>
      <c r="E1834" s="0" t="n">
        <v>1695</v>
      </c>
      <c r="F1834" s="0" t="s">
        <v>271</v>
      </c>
      <c r="I1834" s="0" t="n">
        <v>19453</v>
      </c>
      <c r="J1834" s="0" t="n">
        <v>22079</v>
      </c>
      <c r="K1834" s="0" t="n">
        <v>7896102502756</v>
      </c>
      <c r="L1834" s="0" t="s">
        <v>3039</v>
      </c>
      <c r="N1834" s="0" t="n">
        <v>24</v>
      </c>
      <c r="O1834" s="60" t="n">
        <v>133.44</v>
      </c>
    </row>
    <row r="1835" customFormat="false" ht="15" hidden="false" customHeight="false" outlineLevel="0" collapsed="false">
      <c r="A1835" s="0" t="n">
        <v>3</v>
      </c>
      <c r="B1835" s="59" t="n">
        <v>46228</v>
      </c>
      <c r="C1835" s="0" t="n">
        <v>11</v>
      </c>
      <c r="D1835" s="0" t="s">
        <v>2126</v>
      </c>
      <c r="E1835" s="0" t="n">
        <v>1695</v>
      </c>
      <c r="F1835" s="0" t="s">
        <v>271</v>
      </c>
      <c r="I1835" s="0" t="n">
        <v>19453</v>
      </c>
      <c r="J1835" s="0" t="n">
        <v>25964</v>
      </c>
      <c r="K1835" s="0" t="n">
        <v>7896763621858</v>
      </c>
      <c r="L1835" s="0" t="s">
        <v>2199</v>
      </c>
      <c r="N1835" s="0" t="n">
        <v>80</v>
      </c>
      <c r="O1835" s="60" t="n">
        <v>152</v>
      </c>
    </row>
    <row r="1836" customFormat="false" ht="15" hidden="false" customHeight="false" outlineLevel="0" collapsed="false">
      <c r="A1836" s="0" t="n">
        <v>3</v>
      </c>
      <c r="B1836" s="59" t="n">
        <v>46228</v>
      </c>
      <c r="C1836" s="0" t="n">
        <v>11</v>
      </c>
      <c r="D1836" s="0" t="s">
        <v>2126</v>
      </c>
      <c r="E1836" s="0" t="n">
        <v>1695</v>
      </c>
      <c r="F1836" s="0" t="s">
        <v>271</v>
      </c>
      <c r="I1836" s="0" t="n">
        <v>19453</v>
      </c>
      <c r="J1836" s="0" t="n">
        <v>29846</v>
      </c>
      <c r="K1836" s="0" t="n">
        <v>7891097102059</v>
      </c>
      <c r="L1836" s="0" t="s">
        <v>2200</v>
      </c>
      <c r="N1836" s="0" t="n">
        <v>50</v>
      </c>
      <c r="O1836" s="60" t="n">
        <v>574.5</v>
      </c>
    </row>
    <row r="1837" customFormat="false" ht="15" hidden="false" customHeight="false" outlineLevel="0" collapsed="false">
      <c r="A1837" s="0" t="n">
        <v>3</v>
      </c>
      <c r="B1837" s="59" t="n">
        <v>46228</v>
      </c>
      <c r="C1837" s="0" t="n">
        <v>11</v>
      </c>
      <c r="D1837" s="0" t="s">
        <v>2126</v>
      </c>
      <c r="E1837" s="0" t="n">
        <v>1695</v>
      </c>
      <c r="F1837" s="0" t="s">
        <v>271</v>
      </c>
      <c r="I1837" s="0" t="n">
        <v>19453</v>
      </c>
      <c r="J1837" s="0" t="n">
        <v>36969</v>
      </c>
      <c r="K1837" s="0" t="n">
        <v>7891000325858</v>
      </c>
      <c r="L1837" s="0" t="s">
        <v>2753</v>
      </c>
      <c r="N1837" s="0" t="n">
        <v>24</v>
      </c>
      <c r="O1837" s="60" t="n">
        <v>418.32</v>
      </c>
    </row>
    <row r="1838" customFormat="false" ht="15" hidden="false" customHeight="false" outlineLevel="0" collapsed="false">
      <c r="A1838" s="0" t="n">
        <v>3</v>
      </c>
      <c r="B1838" s="59" t="n">
        <v>46228</v>
      </c>
      <c r="C1838" s="0" t="n">
        <v>11</v>
      </c>
      <c r="D1838" s="0" t="s">
        <v>2126</v>
      </c>
      <c r="E1838" s="0" t="n">
        <v>1723</v>
      </c>
      <c r="F1838" s="0" t="s">
        <v>77</v>
      </c>
      <c r="I1838" s="0" t="n">
        <v>173728</v>
      </c>
      <c r="J1838" s="0" t="n">
        <v>29079</v>
      </c>
      <c r="K1838" s="0" t="n">
        <v>55515</v>
      </c>
      <c r="L1838" s="0" t="s">
        <v>2213</v>
      </c>
      <c r="N1838" s="0" t="n">
        <v>144.7</v>
      </c>
      <c r="O1838" s="60" t="n">
        <v>4630.4</v>
      </c>
    </row>
    <row r="1839" customFormat="false" ht="15" hidden="false" customHeight="false" outlineLevel="0" collapsed="false">
      <c r="A1839" s="0" t="n">
        <v>3</v>
      </c>
      <c r="B1839" s="59" t="n">
        <v>46228</v>
      </c>
      <c r="C1839" s="0" t="n">
        <v>11</v>
      </c>
      <c r="D1839" s="0" t="s">
        <v>2126</v>
      </c>
      <c r="E1839" s="0" t="n">
        <v>1723</v>
      </c>
      <c r="F1839" s="0" t="s">
        <v>77</v>
      </c>
      <c r="I1839" s="0" t="n">
        <v>173728</v>
      </c>
      <c r="J1839" s="0" t="n">
        <v>29080</v>
      </c>
      <c r="K1839" s="0" t="n">
        <v>55516</v>
      </c>
      <c r="L1839" s="0" t="s">
        <v>2137</v>
      </c>
      <c r="N1839" s="0" t="n">
        <v>121.7</v>
      </c>
      <c r="O1839" s="60" t="n">
        <v>2677.4</v>
      </c>
    </row>
    <row r="1840" customFormat="false" ht="15" hidden="false" customHeight="false" outlineLevel="0" collapsed="false">
      <c r="A1840" s="0" t="n">
        <v>3</v>
      </c>
      <c r="B1840" s="59" t="n">
        <v>46228</v>
      </c>
      <c r="C1840" s="0" t="n">
        <v>11</v>
      </c>
      <c r="D1840" s="0" t="s">
        <v>2126</v>
      </c>
      <c r="E1840" s="0" t="n">
        <v>1705</v>
      </c>
      <c r="F1840" s="0" t="s">
        <v>123</v>
      </c>
      <c r="I1840" s="0" t="n">
        <v>1220130</v>
      </c>
      <c r="J1840" s="0" t="n">
        <v>103139</v>
      </c>
      <c r="K1840" s="0" t="n">
        <v>7894900051759</v>
      </c>
      <c r="L1840" s="0" t="s">
        <v>2879</v>
      </c>
      <c r="N1840" s="0" t="n">
        <v>18</v>
      </c>
      <c r="O1840" s="60" t="n">
        <v>100.9</v>
      </c>
    </row>
    <row r="1841" customFormat="false" ht="15" hidden="false" customHeight="false" outlineLevel="0" collapsed="false">
      <c r="A1841" s="0" t="n">
        <v>3</v>
      </c>
      <c r="B1841" s="59" t="n">
        <v>46228</v>
      </c>
      <c r="C1841" s="0" t="n">
        <v>11</v>
      </c>
      <c r="D1841" s="0" t="s">
        <v>2126</v>
      </c>
      <c r="E1841" s="0" t="n">
        <v>1705</v>
      </c>
      <c r="F1841" s="0" t="s">
        <v>123</v>
      </c>
      <c r="I1841" s="0" t="n">
        <v>1220130</v>
      </c>
      <c r="J1841" s="0" t="n">
        <v>103140</v>
      </c>
      <c r="K1841" s="0" t="n">
        <v>7894900031751</v>
      </c>
      <c r="L1841" s="0" t="s">
        <v>2880</v>
      </c>
      <c r="N1841" s="0" t="n">
        <v>18</v>
      </c>
      <c r="O1841" s="60" t="n">
        <v>100.9</v>
      </c>
    </row>
    <row r="1842" customFormat="false" ht="15" hidden="false" customHeight="false" outlineLevel="0" collapsed="false">
      <c r="A1842" s="0" t="n">
        <v>3</v>
      </c>
      <c r="B1842" s="59" t="n">
        <v>46228</v>
      </c>
      <c r="C1842" s="0" t="n">
        <v>11</v>
      </c>
      <c r="D1842" s="0" t="s">
        <v>2126</v>
      </c>
      <c r="E1842" s="0" t="n">
        <v>1705</v>
      </c>
      <c r="F1842" s="0" t="s">
        <v>123</v>
      </c>
      <c r="I1842" s="0" t="n">
        <v>1220130</v>
      </c>
      <c r="J1842" s="0" t="n">
        <v>103158</v>
      </c>
      <c r="K1842" s="0" t="n">
        <v>7894900060010</v>
      </c>
      <c r="L1842" s="0" t="s">
        <v>3040</v>
      </c>
      <c r="N1842" s="0" t="n">
        <v>24</v>
      </c>
      <c r="O1842" s="60" t="n">
        <v>63.64</v>
      </c>
    </row>
    <row r="1843" customFormat="false" ht="15" hidden="false" customHeight="false" outlineLevel="0" collapsed="false">
      <c r="A1843" s="0" t="n">
        <v>3</v>
      </c>
      <c r="B1843" s="59" t="n">
        <v>46228</v>
      </c>
      <c r="C1843" s="0" t="n">
        <v>11</v>
      </c>
      <c r="D1843" s="0" t="s">
        <v>2126</v>
      </c>
      <c r="E1843" s="0" t="n">
        <v>1705</v>
      </c>
      <c r="F1843" s="0" t="s">
        <v>123</v>
      </c>
      <c r="I1843" s="0" t="n">
        <v>1220130</v>
      </c>
      <c r="J1843" s="0" t="n">
        <v>18192</v>
      </c>
      <c r="K1843" s="0" t="n">
        <v>7894900320015</v>
      </c>
      <c r="L1843" s="0" t="s">
        <v>3041</v>
      </c>
      <c r="N1843" s="0" t="n">
        <v>24</v>
      </c>
      <c r="O1843" s="60" t="n">
        <v>75.49</v>
      </c>
    </row>
    <row r="1844" customFormat="false" ht="15" hidden="false" customHeight="false" outlineLevel="0" collapsed="false">
      <c r="A1844" s="0" t="n">
        <v>3</v>
      </c>
      <c r="B1844" s="59" t="n">
        <v>46228</v>
      </c>
      <c r="C1844" s="0" t="n">
        <v>11</v>
      </c>
      <c r="D1844" s="0" t="s">
        <v>2126</v>
      </c>
      <c r="E1844" s="0" t="n">
        <v>1705</v>
      </c>
      <c r="F1844" s="0" t="s">
        <v>123</v>
      </c>
      <c r="I1844" s="0" t="n">
        <v>1220130</v>
      </c>
      <c r="J1844" s="0" t="n">
        <v>24324</v>
      </c>
      <c r="K1844" s="0" t="n">
        <v>70847022015</v>
      </c>
      <c r="L1844" s="0" t="s">
        <v>2565</v>
      </c>
      <c r="N1844" s="0" t="n">
        <v>48</v>
      </c>
      <c r="O1844" s="60" t="n">
        <v>403.11</v>
      </c>
    </row>
    <row r="1845" customFormat="false" ht="15" hidden="false" customHeight="false" outlineLevel="0" collapsed="false">
      <c r="A1845" s="0" t="n">
        <v>3</v>
      </c>
      <c r="B1845" s="59" t="n">
        <v>46228</v>
      </c>
      <c r="C1845" s="0" t="n">
        <v>11</v>
      </c>
      <c r="D1845" s="0" t="s">
        <v>2126</v>
      </c>
      <c r="E1845" s="0" t="n">
        <v>1705</v>
      </c>
      <c r="F1845" s="0" t="s">
        <v>123</v>
      </c>
      <c r="I1845" s="0" t="n">
        <v>1220130</v>
      </c>
      <c r="J1845" s="0" t="n">
        <v>27673</v>
      </c>
      <c r="K1845" s="0" t="n">
        <v>7894900701715</v>
      </c>
      <c r="L1845" s="0" t="s">
        <v>3042</v>
      </c>
      <c r="N1845" s="0" t="n">
        <v>36</v>
      </c>
      <c r="O1845" s="60" t="n">
        <v>195.63</v>
      </c>
    </row>
    <row r="1846" customFormat="false" ht="15" hidden="false" customHeight="false" outlineLevel="0" collapsed="false">
      <c r="A1846" s="0" t="n">
        <v>3</v>
      </c>
      <c r="B1846" s="59" t="n">
        <v>46228</v>
      </c>
      <c r="C1846" s="0" t="n">
        <v>11</v>
      </c>
      <c r="D1846" s="0" t="s">
        <v>2126</v>
      </c>
      <c r="E1846" s="0" t="n">
        <v>1705</v>
      </c>
      <c r="F1846" s="0" t="s">
        <v>123</v>
      </c>
      <c r="I1846" s="0" t="n">
        <v>1220130</v>
      </c>
      <c r="J1846" s="0" t="n">
        <v>29747</v>
      </c>
      <c r="K1846" s="0" t="n">
        <v>70847022305</v>
      </c>
      <c r="L1846" s="0" t="s">
        <v>2773</v>
      </c>
      <c r="N1846" s="0" t="n">
        <v>6</v>
      </c>
      <c r="O1846" s="60" t="n">
        <v>50.39</v>
      </c>
    </row>
    <row r="1847" customFormat="false" ht="15" hidden="false" customHeight="false" outlineLevel="0" collapsed="false">
      <c r="A1847" s="0" t="n">
        <v>3</v>
      </c>
      <c r="B1847" s="59" t="n">
        <v>46228</v>
      </c>
      <c r="C1847" s="0" t="n">
        <v>11</v>
      </c>
      <c r="D1847" s="0" t="s">
        <v>2126</v>
      </c>
      <c r="E1847" s="0" t="n">
        <v>1705</v>
      </c>
      <c r="F1847" s="0" t="s">
        <v>123</v>
      </c>
      <c r="I1847" s="0" t="n">
        <v>1220130</v>
      </c>
      <c r="J1847" s="0" t="n">
        <v>29748</v>
      </c>
      <c r="K1847" s="0" t="n">
        <v>70847033301</v>
      </c>
      <c r="L1847" s="0" t="s">
        <v>3043</v>
      </c>
      <c r="N1847" s="0" t="n">
        <v>6</v>
      </c>
      <c r="O1847" s="60" t="n">
        <v>50.39</v>
      </c>
    </row>
    <row r="1848" customFormat="false" ht="15" hidden="false" customHeight="false" outlineLevel="0" collapsed="false">
      <c r="A1848" s="0" t="n">
        <v>3</v>
      </c>
      <c r="B1848" s="59" t="n">
        <v>46228</v>
      </c>
      <c r="C1848" s="0" t="n">
        <v>11</v>
      </c>
      <c r="D1848" s="0" t="s">
        <v>2126</v>
      </c>
      <c r="E1848" s="0" t="n">
        <v>1705</v>
      </c>
      <c r="F1848" s="0" t="s">
        <v>123</v>
      </c>
      <c r="I1848" s="0" t="n">
        <v>1220130</v>
      </c>
      <c r="J1848" s="0" t="n">
        <v>29749</v>
      </c>
      <c r="K1848" s="0" t="n">
        <v>70847033929</v>
      </c>
      <c r="L1848" s="0" t="s">
        <v>2774</v>
      </c>
      <c r="N1848" s="0" t="n">
        <v>6</v>
      </c>
      <c r="O1848" s="60" t="n">
        <v>50.39</v>
      </c>
    </row>
    <row r="1849" customFormat="false" ht="15" hidden="false" customHeight="false" outlineLevel="0" collapsed="false">
      <c r="A1849" s="0" t="n">
        <v>3</v>
      </c>
      <c r="B1849" s="59" t="n">
        <v>46228</v>
      </c>
      <c r="C1849" s="0" t="n">
        <v>11</v>
      </c>
      <c r="D1849" s="0" t="s">
        <v>2126</v>
      </c>
      <c r="E1849" s="0" t="n">
        <v>1705</v>
      </c>
      <c r="F1849" s="0" t="s">
        <v>123</v>
      </c>
      <c r="I1849" s="0" t="n">
        <v>1220130</v>
      </c>
      <c r="J1849" s="0" t="n">
        <v>35357</v>
      </c>
      <c r="K1849" s="0" t="n">
        <v>7894900681017</v>
      </c>
      <c r="L1849" s="0" t="s">
        <v>3044</v>
      </c>
      <c r="N1849" s="0" t="n">
        <v>24</v>
      </c>
      <c r="O1849" s="60" t="n">
        <v>67.27</v>
      </c>
    </row>
    <row r="1850" customFormat="false" ht="15" hidden="false" customHeight="false" outlineLevel="0" collapsed="false">
      <c r="A1850" s="0" t="n">
        <v>3</v>
      </c>
      <c r="B1850" s="59" t="n">
        <v>46228</v>
      </c>
      <c r="C1850" s="0" t="n">
        <v>11</v>
      </c>
      <c r="D1850" s="0" t="s">
        <v>2126</v>
      </c>
      <c r="E1850" s="0" t="n">
        <v>1705</v>
      </c>
      <c r="F1850" s="0" t="s">
        <v>123</v>
      </c>
      <c r="I1850" s="0" t="n">
        <v>1220130</v>
      </c>
      <c r="J1850" s="0" t="n">
        <v>47082</v>
      </c>
      <c r="K1850" s="0" t="n">
        <v>1220000250031</v>
      </c>
      <c r="L1850" s="0" t="s">
        <v>3045</v>
      </c>
      <c r="N1850" s="0" t="n">
        <v>6</v>
      </c>
      <c r="O1850" s="60" t="n">
        <v>50.39</v>
      </c>
    </row>
    <row r="1851" customFormat="false" ht="15" hidden="false" customHeight="false" outlineLevel="0" collapsed="false">
      <c r="A1851" s="0" t="n">
        <v>3</v>
      </c>
      <c r="B1851" s="59" t="n">
        <v>46228</v>
      </c>
      <c r="C1851" s="0" t="n">
        <v>11</v>
      </c>
      <c r="D1851" s="0" t="s">
        <v>2126</v>
      </c>
      <c r="E1851" s="0" t="n">
        <v>1705</v>
      </c>
      <c r="F1851" s="0" t="s">
        <v>123</v>
      </c>
      <c r="I1851" s="0" t="n">
        <v>1220130</v>
      </c>
      <c r="J1851" s="0" t="n">
        <v>62378</v>
      </c>
      <c r="K1851" s="0" t="n">
        <v>7896045506934</v>
      </c>
      <c r="L1851" s="0" t="s">
        <v>2775</v>
      </c>
      <c r="N1851" s="0" t="n">
        <v>60</v>
      </c>
      <c r="O1851" s="60" t="n">
        <v>206.88</v>
      </c>
    </row>
    <row r="1852" customFormat="false" ht="15" hidden="false" customHeight="false" outlineLevel="0" collapsed="false">
      <c r="A1852" s="0" t="n">
        <v>3</v>
      </c>
      <c r="B1852" s="59" t="n">
        <v>46228</v>
      </c>
      <c r="C1852" s="0" t="n">
        <v>11</v>
      </c>
      <c r="D1852" s="0" t="s">
        <v>2126</v>
      </c>
      <c r="E1852" s="0" t="n">
        <v>1705</v>
      </c>
      <c r="F1852" s="0" t="s">
        <v>123</v>
      </c>
      <c r="I1852" s="0" t="n">
        <v>1220130</v>
      </c>
      <c r="J1852" s="0" t="n">
        <v>66038</v>
      </c>
      <c r="K1852" s="0" t="n">
        <v>7898938890076</v>
      </c>
      <c r="L1852" s="0" t="s">
        <v>2566</v>
      </c>
      <c r="N1852" s="0" t="n">
        <v>24</v>
      </c>
      <c r="O1852" s="60" t="n">
        <v>201.55</v>
      </c>
    </row>
    <row r="1853" customFormat="false" ht="15" hidden="false" customHeight="false" outlineLevel="0" collapsed="false">
      <c r="A1853" s="0" t="n">
        <v>3</v>
      </c>
      <c r="B1853" s="59" t="n">
        <v>46228</v>
      </c>
      <c r="C1853" s="0" t="n">
        <v>11</v>
      </c>
      <c r="D1853" s="0" t="s">
        <v>2126</v>
      </c>
      <c r="E1853" s="0" t="n">
        <v>1705</v>
      </c>
      <c r="F1853" s="0" t="s">
        <v>123</v>
      </c>
      <c r="I1853" s="0" t="n">
        <v>1220130</v>
      </c>
      <c r="J1853" s="0" t="n">
        <v>77914</v>
      </c>
      <c r="K1853" s="0" t="n">
        <v>7894900530001</v>
      </c>
      <c r="L1853" s="0" t="s">
        <v>2568</v>
      </c>
      <c r="N1853" s="0" t="n">
        <v>36</v>
      </c>
      <c r="O1853" s="60" t="n">
        <v>45</v>
      </c>
    </row>
    <row r="1854" customFormat="false" ht="15" hidden="false" customHeight="false" outlineLevel="0" collapsed="false">
      <c r="A1854" s="0" t="n">
        <v>3</v>
      </c>
      <c r="B1854" s="59" t="n">
        <v>46228</v>
      </c>
      <c r="C1854" s="0" t="n">
        <v>11</v>
      </c>
      <c r="D1854" s="0" t="s">
        <v>2126</v>
      </c>
      <c r="E1854" s="0" t="n">
        <v>10009</v>
      </c>
      <c r="F1854" s="0" t="s">
        <v>375</v>
      </c>
      <c r="I1854" s="0" t="n">
        <v>1431205</v>
      </c>
      <c r="J1854" s="0" t="n">
        <v>100211</v>
      </c>
      <c r="K1854" s="0" t="n">
        <v>212</v>
      </c>
      <c r="L1854" s="0" t="s">
        <v>3046</v>
      </c>
      <c r="N1854" s="0" t="n">
        <v>20</v>
      </c>
      <c r="O1854" s="60" t="n">
        <v>157.71</v>
      </c>
    </row>
    <row r="1855" customFormat="false" ht="15" hidden="false" customHeight="false" outlineLevel="0" collapsed="false">
      <c r="A1855" s="0" t="n">
        <v>3</v>
      </c>
      <c r="B1855" s="59" t="n">
        <v>46228</v>
      </c>
      <c r="C1855" s="0" t="n">
        <v>11</v>
      </c>
      <c r="D1855" s="0" t="s">
        <v>2126</v>
      </c>
      <c r="E1855" s="0" t="n">
        <v>10009</v>
      </c>
      <c r="F1855" s="0" t="s">
        <v>375</v>
      </c>
      <c r="I1855" s="0" t="n">
        <v>1431205</v>
      </c>
      <c r="J1855" s="0" t="n">
        <v>100436</v>
      </c>
      <c r="K1855" s="0" t="n">
        <v>307</v>
      </c>
      <c r="L1855" s="0" t="s">
        <v>3047</v>
      </c>
      <c r="N1855" s="0" t="n">
        <v>20</v>
      </c>
      <c r="O1855" s="60" t="n">
        <v>279.91</v>
      </c>
    </row>
    <row r="1856" customFormat="false" ht="15" hidden="false" customHeight="false" outlineLevel="0" collapsed="false">
      <c r="A1856" s="0" t="n">
        <v>3</v>
      </c>
      <c r="B1856" s="59" t="n">
        <v>46228</v>
      </c>
      <c r="C1856" s="0" t="n">
        <v>11</v>
      </c>
      <c r="D1856" s="0" t="s">
        <v>2126</v>
      </c>
      <c r="E1856" s="0" t="n">
        <v>10009</v>
      </c>
      <c r="F1856" s="0" t="s">
        <v>375</v>
      </c>
      <c r="I1856" s="0" t="n">
        <v>1431205</v>
      </c>
      <c r="J1856" s="0" t="n">
        <v>107341</v>
      </c>
      <c r="K1856" s="0" t="n">
        <v>7896015605193</v>
      </c>
      <c r="L1856" s="0" t="s">
        <v>3048</v>
      </c>
      <c r="N1856" s="0" t="n">
        <v>1</v>
      </c>
      <c r="O1856" s="60" t="n">
        <v>145.75</v>
      </c>
    </row>
    <row r="1857" customFormat="false" ht="15" hidden="false" customHeight="false" outlineLevel="0" collapsed="false">
      <c r="A1857" s="0" t="n">
        <v>3</v>
      </c>
      <c r="B1857" s="59" t="n">
        <v>46228</v>
      </c>
      <c r="C1857" s="0" t="n">
        <v>11</v>
      </c>
      <c r="D1857" s="0" t="s">
        <v>2126</v>
      </c>
      <c r="E1857" s="0" t="n">
        <v>10009</v>
      </c>
      <c r="F1857" s="0" t="s">
        <v>375</v>
      </c>
      <c r="I1857" s="0" t="n">
        <v>1431205</v>
      </c>
      <c r="J1857" s="0" t="n">
        <v>43040</v>
      </c>
      <c r="K1857" s="0" t="n">
        <v>7891000069455</v>
      </c>
      <c r="L1857" s="0" t="s">
        <v>3049</v>
      </c>
      <c r="N1857" s="0" t="n">
        <v>1</v>
      </c>
      <c r="O1857" s="60" t="n">
        <v>157.71</v>
      </c>
    </row>
    <row r="1858" customFormat="false" ht="15" hidden="false" customHeight="false" outlineLevel="0" collapsed="false">
      <c r="A1858" s="0" t="n">
        <v>3</v>
      </c>
      <c r="B1858" s="59" t="n">
        <v>46228</v>
      </c>
      <c r="C1858" s="0" t="n">
        <v>11</v>
      </c>
      <c r="D1858" s="0" t="s">
        <v>2126</v>
      </c>
      <c r="E1858" s="0" t="n">
        <v>1705</v>
      </c>
      <c r="F1858" s="0" t="s">
        <v>123</v>
      </c>
      <c r="I1858" s="0" t="n">
        <v>1954505</v>
      </c>
      <c r="J1858" s="0" t="n">
        <v>30188</v>
      </c>
      <c r="K1858" s="0" t="n">
        <v>78908901</v>
      </c>
      <c r="L1858" s="0" t="s">
        <v>3050</v>
      </c>
      <c r="N1858" s="0" t="n">
        <v>45</v>
      </c>
      <c r="O1858" s="60" t="n">
        <v>87.56</v>
      </c>
    </row>
    <row r="1859" customFormat="false" ht="15" hidden="false" customHeight="false" outlineLevel="0" collapsed="false">
      <c r="A1859" s="0" t="n">
        <v>3</v>
      </c>
      <c r="B1859" s="59" t="n">
        <v>46228</v>
      </c>
      <c r="C1859" s="0" t="n">
        <v>11</v>
      </c>
      <c r="D1859" s="0" t="s">
        <v>2126</v>
      </c>
      <c r="E1859" s="0" t="n">
        <v>1705</v>
      </c>
      <c r="F1859" s="0" t="s">
        <v>123</v>
      </c>
      <c r="I1859" s="0" t="n">
        <v>1954505</v>
      </c>
      <c r="J1859" s="0" t="n">
        <v>103159</v>
      </c>
      <c r="K1859" s="0" t="n">
        <v>7894900050011</v>
      </c>
      <c r="L1859" s="0" t="s">
        <v>2770</v>
      </c>
      <c r="N1859" s="0" t="n">
        <v>24</v>
      </c>
      <c r="O1859" s="60" t="n">
        <v>67.27</v>
      </c>
    </row>
    <row r="1860" customFormat="false" ht="15" hidden="false" customHeight="false" outlineLevel="0" collapsed="false">
      <c r="A1860" s="0" t="n">
        <v>3</v>
      </c>
      <c r="B1860" s="59" t="n">
        <v>46228</v>
      </c>
      <c r="C1860" s="0" t="n">
        <v>11</v>
      </c>
      <c r="D1860" s="0" t="s">
        <v>2126</v>
      </c>
      <c r="E1860" s="0" t="n">
        <v>1705</v>
      </c>
      <c r="F1860" s="0" t="s">
        <v>123</v>
      </c>
      <c r="I1860" s="0" t="n">
        <v>1954505</v>
      </c>
      <c r="J1860" s="0" t="n">
        <v>103161</v>
      </c>
      <c r="K1860" s="0" t="n">
        <v>7894900010015</v>
      </c>
      <c r="L1860" s="0" t="s">
        <v>2584</v>
      </c>
      <c r="N1860" s="0" t="n">
        <v>72</v>
      </c>
      <c r="O1860" s="60" t="n">
        <v>226.48</v>
      </c>
    </row>
    <row r="1861" customFormat="false" ht="15" hidden="false" customHeight="false" outlineLevel="0" collapsed="false">
      <c r="A1861" s="0" t="n">
        <v>3</v>
      </c>
      <c r="B1861" s="59" t="n">
        <v>46228</v>
      </c>
      <c r="C1861" s="0" t="n">
        <v>11</v>
      </c>
      <c r="D1861" s="0" t="s">
        <v>2126</v>
      </c>
      <c r="E1861" s="0" t="n">
        <v>1705</v>
      </c>
      <c r="F1861" s="0" t="s">
        <v>123</v>
      </c>
      <c r="I1861" s="0" t="n">
        <v>1954505</v>
      </c>
      <c r="J1861" s="0" t="n">
        <v>104051</v>
      </c>
      <c r="K1861" s="0" t="n">
        <v>7894900300017</v>
      </c>
      <c r="L1861" s="0" t="s">
        <v>3051</v>
      </c>
      <c r="N1861" s="0" t="n">
        <v>24</v>
      </c>
      <c r="O1861" s="60" t="n">
        <v>65.81</v>
      </c>
    </row>
    <row r="1862" customFormat="false" ht="15" hidden="false" customHeight="false" outlineLevel="0" collapsed="false">
      <c r="A1862" s="0" t="n">
        <v>3</v>
      </c>
      <c r="B1862" s="59" t="n">
        <v>46228</v>
      </c>
      <c r="C1862" s="0" t="n">
        <v>11</v>
      </c>
      <c r="D1862" s="0" t="s">
        <v>2126</v>
      </c>
      <c r="E1862" s="0" t="n">
        <v>1705</v>
      </c>
      <c r="F1862" s="0" t="s">
        <v>123</v>
      </c>
      <c r="I1862" s="0" t="n">
        <v>1954505</v>
      </c>
      <c r="J1862" s="0" t="n">
        <v>105323</v>
      </c>
      <c r="K1862" s="0" t="n">
        <v>7894900701753</v>
      </c>
      <c r="L1862" s="0" t="s">
        <v>2586</v>
      </c>
      <c r="N1862" s="0" t="n">
        <v>60</v>
      </c>
      <c r="O1862" s="60" t="n">
        <v>362.34</v>
      </c>
    </row>
    <row r="1863" customFormat="false" ht="15" hidden="false" customHeight="false" outlineLevel="0" collapsed="false">
      <c r="A1863" s="0" t="n">
        <v>3</v>
      </c>
      <c r="B1863" s="59" t="n">
        <v>46228</v>
      </c>
      <c r="C1863" s="0" t="n">
        <v>11</v>
      </c>
      <c r="D1863" s="0" t="s">
        <v>2126</v>
      </c>
      <c r="E1863" s="0" t="n">
        <v>1705</v>
      </c>
      <c r="F1863" s="0" t="s">
        <v>123</v>
      </c>
      <c r="I1863" s="0" t="n">
        <v>1954505</v>
      </c>
      <c r="J1863" s="0" t="n">
        <v>105631</v>
      </c>
      <c r="K1863" s="0" t="n">
        <v>7894900011609</v>
      </c>
      <c r="L1863" s="0" t="s">
        <v>2587</v>
      </c>
      <c r="N1863" s="0" t="n">
        <v>72</v>
      </c>
      <c r="O1863" s="60" t="n">
        <v>293.98</v>
      </c>
    </row>
    <row r="1864" customFormat="false" ht="15" hidden="false" customHeight="false" outlineLevel="0" collapsed="false">
      <c r="A1864" s="0" t="n">
        <v>3</v>
      </c>
      <c r="B1864" s="59" t="n">
        <v>46228</v>
      </c>
      <c r="C1864" s="0" t="n">
        <v>11</v>
      </c>
      <c r="D1864" s="0" t="s">
        <v>2126</v>
      </c>
      <c r="E1864" s="0" t="n">
        <v>1705</v>
      </c>
      <c r="F1864" s="0" t="s">
        <v>123</v>
      </c>
      <c r="I1864" s="0" t="n">
        <v>1954505</v>
      </c>
      <c r="J1864" s="0" t="n">
        <v>107100</v>
      </c>
      <c r="K1864" s="0" t="n">
        <v>7894900700015</v>
      </c>
      <c r="L1864" s="0" t="s">
        <v>2588</v>
      </c>
      <c r="N1864" s="0" t="n">
        <v>60</v>
      </c>
      <c r="O1864" s="60" t="n">
        <v>183.89</v>
      </c>
    </row>
    <row r="1865" customFormat="false" ht="15" hidden="false" customHeight="false" outlineLevel="0" collapsed="false">
      <c r="A1865" s="0" t="n">
        <v>3</v>
      </c>
      <c r="B1865" s="59" t="n">
        <v>46228</v>
      </c>
      <c r="C1865" s="0" t="n">
        <v>11</v>
      </c>
      <c r="D1865" s="0" t="s">
        <v>2126</v>
      </c>
      <c r="E1865" s="0" t="n">
        <v>1705</v>
      </c>
      <c r="F1865" s="0" t="s">
        <v>123</v>
      </c>
      <c r="I1865" s="0" t="n">
        <v>1954505</v>
      </c>
      <c r="J1865" s="0" t="n">
        <v>10830</v>
      </c>
      <c r="K1865" s="0" t="n">
        <v>7894900701517</v>
      </c>
      <c r="L1865" s="0" t="s">
        <v>2589</v>
      </c>
      <c r="N1865" s="0" t="n">
        <v>60</v>
      </c>
      <c r="O1865" s="60" t="n">
        <v>508.72</v>
      </c>
    </row>
    <row r="1866" customFormat="false" ht="15" hidden="false" customHeight="false" outlineLevel="0" collapsed="false">
      <c r="A1866" s="0" t="n">
        <v>3</v>
      </c>
      <c r="B1866" s="59" t="n">
        <v>46228</v>
      </c>
      <c r="C1866" s="0" t="n">
        <v>11</v>
      </c>
      <c r="D1866" s="0" t="s">
        <v>2126</v>
      </c>
      <c r="E1866" s="0" t="n">
        <v>1705</v>
      </c>
      <c r="F1866" s="0" t="s">
        <v>123</v>
      </c>
      <c r="I1866" s="0" t="n">
        <v>1954505</v>
      </c>
      <c r="J1866" s="0" t="n">
        <v>21426</v>
      </c>
      <c r="K1866" s="0" t="n">
        <v>7894900014211</v>
      </c>
      <c r="L1866" s="0" t="s">
        <v>2591</v>
      </c>
      <c r="N1866" s="0" t="n">
        <v>54</v>
      </c>
      <c r="O1866" s="60" t="n">
        <v>356.05</v>
      </c>
    </row>
    <row r="1867" customFormat="false" ht="15" hidden="false" customHeight="false" outlineLevel="0" collapsed="false">
      <c r="A1867" s="0" t="n">
        <v>3</v>
      </c>
      <c r="B1867" s="59" t="n">
        <v>46228</v>
      </c>
      <c r="C1867" s="0" t="n">
        <v>11</v>
      </c>
      <c r="D1867" s="0" t="s">
        <v>2126</v>
      </c>
      <c r="E1867" s="0" t="n">
        <v>1705</v>
      </c>
      <c r="F1867" s="0" t="s">
        <v>123</v>
      </c>
      <c r="I1867" s="0" t="n">
        <v>1954505</v>
      </c>
      <c r="J1867" s="0" t="n">
        <v>29509</v>
      </c>
      <c r="K1867" s="0" t="n">
        <v>78933873</v>
      </c>
      <c r="L1867" s="0" t="s">
        <v>2596</v>
      </c>
      <c r="N1867" s="0" t="n">
        <v>36</v>
      </c>
      <c r="O1867" s="60" t="n">
        <v>67.14</v>
      </c>
    </row>
    <row r="1868" customFormat="false" ht="15" hidden="false" customHeight="false" outlineLevel="0" collapsed="false">
      <c r="A1868" s="0" t="n">
        <v>3</v>
      </c>
      <c r="B1868" s="59" t="n">
        <v>46228</v>
      </c>
      <c r="C1868" s="0" t="n">
        <v>11</v>
      </c>
      <c r="D1868" s="0" t="s">
        <v>2126</v>
      </c>
      <c r="E1868" s="0" t="n">
        <v>1705</v>
      </c>
      <c r="F1868" s="0" t="s">
        <v>123</v>
      </c>
      <c r="I1868" s="0" t="n">
        <v>1954505</v>
      </c>
      <c r="J1868" s="0" t="n">
        <v>29614</v>
      </c>
      <c r="K1868" s="0" t="n">
        <v>7894900550030</v>
      </c>
      <c r="L1868" s="0" t="s">
        <v>3052</v>
      </c>
      <c r="N1868" s="0" t="n">
        <v>12</v>
      </c>
      <c r="O1868" s="60" t="n">
        <v>59.16</v>
      </c>
    </row>
    <row r="1869" customFormat="false" ht="15" hidden="false" customHeight="false" outlineLevel="0" collapsed="false">
      <c r="A1869" s="0" t="n">
        <v>3</v>
      </c>
      <c r="B1869" s="59" t="n">
        <v>46228</v>
      </c>
      <c r="C1869" s="0" t="n">
        <v>11</v>
      </c>
      <c r="D1869" s="0" t="s">
        <v>2126</v>
      </c>
      <c r="E1869" s="0" t="n">
        <v>1705</v>
      </c>
      <c r="F1869" s="0" t="s">
        <v>123</v>
      </c>
      <c r="I1869" s="0" t="n">
        <v>1954505</v>
      </c>
      <c r="J1869" s="0" t="n">
        <v>31367</v>
      </c>
      <c r="K1869" s="0" t="n">
        <v>7894900704211</v>
      </c>
      <c r="L1869" s="0" t="s">
        <v>2596</v>
      </c>
      <c r="N1869" s="0" t="n">
        <v>36</v>
      </c>
      <c r="O1869" s="60" t="n">
        <v>206.51</v>
      </c>
    </row>
    <row r="1870" customFormat="false" ht="15" hidden="false" customHeight="false" outlineLevel="0" collapsed="false">
      <c r="A1870" s="0" t="n">
        <v>3</v>
      </c>
      <c r="B1870" s="59" t="n">
        <v>46228</v>
      </c>
      <c r="C1870" s="0" t="n">
        <v>11</v>
      </c>
      <c r="D1870" s="0" t="s">
        <v>2126</v>
      </c>
      <c r="E1870" s="0" t="n">
        <v>1705</v>
      </c>
      <c r="F1870" s="0" t="s">
        <v>123</v>
      </c>
      <c r="I1870" s="0" t="n">
        <v>1954505</v>
      </c>
      <c r="J1870" s="0" t="n">
        <v>32339</v>
      </c>
      <c r="K1870" s="0" t="n">
        <v>7894900681000</v>
      </c>
      <c r="L1870" s="0" t="s">
        <v>2598</v>
      </c>
      <c r="N1870" s="0" t="n">
        <v>12</v>
      </c>
      <c r="O1870" s="60" t="n">
        <v>89.16</v>
      </c>
    </row>
    <row r="1871" customFormat="false" ht="15" hidden="false" customHeight="false" outlineLevel="0" collapsed="false">
      <c r="A1871" s="0" t="n">
        <v>3</v>
      </c>
      <c r="B1871" s="59" t="n">
        <v>46228</v>
      </c>
      <c r="C1871" s="0" t="n">
        <v>11</v>
      </c>
      <c r="D1871" s="0" t="s">
        <v>2126</v>
      </c>
      <c r="E1871" s="0" t="n">
        <v>1705</v>
      </c>
      <c r="F1871" s="0" t="s">
        <v>123</v>
      </c>
      <c r="I1871" s="0" t="n">
        <v>1954505</v>
      </c>
      <c r="J1871" s="0" t="n">
        <v>38060</v>
      </c>
      <c r="K1871" s="0" t="n">
        <v>7894900701609</v>
      </c>
      <c r="L1871" s="0" t="s">
        <v>2599</v>
      </c>
      <c r="N1871" s="0" t="n">
        <v>48</v>
      </c>
      <c r="O1871" s="60" t="n">
        <v>174.7</v>
      </c>
    </row>
    <row r="1872" customFormat="false" ht="15" hidden="false" customHeight="false" outlineLevel="0" collapsed="false">
      <c r="A1872" s="0" t="n">
        <v>3</v>
      </c>
      <c r="B1872" s="59" t="n">
        <v>46228</v>
      </c>
      <c r="C1872" s="0" t="n">
        <v>11</v>
      </c>
      <c r="D1872" s="0" t="s">
        <v>2126</v>
      </c>
      <c r="E1872" s="0" t="n">
        <v>1636</v>
      </c>
      <c r="F1872" s="0" t="s">
        <v>50</v>
      </c>
      <c r="I1872" s="0" t="n">
        <v>3223572</v>
      </c>
      <c r="J1872" s="0" t="n">
        <v>71370</v>
      </c>
      <c r="K1872" s="0" t="n">
        <v>7891150097544</v>
      </c>
      <c r="L1872" s="0" t="s">
        <v>2754</v>
      </c>
      <c r="N1872" s="0" t="n">
        <v>54</v>
      </c>
      <c r="O1872" s="60" t="n">
        <v>164.72</v>
      </c>
    </row>
    <row r="1873" customFormat="false" ht="15" hidden="false" customHeight="false" outlineLevel="0" collapsed="false">
      <c r="A1873" s="0" t="n">
        <v>3</v>
      </c>
      <c r="B1873" s="59" t="n">
        <v>46228</v>
      </c>
      <c r="C1873" s="0" t="n">
        <v>11</v>
      </c>
      <c r="D1873" s="0" t="s">
        <v>2126</v>
      </c>
      <c r="E1873" s="0" t="n">
        <v>1636</v>
      </c>
      <c r="F1873" s="0" t="s">
        <v>50</v>
      </c>
      <c r="I1873" s="0" t="n">
        <v>3223572</v>
      </c>
      <c r="J1873" s="0" t="n">
        <v>71371</v>
      </c>
      <c r="K1873" s="0" t="n">
        <v>7891150097582</v>
      </c>
      <c r="L1873" s="0" t="s">
        <v>3053</v>
      </c>
      <c r="N1873" s="0" t="n">
        <v>36</v>
      </c>
      <c r="O1873" s="60" t="n">
        <v>217.81</v>
      </c>
    </row>
    <row r="1874" customFormat="false" ht="15" hidden="false" customHeight="false" outlineLevel="0" collapsed="false">
      <c r="A1874" s="0" t="n">
        <v>3</v>
      </c>
      <c r="B1874" s="59" t="n">
        <v>46228</v>
      </c>
      <c r="C1874" s="0" t="n">
        <v>11</v>
      </c>
      <c r="D1874" s="0" t="s">
        <v>2126</v>
      </c>
      <c r="E1874" s="0" t="n">
        <v>1636</v>
      </c>
      <c r="F1874" s="0" t="s">
        <v>50</v>
      </c>
      <c r="I1874" s="0" t="n">
        <v>3223572</v>
      </c>
      <c r="J1874" s="0" t="n">
        <v>71372</v>
      </c>
      <c r="K1874" s="0" t="n">
        <v>7891150097612</v>
      </c>
      <c r="L1874" s="0" t="s">
        <v>3054</v>
      </c>
      <c r="N1874" s="0" t="n">
        <v>16</v>
      </c>
      <c r="O1874" s="60" t="n">
        <v>96.8</v>
      </c>
    </row>
    <row r="1875" customFormat="false" ht="15" hidden="false" customHeight="false" outlineLevel="0" collapsed="false">
      <c r="A1875" s="0" t="n">
        <v>3</v>
      </c>
      <c r="B1875" s="59" t="n">
        <v>46228</v>
      </c>
      <c r="C1875" s="0" t="n">
        <v>11</v>
      </c>
      <c r="D1875" s="0" t="s">
        <v>2126</v>
      </c>
      <c r="E1875" s="0" t="n">
        <v>1636</v>
      </c>
      <c r="F1875" s="0" t="s">
        <v>50</v>
      </c>
      <c r="I1875" s="0" t="n">
        <v>3223572</v>
      </c>
      <c r="J1875" s="0" t="n">
        <v>71624</v>
      </c>
      <c r="K1875" s="0" t="n">
        <v>7891150097568</v>
      </c>
      <c r="L1875" s="0" t="s">
        <v>2756</v>
      </c>
      <c r="N1875" s="0" t="n">
        <v>54</v>
      </c>
      <c r="O1875" s="60" t="n">
        <v>164.72</v>
      </c>
    </row>
    <row r="1876" customFormat="false" ht="15" hidden="false" customHeight="false" outlineLevel="0" collapsed="false">
      <c r="A1876" s="0" t="n">
        <v>3</v>
      </c>
      <c r="B1876" s="59" t="n">
        <v>46228</v>
      </c>
      <c r="C1876" s="0" t="n">
        <v>11</v>
      </c>
      <c r="D1876" s="0" t="s">
        <v>2126</v>
      </c>
      <c r="E1876" s="0" t="n">
        <v>1636</v>
      </c>
      <c r="F1876" s="0" t="s">
        <v>50</v>
      </c>
      <c r="I1876" s="0" t="n">
        <v>3223572</v>
      </c>
      <c r="J1876" s="0" t="n">
        <v>71625</v>
      </c>
      <c r="K1876" s="0" t="n">
        <v>7891150097537</v>
      </c>
      <c r="L1876" s="0" t="s">
        <v>3055</v>
      </c>
      <c r="N1876" s="0" t="n">
        <v>36</v>
      </c>
      <c r="O1876" s="60" t="n">
        <v>217.81</v>
      </c>
    </row>
    <row r="1877" customFormat="false" ht="15" hidden="false" customHeight="false" outlineLevel="0" collapsed="false">
      <c r="A1877" s="0" t="n">
        <v>3</v>
      </c>
      <c r="B1877" s="59" t="n">
        <v>46228</v>
      </c>
      <c r="C1877" s="0" t="n">
        <v>22</v>
      </c>
      <c r="D1877" s="0" t="s">
        <v>2172</v>
      </c>
      <c r="E1877" s="0" t="n">
        <v>42</v>
      </c>
      <c r="F1877" s="0" t="s">
        <v>81</v>
      </c>
      <c r="I1877" s="0" t="n">
        <v>4424</v>
      </c>
      <c r="J1877" s="0" t="n">
        <v>100000</v>
      </c>
      <c r="K1877" s="0" t="n">
        <v>1</v>
      </c>
      <c r="L1877" s="0" t="s">
        <v>2173</v>
      </c>
      <c r="N1877" s="0" t="n">
        <v>4.48</v>
      </c>
      <c r="O1877" s="60" t="n">
        <v>95.89</v>
      </c>
    </row>
    <row r="1878" customFormat="false" ht="15" hidden="false" customHeight="false" outlineLevel="0" collapsed="false">
      <c r="A1878" s="0" t="n">
        <v>3</v>
      </c>
      <c r="B1878" s="59" t="n">
        <v>46228</v>
      </c>
      <c r="C1878" s="0" t="n">
        <v>22</v>
      </c>
      <c r="D1878" s="0" t="s">
        <v>2172</v>
      </c>
      <c r="E1878" s="0" t="n">
        <v>42</v>
      </c>
      <c r="F1878" s="0" t="s">
        <v>81</v>
      </c>
      <c r="I1878" s="0" t="n">
        <v>4424</v>
      </c>
      <c r="J1878" s="0" t="n">
        <v>100000</v>
      </c>
      <c r="K1878" s="0" t="n">
        <v>1</v>
      </c>
      <c r="L1878" s="0" t="s">
        <v>2173</v>
      </c>
      <c r="N1878" s="0" t="n">
        <v>6.561</v>
      </c>
      <c r="O1878" s="60" t="n">
        <v>155.81</v>
      </c>
    </row>
    <row r="1879" customFormat="false" ht="15" hidden="false" customHeight="false" outlineLevel="0" collapsed="false">
      <c r="A1879" s="0" t="n">
        <v>3</v>
      </c>
      <c r="B1879" s="59" t="n">
        <v>46228</v>
      </c>
      <c r="C1879" s="0" t="n">
        <v>22</v>
      </c>
      <c r="D1879" s="0" t="s">
        <v>2172</v>
      </c>
      <c r="E1879" s="0" t="n">
        <v>42</v>
      </c>
      <c r="F1879" s="0" t="s">
        <v>81</v>
      </c>
      <c r="I1879" s="0" t="n">
        <v>4424</v>
      </c>
      <c r="J1879" s="0" t="n">
        <v>100001</v>
      </c>
      <c r="K1879" s="0" t="n">
        <v>2</v>
      </c>
      <c r="L1879" s="0" t="s">
        <v>2174</v>
      </c>
      <c r="N1879" s="0" t="n">
        <v>24.205</v>
      </c>
      <c r="O1879" s="60" t="n">
        <v>553.81</v>
      </c>
    </row>
    <row r="1880" customFormat="false" ht="15" hidden="false" customHeight="false" outlineLevel="0" collapsed="false">
      <c r="A1880" s="0" t="n">
        <v>3</v>
      </c>
      <c r="B1880" s="59" t="n">
        <v>46228</v>
      </c>
      <c r="C1880" s="0" t="n">
        <v>22</v>
      </c>
      <c r="D1880" s="0" t="s">
        <v>2172</v>
      </c>
      <c r="E1880" s="0" t="n">
        <v>42</v>
      </c>
      <c r="F1880" s="0" t="s">
        <v>81</v>
      </c>
      <c r="I1880" s="0" t="n">
        <v>4424</v>
      </c>
      <c r="J1880" s="0" t="n">
        <v>100002</v>
      </c>
      <c r="K1880" s="0" t="n">
        <v>3</v>
      </c>
      <c r="L1880" s="0" t="s">
        <v>2175</v>
      </c>
      <c r="N1880" s="0" t="n">
        <v>39.15</v>
      </c>
      <c r="O1880" s="60" t="n">
        <v>924.66</v>
      </c>
    </row>
    <row r="1881" customFormat="false" ht="15" hidden="false" customHeight="false" outlineLevel="0" collapsed="false">
      <c r="A1881" s="0" t="n">
        <v>3</v>
      </c>
      <c r="B1881" s="59" t="n">
        <v>46228</v>
      </c>
      <c r="C1881" s="0" t="n">
        <v>22</v>
      </c>
      <c r="D1881" s="0" t="s">
        <v>2172</v>
      </c>
      <c r="E1881" s="0" t="n">
        <v>42</v>
      </c>
      <c r="F1881" s="0" t="s">
        <v>81</v>
      </c>
      <c r="I1881" s="0" t="n">
        <v>4424</v>
      </c>
      <c r="J1881" s="0" t="n">
        <v>100003</v>
      </c>
      <c r="K1881" s="0" t="n">
        <v>4</v>
      </c>
      <c r="L1881" s="0" t="s">
        <v>2176</v>
      </c>
      <c r="N1881" s="0" t="n">
        <v>32.019</v>
      </c>
      <c r="O1881" s="60" t="n">
        <v>827.15</v>
      </c>
    </row>
    <row r="1882" customFormat="false" ht="15" hidden="false" customHeight="false" outlineLevel="0" collapsed="false">
      <c r="A1882" s="0" t="n">
        <v>3</v>
      </c>
      <c r="B1882" s="59" t="n">
        <v>46228</v>
      </c>
      <c r="C1882" s="0" t="n">
        <v>22</v>
      </c>
      <c r="D1882" s="0" t="s">
        <v>2172</v>
      </c>
      <c r="E1882" s="0" t="n">
        <v>42</v>
      </c>
      <c r="F1882" s="0" t="s">
        <v>81</v>
      </c>
      <c r="I1882" s="0" t="n">
        <v>4424</v>
      </c>
      <c r="J1882" s="0" t="n">
        <v>100006</v>
      </c>
      <c r="K1882" s="0" t="n">
        <v>7</v>
      </c>
      <c r="L1882" s="0" t="s">
        <v>2228</v>
      </c>
      <c r="N1882" s="0" t="n">
        <v>9.346</v>
      </c>
      <c r="O1882" s="60" t="n">
        <v>306.17</v>
      </c>
    </row>
    <row r="1883" customFormat="false" ht="15" hidden="false" customHeight="false" outlineLevel="0" collapsed="false">
      <c r="A1883" s="0" t="n">
        <v>3</v>
      </c>
      <c r="B1883" s="59" t="n">
        <v>46228</v>
      </c>
      <c r="C1883" s="0" t="n">
        <v>22</v>
      </c>
      <c r="D1883" s="0" t="s">
        <v>2172</v>
      </c>
      <c r="E1883" s="0" t="n">
        <v>42</v>
      </c>
      <c r="F1883" s="0" t="s">
        <v>81</v>
      </c>
      <c r="I1883" s="0" t="n">
        <v>4424</v>
      </c>
      <c r="J1883" s="0" t="n">
        <v>100007</v>
      </c>
      <c r="K1883" s="0" t="n">
        <v>8</v>
      </c>
      <c r="L1883" s="0" t="s">
        <v>2177</v>
      </c>
      <c r="N1883" s="0" t="n">
        <v>10.13</v>
      </c>
      <c r="O1883" s="60" t="n">
        <v>254.21</v>
      </c>
    </row>
    <row r="1884" customFormat="false" ht="15" hidden="false" customHeight="false" outlineLevel="0" collapsed="false">
      <c r="A1884" s="0" t="n">
        <v>3</v>
      </c>
      <c r="B1884" s="59" t="n">
        <v>46228</v>
      </c>
      <c r="C1884" s="0" t="n">
        <v>22</v>
      </c>
      <c r="D1884" s="0" t="s">
        <v>2172</v>
      </c>
      <c r="E1884" s="0" t="n">
        <v>42</v>
      </c>
      <c r="F1884" s="0" t="s">
        <v>81</v>
      </c>
      <c r="I1884" s="0" t="n">
        <v>4424</v>
      </c>
      <c r="J1884" s="0" t="n">
        <v>100008</v>
      </c>
      <c r="K1884" s="0" t="n">
        <v>9</v>
      </c>
      <c r="L1884" s="0" t="s">
        <v>2229</v>
      </c>
      <c r="N1884" s="0" t="n">
        <v>28.41</v>
      </c>
      <c r="O1884" s="60" t="n">
        <v>953.96</v>
      </c>
    </row>
    <row r="1885" customFormat="false" ht="15" hidden="false" customHeight="false" outlineLevel="0" collapsed="false">
      <c r="A1885" s="0" t="n">
        <v>3</v>
      </c>
      <c r="B1885" s="59" t="n">
        <v>46228</v>
      </c>
      <c r="C1885" s="0" t="n">
        <v>22</v>
      </c>
      <c r="D1885" s="0" t="s">
        <v>2172</v>
      </c>
      <c r="E1885" s="0" t="n">
        <v>42</v>
      </c>
      <c r="F1885" s="0" t="s">
        <v>81</v>
      </c>
      <c r="I1885" s="0" t="n">
        <v>4424</v>
      </c>
      <c r="J1885" s="0" t="n">
        <v>100010</v>
      </c>
      <c r="K1885" s="0" t="n">
        <v>11</v>
      </c>
      <c r="L1885" s="0" t="s">
        <v>2230</v>
      </c>
      <c r="N1885" s="0" t="n">
        <v>5.836</v>
      </c>
      <c r="O1885" s="60" t="n">
        <v>224.65</v>
      </c>
    </row>
    <row r="1886" customFormat="false" ht="15" hidden="false" customHeight="false" outlineLevel="0" collapsed="false">
      <c r="A1886" s="0" t="n">
        <v>3</v>
      </c>
      <c r="B1886" s="59" t="n">
        <v>46228</v>
      </c>
      <c r="C1886" s="0" t="n">
        <v>22</v>
      </c>
      <c r="D1886" s="0" t="s">
        <v>2172</v>
      </c>
      <c r="E1886" s="0" t="n">
        <v>42</v>
      </c>
      <c r="F1886" s="0" t="s">
        <v>81</v>
      </c>
      <c r="I1886" s="0" t="n">
        <v>4424</v>
      </c>
      <c r="J1886" s="0" t="n">
        <v>100011</v>
      </c>
      <c r="K1886" s="0" t="n">
        <v>12</v>
      </c>
      <c r="L1886" s="0" t="s">
        <v>2231</v>
      </c>
      <c r="N1886" s="0" t="n">
        <v>13.15</v>
      </c>
      <c r="O1886" s="60" t="n">
        <v>506.19</v>
      </c>
    </row>
    <row r="1887" customFormat="false" ht="15" hidden="false" customHeight="false" outlineLevel="0" collapsed="false">
      <c r="A1887" s="0" t="n">
        <v>3</v>
      </c>
      <c r="B1887" s="59" t="n">
        <v>46228</v>
      </c>
      <c r="C1887" s="0" t="n">
        <v>22</v>
      </c>
      <c r="D1887" s="0" t="s">
        <v>2172</v>
      </c>
      <c r="E1887" s="0" t="n">
        <v>42</v>
      </c>
      <c r="F1887" s="0" t="s">
        <v>81</v>
      </c>
      <c r="I1887" s="0" t="n">
        <v>4424</v>
      </c>
      <c r="J1887" s="0" t="n">
        <v>100012</v>
      </c>
      <c r="K1887" s="0" t="n">
        <v>13</v>
      </c>
      <c r="L1887" s="0" t="s">
        <v>2232</v>
      </c>
      <c r="N1887" s="0" t="n">
        <v>11.194</v>
      </c>
      <c r="O1887" s="60" t="n">
        <v>467.58</v>
      </c>
    </row>
    <row r="1888" customFormat="false" ht="15" hidden="false" customHeight="false" outlineLevel="0" collapsed="false">
      <c r="A1888" s="0" t="n">
        <v>3</v>
      </c>
      <c r="B1888" s="59" t="n">
        <v>46228</v>
      </c>
      <c r="C1888" s="0" t="n">
        <v>22</v>
      </c>
      <c r="D1888" s="0" t="s">
        <v>2172</v>
      </c>
      <c r="E1888" s="0" t="n">
        <v>42</v>
      </c>
      <c r="F1888" s="0" t="s">
        <v>81</v>
      </c>
      <c r="I1888" s="0" t="n">
        <v>4424</v>
      </c>
      <c r="J1888" s="0" t="n">
        <v>100013</v>
      </c>
      <c r="K1888" s="0" t="n">
        <v>14</v>
      </c>
      <c r="L1888" s="0" t="s">
        <v>2233</v>
      </c>
      <c r="N1888" s="0" t="n">
        <v>22.207</v>
      </c>
      <c r="O1888" s="60" t="n">
        <v>1000.36</v>
      </c>
    </row>
    <row r="1889" customFormat="false" ht="15" hidden="false" customHeight="false" outlineLevel="0" collapsed="false">
      <c r="A1889" s="0" t="n">
        <v>3</v>
      </c>
      <c r="B1889" s="59" t="n">
        <v>46228</v>
      </c>
      <c r="C1889" s="0" t="n">
        <v>22</v>
      </c>
      <c r="D1889" s="0" t="s">
        <v>2172</v>
      </c>
      <c r="E1889" s="0" t="n">
        <v>42</v>
      </c>
      <c r="F1889" s="0" t="s">
        <v>81</v>
      </c>
      <c r="I1889" s="0" t="n">
        <v>4424</v>
      </c>
      <c r="J1889" s="0" t="n">
        <v>100014</v>
      </c>
      <c r="K1889" s="0" t="n">
        <v>15</v>
      </c>
      <c r="L1889" s="0" t="s">
        <v>2234</v>
      </c>
      <c r="N1889" s="0" t="n">
        <v>8.016</v>
      </c>
      <c r="O1889" s="60" t="n">
        <v>367.66</v>
      </c>
    </row>
    <row r="1890" customFormat="false" ht="15" hidden="false" customHeight="false" outlineLevel="0" collapsed="false">
      <c r="A1890" s="0" t="n">
        <v>3</v>
      </c>
      <c r="B1890" s="59" t="n">
        <v>46228</v>
      </c>
      <c r="C1890" s="0" t="n">
        <v>22</v>
      </c>
      <c r="D1890" s="0" t="s">
        <v>2172</v>
      </c>
      <c r="E1890" s="0" t="n">
        <v>42</v>
      </c>
      <c r="F1890" s="0" t="s">
        <v>81</v>
      </c>
      <c r="I1890" s="0" t="n">
        <v>4424</v>
      </c>
      <c r="J1890" s="0" t="n">
        <v>100015</v>
      </c>
      <c r="K1890" s="0" t="n">
        <v>16</v>
      </c>
      <c r="L1890" s="0" t="s">
        <v>2235</v>
      </c>
      <c r="N1890" s="0" t="n">
        <v>3.031</v>
      </c>
      <c r="O1890" s="60" t="n">
        <v>126.61</v>
      </c>
    </row>
    <row r="1891" customFormat="false" ht="15" hidden="false" customHeight="false" outlineLevel="0" collapsed="false">
      <c r="A1891" s="0" t="n">
        <v>3</v>
      </c>
      <c r="B1891" s="59" t="n">
        <v>46228</v>
      </c>
      <c r="C1891" s="0" t="n">
        <v>22</v>
      </c>
      <c r="D1891" s="0" t="s">
        <v>2172</v>
      </c>
      <c r="E1891" s="0" t="n">
        <v>42</v>
      </c>
      <c r="F1891" s="0" t="s">
        <v>81</v>
      </c>
      <c r="I1891" s="0" t="n">
        <v>4424</v>
      </c>
      <c r="J1891" s="0" t="n">
        <v>100016</v>
      </c>
      <c r="K1891" s="0" t="n">
        <v>17</v>
      </c>
      <c r="L1891" s="0" t="s">
        <v>2236</v>
      </c>
      <c r="N1891" s="0" t="n">
        <v>3.774</v>
      </c>
      <c r="O1891" s="60" t="n">
        <v>170.01</v>
      </c>
    </row>
    <row r="1892" customFormat="false" ht="15" hidden="false" customHeight="false" outlineLevel="0" collapsed="false">
      <c r="A1892" s="0" t="n">
        <v>3</v>
      </c>
      <c r="B1892" s="59" t="n">
        <v>46228</v>
      </c>
      <c r="C1892" s="0" t="n">
        <v>22</v>
      </c>
      <c r="D1892" s="0" t="s">
        <v>2172</v>
      </c>
      <c r="E1892" s="0" t="n">
        <v>42</v>
      </c>
      <c r="F1892" s="0" t="s">
        <v>81</v>
      </c>
      <c r="I1892" s="0" t="n">
        <v>4424</v>
      </c>
      <c r="J1892" s="0" t="n">
        <v>100017</v>
      </c>
      <c r="K1892" s="0" t="n">
        <v>18</v>
      </c>
      <c r="L1892" s="0" t="s">
        <v>2237</v>
      </c>
      <c r="N1892" s="0" t="n">
        <v>3.02</v>
      </c>
      <c r="O1892" s="60" t="n">
        <v>160.78</v>
      </c>
    </row>
    <row r="1893" customFormat="false" ht="15" hidden="false" customHeight="false" outlineLevel="0" collapsed="false">
      <c r="A1893" s="0" t="n">
        <v>3</v>
      </c>
      <c r="B1893" s="59" t="n">
        <v>46228</v>
      </c>
      <c r="C1893" s="0" t="n">
        <v>22</v>
      </c>
      <c r="D1893" s="0" t="s">
        <v>2172</v>
      </c>
      <c r="E1893" s="0" t="n">
        <v>42</v>
      </c>
      <c r="F1893" s="0" t="s">
        <v>81</v>
      </c>
      <c r="I1893" s="0" t="n">
        <v>4424</v>
      </c>
      <c r="J1893" s="0" t="n">
        <v>100053</v>
      </c>
      <c r="K1893" s="0" t="n">
        <v>54</v>
      </c>
      <c r="L1893" s="0" t="s">
        <v>2238</v>
      </c>
      <c r="N1893" s="0" t="n">
        <v>3.548</v>
      </c>
      <c r="O1893" s="60" t="n">
        <v>130.76</v>
      </c>
    </row>
    <row r="1894" customFormat="false" ht="15" hidden="false" customHeight="false" outlineLevel="0" collapsed="false">
      <c r="A1894" s="0" t="n">
        <v>3</v>
      </c>
      <c r="B1894" s="59" t="n">
        <v>46228</v>
      </c>
      <c r="C1894" s="0" t="n">
        <v>22</v>
      </c>
      <c r="D1894" s="0" t="s">
        <v>2172</v>
      </c>
      <c r="E1894" s="0" t="n">
        <v>42</v>
      </c>
      <c r="F1894" s="0" t="s">
        <v>81</v>
      </c>
      <c r="I1894" s="0" t="n">
        <v>4424</v>
      </c>
      <c r="J1894" s="0" t="n">
        <v>100638</v>
      </c>
      <c r="K1894" s="0" t="n">
        <v>508</v>
      </c>
      <c r="L1894" s="0" t="s">
        <v>2178</v>
      </c>
      <c r="N1894" s="0" t="n">
        <v>2.184</v>
      </c>
      <c r="O1894" s="60" t="n">
        <v>3.56</v>
      </c>
    </row>
    <row r="1895" customFormat="false" ht="15" hidden="false" customHeight="false" outlineLevel="0" collapsed="false">
      <c r="A1895" s="0" t="n">
        <v>3</v>
      </c>
      <c r="B1895" s="59" t="n">
        <v>46228</v>
      </c>
      <c r="C1895" s="0" t="n">
        <v>22</v>
      </c>
      <c r="D1895" s="0" t="s">
        <v>2172</v>
      </c>
      <c r="E1895" s="0" t="n">
        <v>42</v>
      </c>
      <c r="F1895" s="0" t="s">
        <v>81</v>
      </c>
      <c r="I1895" s="0" t="n">
        <v>4424</v>
      </c>
      <c r="J1895" s="0" t="n">
        <v>100638</v>
      </c>
      <c r="K1895" s="0" t="n">
        <v>508</v>
      </c>
      <c r="L1895" s="0" t="s">
        <v>2178</v>
      </c>
      <c r="N1895" s="0" t="n">
        <v>3.894</v>
      </c>
      <c r="O1895" s="60" t="n">
        <v>5.72</v>
      </c>
    </row>
    <row r="1896" customFormat="false" ht="15" hidden="false" customHeight="false" outlineLevel="0" collapsed="false">
      <c r="A1896" s="0" t="n">
        <v>3</v>
      </c>
      <c r="B1896" s="59" t="n">
        <v>46228</v>
      </c>
      <c r="C1896" s="0" t="n">
        <v>22</v>
      </c>
      <c r="D1896" s="0" t="s">
        <v>2172</v>
      </c>
      <c r="E1896" s="0" t="n">
        <v>42</v>
      </c>
      <c r="F1896" s="0" t="s">
        <v>81</v>
      </c>
      <c r="I1896" s="0" t="n">
        <v>4424</v>
      </c>
      <c r="J1896" s="0" t="n">
        <v>100520</v>
      </c>
      <c r="K1896" s="0" t="n">
        <v>507</v>
      </c>
      <c r="L1896" s="0" t="s">
        <v>2179</v>
      </c>
      <c r="N1896" s="0" t="n">
        <v>22.99</v>
      </c>
      <c r="O1896" s="60" t="n">
        <v>56.31</v>
      </c>
    </row>
    <row r="1897" customFormat="false" ht="15" hidden="false" customHeight="false" outlineLevel="0" collapsed="false">
      <c r="A1897" s="0" t="n">
        <v>3</v>
      </c>
      <c r="B1897" s="59" t="n">
        <v>46228</v>
      </c>
      <c r="C1897" s="0" t="n">
        <v>22</v>
      </c>
      <c r="D1897" s="0" t="s">
        <v>2172</v>
      </c>
      <c r="E1897" s="0" t="n">
        <v>42</v>
      </c>
      <c r="F1897" s="0" t="s">
        <v>81</v>
      </c>
      <c r="I1897" s="0" t="n">
        <v>4424</v>
      </c>
      <c r="J1897" s="0" t="n">
        <v>100520</v>
      </c>
      <c r="K1897" s="0" t="n">
        <v>507</v>
      </c>
      <c r="L1897" s="0" t="s">
        <v>2179</v>
      </c>
      <c r="N1897" s="0" t="n">
        <v>7.231</v>
      </c>
      <c r="O1897" s="60" t="n">
        <v>15.96</v>
      </c>
    </row>
    <row r="1898" customFormat="false" ht="15" hidden="false" customHeight="false" outlineLevel="0" collapsed="false">
      <c r="A1898" s="0" t="n">
        <v>3</v>
      </c>
      <c r="B1898" s="59" t="n">
        <v>46228</v>
      </c>
      <c r="C1898" s="0" t="n">
        <v>22</v>
      </c>
      <c r="D1898" s="0" t="s">
        <v>2172</v>
      </c>
      <c r="E1898" s="0" t="n">
        <v>42</v>
      </c>
      <c r="F1898" s="0" t="s">
        <v>81</v>
      </c>
      <c r="I1898" s="0" t="n">
        <v>4424</v>
      </c>
      <c r="J1898" s="0" t="n">
        <v>110455</v>
      </c>
      <c r="K1898" s="0" t="n">
        <v>53212</v>
      </c>
      <c r="L1898" s="0" t="s">
        <v>2180</v>
      </c>
      <c r="N1898" s="0" t="n">
        <v>0.591</v>
      </c>
      <c r="O1898" s="60" t="n">
        <v>0</v>
      </c>
    </row>
    <row r="1899" customFormat="false" ht="15" hidden="false" customHeight="false" outlineLevel="0" collapsed="false">
      <c r="A1899" s="0" t="n">
        <v>3</v>
      </c>
      <c r="B1899" s="59" t="n">
        <v>46228</v>
      </c>
      <c r="C1899" s="0" t="n">
        <v>22</v>
      </c>
      <c r="D1899" s="0" t="s">
        <v>2172</v>
      </c>
      <c r="E1899" s="0" t="n">
        <v>42</v>
      </c>
      <c r="F1899" s="0" t="s">
        <v>81</v>
      </c>
      <c r="I1899" s="0" t="n">
        <v>4424</v>
      </c>
      <c r="J1899" s="0" t="n">
        <v>110455</v>
      </c>
      <c r="K1899" s="0" t="n">
        <v>53212</v>
      </c>
      <c r="L1899" s="0" t="s">
        <v>2180</v>
      </c>
      <c r="N1899" s="0" t="n">
        <v>1.433</v>
      </c>
      <c r="O1899" s="60" t="n">
        <v>0</v>
      </c>
    </row>
    <row r="1900" customFormat="false" ht="15" hidden="false" customHeight="false" outlineLevel="0" collapsed="false">
      <c r="A1900" s="0" t="n">
        <v>3</v>
      </c>
      <c r="B1900" s="59" t="n">
        <v>46228</v>
      </c>
      <c r="C1900" s="0" t="n">
        <v>39</v>
      </c>
      <c r="D1900" s="0" t="s">
        <v>2239</v>
      </c>
      <c r="E1900" s="0" t="n">
        <v>1713</v>
      </c>
      <c r="F1900" s="0" t="s">
        <v>1703</v>
      </c>
      <c r="I1900" s="0" t="n">
        <v>13720</v>
      </c>
      <c r="J1900" s="0" t="n">
        <v>81857</v>
      </c>
      <c r="K1900" s="0" t="n">
        <v>7898639684592</v>
      </c>
      <c r="L1900" s="0" t="s">
        <v>3056</v>
      </c>
      <c r="N1900" s="0" t="n">
        <v>1</v>
      </c>
      <c r="O1900" s="60" t="n">
        <v>51</v>
      </c>
    </row>
    <row r="1901" customFormat="false" ht="15" hidden="false" customHeight="false" outlineLevel="0" collapsed="false">
      <c r="A1901" s="0" t="n">
        <v>3</v>
      </c>
      <c r="B1901" s="59" t="n">
        <v>46228</v>
      </c>
      <c r="C1901" s="0" t="n">
        <v>39</v>
      </c>
      <c r="D1901" s="0" t="s">
        <v>2239</v>
      </c>
      <c r="E1901" s="0" t="n">
        <v>848</v>
      </c>
      <c r="F1901" s="0" t="s">
        <v>1257</v>
      </c>
      <c r="I1901" s="0" t="n">
        <v>30019</v>
      </c>
      <c r="J1901" s="0" t="n">
        <v>81858</v>
      </c>
      <c r="K1901" s="0" t="n">
        <v>7908038200276</v>
      </c>
      <c r="L1901" s="0" t="s">
        <v>3057</v>
      </c>
      <c r="N1901" s="0" t="n">
        <v>1.5</v>
      </c>
      <c r="O1901" s="60" t="n">
        <v>112.94</v>
      </c>
    </row>
    <row r="1902" customFormat="false" ht="15" hidden="false" customHeight="false" outlineLevel="0" collapsed="false">
      <c r="A1902" s="0" t="n">
        <v>3</v>
      </c>
      <c r="B1902" s="59" t="n">
        <v>46228</v>
      </c>
      <c r="C1902" s="0" t="n">
        <v>100</v>
      </c>
      <c r="D1902" s="0" t="s">
        <v>2181</v>
      </c>
      <c r="E1902" s="0" t="n">
        <v>42</v>
      </c>
      <c r="F1902" s="0" t="s">
        <v>81</v>
      </c>
      <c r="I1902" s="0" t="n">
        <v>1448868</v>
      </c>
      <c r="J1902" s="0" t="n">
        <v>100000</v>
      </c>
      <c r="K1902" s="0" t="n">
        <v>1</v>
      </c>
      <c r="L1902" s="0" t="s">
        <v>2173</v>
      </c>
      <c r="N1902" s="0" t="n">
        <v>4.48</v>
      </c>
      <c r="O1902" s="60" t="n">
        <v>95.89</v>
      </c>
    </row>
    <row r="1903" customFormat="false" ht="15" hidden="false" customHeight="false" outlineLevel="0" collapsed="false">
      <c r="A1903" s="0" t="n">
        <v>3</v>
      </c>
      <c r="B1903" s="59" t="n">
        <v>46228</v>
      </c>
      <c r="C1903" s="0" t="n">
        <v>100</v>
      </c>
      <c r="D1903" s="0" t="s">
        <v>2181</v>
      </c>
      <c r="E1903" s="0" t="n">
        <v>42</v>
      </c>
      <c r="F1903" s="0" t="s">
        <v>81</v>
      </c>
      <c r="I1903" s="0" t="n">
        <v>1448868</v>
      </c>
      <c r="J1903" s="0" t="n">
        <v>100001</v>
      </c>
      <c r="K1903" s="0" t="n">
        <v>2</v>
      </c>
      <c r="L1903" s="0" t="s">
        <v>2174</v>
      </c>
      <c r="N1903" s="0" t="n">
        <v>24.205</v>
      </c>
      <c r="O1903" s="60" t="n">
        <v>553.81</v>
      </c>
    </row>
    <row r="1904" customFormat="false" ht="15" hidden="false" customHeight="false" outlineLevel="0" collapsed="false">
      <c r="A1904" s="0" t="n">
        <v>3</v>
      </c>
      <c r="B1904" s="59" t="n">
        <v>46228</v>
      </c>
      <c r="C1904" s="0" t="n">
        <v>100</v>
      </c>
      <c r="D1904" s="0" t="s">
        <v>2181</v>
      </c>
      <c r="E1904" s="0" t="n">
        <v>42</v>
      </c>
      <c r="F1904" s="0" t="s">
        <v>81</v>
      </c>
      <c r="I1904" s="0" t="n">
        <v>1448868</v>
      </c>
      <c r="J1904" s="0" t="n">
        <v>100002</v>
      </c>
      <c r="K1904" s="0" t="n">
        <v>3</v>
      </c>
      <c r="L1904" s="0" t="s">
        <v>2175</v>
      </c>
      <c r="N1904" s="0" t="n">
        <v>39.15</v>
      </c>
      <c r="O1904" s="60" t="n">
        <v>924.66</v>
      </c>
    </row>
    <row r="1905" customFormat="false" ht="15" hidden="false" customHeight="false" outlineLevel="0" collapsed="false">
      <c r="A1905" s="0" t="n">
        <v>3</v>
      </c>
      <c r="B1905" s="59" t="n">
        <v>46228</v>
      </c>
      <c r="C1905" s="0" t="n">
        <v>100</v>
      </c>
      <c r="D1905" s="0" t="s">
        <v>2181</v>
      </c>
      <c r="E1905" s="0" t="n">
        <v>42</v>
      </c>
      <c r="F1905" s="0" t="s">
        <v>81</v>
      </c>
      <c r="I1905" s="0" t="n">
        <v>1448868</v>
      </c>
      <c r="J1905" s="0" t="n">
        <v>100003</v>
      </c>
      <c r="K1905" s="0" t="n">
        <v>4</v>
      </c>
      <c r="L1905" s="0" t="s">
        <v>2176</v>
      </c>
      <c r="N1905" s="0" t="n">
        <v>32.019</v>
      </c>
      <c r="O1905" s="60" t="n">
        <v>827.15</v>
      </c>
    </row>
    <row r="1906" customFormat="false" ht="15" hidden="false" customHeight="false" outlineLevel="0" collapsed="false">
      <c r="A1906" s="0" t="n">
        <v>3</v>
      </c>
      <c r="B1906" s="59" t="n">
        <v>46228</v>
      </c>
      <c r="C1906" s="0" t="n">
        <v>100</v>
      </c>
      <c r="D1906" s="0" t="s">
        <v>2181</v>
      </c>
      <c r="E1906" s="0" t="n">
        <v>42</v>
      </c>
      <c r="F1906" s="0" t="s">
        <v>81</v>
      </c>
      <c r="I1906" s="0" t="n">
        <v>1448868</v>
      </c>
      <c r="J1906" s="0" t="n">
        <v>100007</v>
      </c>
      <c r="K1906" s="0" t="n">
        <v>8</v>
      </c>
      <c r="L1906" s="0" t="s">
        <v>2177</v>
      </c>
      <c r="N1906" s="0" t="n">
        <v>10.13</v>
      </c>
      <c r="O1906" s="60" t="n">
        <v>254.21</v>
      </c>
    </row>
    <row r="1907" customFormat="false" ht="15" hidden="false" customHeight="false" outlineLevel="0" collapsed="false">
      <c r="A1907" s="0" t="n">
        <v>3</v>
      </c>
      <c r="B1907" s="59" t="n">
        <v>46228</v>
      </c>
      <c r="C1907" s="0" t="n">
        <v>100</v>
      </c>
      <c r="D1907" s="0" t="s">
        <v>2181</v>
      </c>
      <c r="E1907" s="0" t="n">
        <v>42</v>
      </c>
      <c r="F1907" s="0" t="s">
        <v>81</v>
      </c>
      <c r="I1907" s="0" t="n">
        <v>1448868</v>
      </c>
      <c r="J1907" s="0" t="n">
        <v>100638</v>
      </c>
      <c r="K1907" s="0" t="n">
        <v>508</v>
      </c>
      <c r="L1907" s="0" t="s">
        <v>2178</v>
      </c>
      <c r="N1907" s="0" t="n">
        <v>3.894</v>
      </c>
      <c r="O1907" s="60" t="n">
        <v>5.72</v>
      </c>
    </row>
    <row r="1908" customFormat="false" ht="15" hidden="false" customHeight="false" outlineLevel="0" collapsed="false">
      <c r="A1908" s="0" t="n">
        <v>3</v>
      </c>
      <c r="B1908" s="59" t="n">
        <v>46228</v>
      </c>
      <c r="C1908" s="0" t="n">
        <v>100</v>
      </c>
      <c r="D1908" s="0" t="s">
        <v>2181</v>
      </c>
      <c r="E1908" s="0" t="n">
        <v>42</v>
      </c>
      <c r="F1908" s="0" t="s">
        <v>81</v>
      </c>
      <c r="I1908" s="0" t="n">
        <v>1448868</v>
      </c>
      <c r="J1908" s="0" t="n">
        <v>100520</v>
      </c>
      <c r="K1908" s="0" t="n">
        <v>507</v>
      </c>
      <c r="L1908" s="0" t="s">
        <v>2179</v>
      </c>
      <c r="N1908" s="0" t="n">
        <v>7.231</v>
      </c>
      <c r="O1908" s="60" t="n">
        <v>15.96</v>
      </c>
    </row>
    <row r="1909" customFormat="false" ht="15" hidden="false" customHeight="false" outlineLevel="0" collapsed="false">
      <c r="A1909" s="0" t="n">
        <v>3</v>
      </c>
      <c r="B1909" s="59" t="n">
        <v>46228</v>
      </c>
      <c r="C1909" s="0" t="n">
        <v>100</v>
      </c>
      <c r="D1909" s="0" t="s">
        <v>2181</v>
      </c>
      <c r="E1909" s="0" t="n">
        <v>42</v>
      </c>
      <c r="F1909" s="0" t="s">
        <v>81</v>
      </c>
      <c r="I1909" s="0" t="n">
        <v>1448868</v>
      </c>
      <c r="J1909" s="0" t="n">
        <v>110455</v>
      </c>
      <c r="K1909" s="0" t="n">
        <v>53212</v>
      </c>
      <c r="L1909" s="0" t="s">
        <v>2180</v>
      </c>
      <c r="N1909" s="0" t="n">
        <v>0.591</v>
      </c>
      <c r="O1909" s="60" t="n">
        <v>0</v>
      </c>
    </row>
    <row r="1910" customFormat="false" ht="15" hidden="false" customHeight="false" outlineLevel="0" collapsed="false">
      <c r="A1910" s="0" t="n">
        <v>3</v>
      </c>
      <c r="B1910" s="59" t="n">
        <v>46228</v>
      </c>
      <c r="C1910" s="0" t="n">
        <v>100</v>
      </c>
      <c r="D1910" s="0" t="s">
        <v>2181</v>
      </c>
      <c r="E1910" s="0" t="n">
        <v>42</v>
      </c>
      <c r="F1910" s="0" t="s">
        <v>81</v>
      </c>
      <c r="I1910" s="0" t="n">
        <v>1448876</v>
      </c>
      <c r="J1910" s="0" t="n">
        <v>100000</v>
      </c>
      <c r="K1910" s="0" t="n">
        <v>1</v>
      </c>
      <c r="L1910" s="0" t="s">
        <v>2173</v>
      </c>
      <c r="N1910" s="0" t="n">
        <v>6.561</v>
      </c>
      <c r="O1910" s="60" t="n">
        <v>155.81</v>
      </c>
    </row>
    <row r="1911" customFormat="false" ht="15" hidden="false" customHeight="false" outlineLevel="0" collapsed="false">
      <c r="A1911" s="0" t="n">
        <v>3</v>
      </c>
      <c r="B1911" s="59" t="n">
        <v>46228</v>
      </c>
      <c r="C1911" s="0" t="n">
        <v>100</v>
      </c>
      <c r="D1911" s="0" t="s">
        <v>2181</v>
      </c>
      <c r="E1911" s="0" t="n">
        <v>42</v>
      </c>
      <c r="F1911" s="0" t="s">
        <v>81</v>
      </c>
      <c r="I1911" s="0" t="n">
        <v>1448876</v>
      </c>
      <c r="J1911" s="0" t="n">
        <v>100006</v>
      </c>
      <c r="K1911" s="0" t="n">
        <v>7</v>
      </c>
      <c r="L1911" s="0" t="s">
        <v>2228</v>
      </c>
      <c r="N1911" s="0" t="n">
        <v>9.346</v>
      </c>
      <c r="O1911" s="60" t="n">
        <v>306.17</v>
      </c>
    </row>
    <row r="1912" customFormat="false" ht="15" hidden="false" customHeight="false" outlineLevel="0" collapsed="false">
      <c r="A1912" s="0" t="n">
        <v>3</v>
      </c>
      <c r="B1912" s="59" t="n">
        <v>46228</v>
      </c>
      <c r="C1912" s="0" t="n">
        <v>100</v>
      </c>
      <c r="D1912" s="0" t="s">
        <v>2181</v>
      </c>
      <c r="E1912" s="0" t="n">
        <v>42</v>
      </c>
      <c r="F1912" s="0" t="s">
        <v>81</v>
      </c>
      <c r="I1912" s="0" t="n">
        <v>1448876</v>
      </c>
      <c r="J1912" s="0" t="n">
        <v>100008</v>
      </c>
      <c r="K1912" s="0" t="n">
        <v>9</v>
      </c>
      <c r="L1912" s="0" t="s">
        <v>2229</v>
      </c>
      <c r="N1912" s="0" t="n">
        <v>28.41</v>
      </c>
      <c r="O1912" s="60" t="n">
        <v>953.96</v>
      </c>
    </row>
    <row r="1913" customFormat="false" ht="15" hidden="false" customHeight="false" outlineLevel="0" collapsed="false">
      <c r="A1913" s="0" t="n">
        <v>3</v>
      </c>
      <c r="B1913" s="59" t="n">
        <v>46228</v>
      </c>
      <c r="C1913" s="0" t="n">
        <v>100</v>
      </c>
      <c r="D1913" s="0" t="s">
        <v>2181</v>
      </c>
      <c r="E1913" s="0" t="n">
        <v>42</v>
      </c>
      <c r="F1913" s="0" t="s">
        <v>81</v>
      </c>
      <c r="I1913" s="0" t="n">
        <v>1448876</v>
      </c>
      <c r="J1913" s="0" t="n">
        <v>100010</v>
      </c>
      <c r="K1913" s="0" t="n">
        <v>11</v>
      </c>
      <c r="L1913" s="0" t="s">
        <v>2230</v>
      </c>
      <c r="N1913" s="0" t="n">
        <v>5.836</v>
      </c>
      <c r="O1913" s="60" t="n">
        <v>224.65</v>
      </c>
    </row>
    <row r="1914" customFormat="false" ht="15" hidden="false" customHeight="false" outlineLevel="0" collapsed="false">
      <c r="A1914" s="0" t="n">
        <v>3</v>
      </c>
      <c r="B1914" s="59" t="n">
        <v>46228</v>
      </c>
      <c r="C1914" s="0" t="n">
        <v>100</v>
      </c>
      <c r="D1914" s="0" t="s">
        <v>2181</v>
      </c>
      <c r="E1914" s="0" t="n">
        <v>42</v>
      </c>
      <c r="F1914" s="0" t="s">
        <v>81</v>
      </c>
      <c r="I1914" s="0" t="n">
        <v>1448876</v>
      </c>
      <c r="J1914" s="0" t="n">
        <v>100011</v>
      </c>
      <c r="K1914" s="0" t="n">
        <v>12</v>
      </c>
      <c r="L1914" s="0" t="s">
        <v>2231</v>
      </c>
      <c r="N1914" s="0" t="n">
        <v>13.15</v>
      </c>
      <c r="O1914" s="60" t="n">
        <v>506.19</v>
      </c>
    </row>
    <row r="1915" customFormat="false" ht="15" hidden="false" customHeight="false" outlineLevel="0" collapsed="false">
      <c r="A1915" s="0" t="n">
        <v>3</v>
      </c>
      <c r="B1915" s="59" t="n">
        <v>46228</v>
      </c>
      <c r="C1915" s="0" t="n">
        <v>100</v>
      </c>
      <c r="D1915" s="0" t="s">
        <v>2181</v>
      </c>
      <c r="E1915" s="0" t="n">
        <v>42</v>
      </c>
      <c r="F1915" s="0" t="s">
        <v>81</v>
      </c>
      <c r="I1915" s="0" t="n">
        <v>1448876</v>
      </c>
      <c r="J1915" s="0" t="n">
        <v>100012</v>
      </c>
      <c r="K1915" s="0" t="n">
        <v>13</v>
      </c>
      <c r="L1915" s="0" t="s">
        <v>2232</v>
      </c>
      <c r="N1915" s="0" t="n">
        <v>11.194</v>
      </c>
      <c r="O1915" s="60" t="n">
        <v>467.58</v>
      </c>
    </row>
    <row r="1916" customFormat="false" ht="15" hidden="false" customHeight="false" outlineLevel="0" collapsed="false">
      <c r="A1916" s="0" t="n">
        <v>3</v>
      </c>
      <c r="B1916" s="59" t="n">
        <v>46228</v>
      </c>
      <c r="C1916" s="0" t="n">
        <v>100</v>
      </c>
      <c r="D1916" s="0" t="s">
        <v>2181</v>
      </c>
      <c r="E1916" s="0" t="n">
        <v>42</v>
      </c>
      <c r="F1916" s="0" t="s">
        <v>81</v>
      </c>
      <c r="I1916" s="0" t="n">
        <v>1448876</v>
      </c>
      <c r="J1916" s="0" t="n">
        <v>100013</v>
      </c>
      <c r="K1916" s="0" t="n">
        <v>14</v>
      </c>
      <c r="L1916" s="0" t="s">
        <v>2233</v>
      </c>
      <c r="N1916" s="0" t="n">
        <v>22.207</v>
      </c>
      <c r="O1916" s="60" t="n">
        <v>1000.36</v>
      </c>
    </row>
    <row r="1917" customFormat="false" ht="15" hidden="false" customHeight="false" outlineLevel="0" collapsed="false">
      <c r="A1917" s="0" t="n">
        <v>3</v>
      </c>
      <c r="B1917" s="59" t="n">
        <v>46228</v>
      </c>
      <c r="C1917" s="0" t="n">
        <v>100</v>
      </c>
      <c r="D1917" s="0" t="s">
        <v>2181</v>
      </c>
      <c r="E1917" s="0" t="n">
        <v>42</v>
      </c>
      <c r="F1917" s="0" t="s">
        <v>81</v>
      </c>
      <c r="I1917" s="0" t="n">
        <v>1448876</v>
      </c>
      <c r="J1917" s="0" t="n">
        <v>100014</v>
      </c>
      <c r="K1917" s="0" t="n">
        <v>15</v>
      </c>
      <c r="L1917" s="0" t="s">
        <v>2234</v>
      </c>
      <c r="N1917" s="0" t="n">
        <v>8.016</v>
      </c>
      <c r="O1917" s="60" t="n">
        <v>367.66</v>
      </c>
    </row>
    <row r="1918" customFormat="false" ht="15" hidden="false" customHeight="false" outlineLevel="0" collapsed="false">
      <c r="A1918" s="0" t="n">
        <v>3</v>
      </c>
      <c r="B1918" s="59" t="n">
        <v>46228</v>
      </c>
      <c r="C1918" s="0" t="n">
        <v>100</v>
      </c>
      <c r="D1918" s="0" t="s">
        <v>2181</v>
      </c>
      <c r="E1918" s="0" t="n">
        <v>42</v>
      </c>
      <c r="F1918" s="0" t="s">
        <v>81</v>
      </c>
      <c r="I1918" s="0" t="n">
        <v>1448876</v>
      </c>
      <c r="J1918" s="0" t="n">
        <v>100015</v>
      </c>
      <c r="K1918" s="0" t="n">
        <v>16</v>
      </c>
      <c r="L1918" s="0" t="s">
        <v>2235</v>
      </c>
      <c r="N1918" s="0" t="n">
        <v>3.031</v>
      </c>
      <c r="O1918" s="60" t="n">
        <v>126.61</v>
      </c>
    </row>
    <row r="1919" customFormat="false" ht="15" hidden="false" customHeight="false" outlineLevel="0" collapsed="false">
      <c r="A1919" s="0" t="n">
        <v>3</v>
      </c>
      <c r="B1919" s="59" t="n">
        <v>46228</v>
      </c>
      <c r="C1919" s="0" t="n">
        <v>100</v>
      </c>
      <c r="D1919" s="0" t="s">
        <v>2181</v>
      </c>
      <c r="E1919" s="0" t="n">
        <v>42</v>
      </c>
      <c r="F1919" s="0" t="s">
        <v>81</v>
      </c>
      <c r="I1919" s="0" t="n">
        <v>1448876</v>
      </c>
      <c r="J1919" s="0" t="n">
        <v>100016</v>
      </c>
      <c r="K1919" s="0" t="n">
        <v>17</v>
      </c>
      <c r="L1919" s="0" t="s">
        <v>2236</v>
      </c>
      <c r="N1919" s="0" t="n">
        <v>3.774</v>
      </c>
      <c r="O1919" s="60" t="n">
        <v>170.01</v>
      </c>
    </row>
    <row r="1920" customFormat="false" ht="15" hidden="false" customHeight="false" outlineLevel="0" collapsed="false">
      <c r="A1920" s="0" t="n">
        <v>3</v>
      </c>
      <c r="B1920" s="59" t="n">
        <v>46228</v>
      </c>
      <c r="C1920" s="0" t="n">
        <v>100</v>
      </c>
      <c r="D1920" s="0" t="s">
        <v>2181</v>
      </c>
      <c r="E1920" s="0" t="n">
        <v>42</v>
      </c>
      <c r="F1920" s="0" t="s">
        <v>81</v>
      </c>
      <c r="I1920" s="0" t="n">
        <v>1448876</v>
      </c>
      <c r="J1920" s="0" t="n">
        <v>100017</v>
      </c>
      <c r="K1920" s="0" t="n">
        <v>18</v>
      </c>
      <c r="L1920" s="0" t="s">
        <v>2237</v>
      </c>
      <c r="N1920" s="0" t="n">
        <v>3.02</v>
      </c>
      <c r="O1920" s="60" t="n">
        <v>160.78</v>
      </c>
    </row>
    <row r="1921" customFormat="false" ht="15" hidden="false" customHeight="false" outlineLevel="0" collapsed="false">
      <c r="A1921" s="0" t="n">
        <v>3</v>
      </c>
      <c r="B1921" s="59" t="n">
        <v>46228</v>
      </c>
      <c r="C1921" s="0" t="n">
        <v>100</v>
      </c>
      <c r="D1921" s="0" t="s">
        <v>2181</v>
      </c>
      <c r="E1921" s="0" t="n">
        <v>42</v>
      </c>
      <c r="F1921" s="0" t="s">
        <v>81</v>
      </c>
      <c r="I1921" s="0" t="n">
        <v>1448876</v>
      </c>
      <c r="J1921" s="0" t="n">
        <v>100053</v>
      </c>
      <c r="K1921" s="0" t="n">
        <v>54</v>
      </c>
      <c r="L1921" s="0" t="s">
        <v>2238</v>
      </c>
      <c r="N1921" s="0" t="n">
        <v>3.548</v>
      </c>
      <c r="O1921" s="60" t="n">
        <v>130.76</v>
      </c>
    </row>
    <row r="1922" customFormat="false" ht="15" hidden="false" customHeight="false" outlineLevel="0" collapsed="false">
      <c r="A1922" s="0" t="n">
        <v>3</v>
      </c>
      <c r="B1922" s="59" t="n">
        <v>46228</v>
      </c>
      <c r="C1922" s="0" t="n">
        <v>100</v>
      </c>
      <c r="D1922" s="0" t="s">
        <v>2181</v>
      </c>
      <c r="E1922" s="0" t="n">
        <v>42</v>
      </c>
      <c r="F1922" s="0" t="s">
        <v>81</v>
      </c>
      <c r="I1922" s="0" t="n">
        <v>1448876</v>
      </c>
      <c r="J1922" s="0" t="n">
        <v>100638</v>
      </c>
      <c r="K1922" s="0" t="n">
        <v>508</v>
      </c>
      <c r="L1922" s="0" t="s">
        <v>2178</v>
      </c>
      <c r="N1922" s="0" t="n">
        <v>2.184</v>
      </c>
      <c r="O1922" s="60" t="n">
        <v>3.56</v>
      </c>
    </row>
    <row r="1923" customFormat="false" ht="15" hidden="false" customHeight="false" outlineLevel="0" collapsed="false">
      <c r="A1923" s="0" t="n">
        <v>3</v>
      </c>
      <c r="B1923" s="59" t="n">
        <v>46228</v>
      </c>
      <c r="C1923" s="0" t="n">
        <v>100</v>
      </c>
      <c r="D1923" s="0" t="s">
        <v>2181</v>
      </c>
      <c r="E1923" s="0" t="n">
        <v>42</v>
      </c>
      <c r="F1923" s="0" t="s">
        <v>81</v>
      </c>
      <c r="I1923" s="0" t="n">
        <v>1448876</v>
      </c>
      <c r="J1923" s="0" t="n">
        <v>100520</v>
      </c>
      <c r="K1923" s="0" t="n">
        <v>507</v>
      </c>
      <c r="L1923" s="0" t="s">
        <v>2179</v>
      </c>
      <c r="N1923" s="0" t="n">
        <v>22.99</v>
      </c>
      <c r="O1923" s="60" t="n">
        <v>56.31</v>
      </c>
    </row>
    <row r="1924" customFormat="false" ht="15" hidden="false" customHeight="false" outlineLevel="0" collapsed="false">
      <c r="A1924" s="0" t="n">
        <v>3</v>
      </c>
      <c r="B1924" s="59" t="n">
        <v>46228</v>
      </c>
      <c r="C1924" s="0" t="n">
        <v>100</v>
      </c>
      <c r="D1924" s="0" t="s">
        <v>2181</v>
      </c>
      <c r="E1924" s="0" t="n">
        <v>42</v>
      </c>
      <c r="F1924" s="0" t="s">
        <v>81</v>
      </c>
      <c r="I1924" s="0" t="n">
        <v>1448876</v>
      </c>
      <c r="J1924" s="0" t="n">
        <v>110455</v>
      </c>
      <c r="K1924" s="0" t="n">
        <v>53212</v>
      </c>
      <c r="L1924" s="0" t="s">
        <v>2180</v>
      </c>
      <c r="N1924" s="0" t="n">
        <v>1.433</v>
      </c>
      <c r="O1924" s="60" t="n">
        <v>0</v>
      </c>
    </row>
    <row r="1925" customFormat="false" ht="15" hidden="false" customHeight="false" outlineLevel="0" collapsed="false">
      <c r="A1925" s="0" t="n">
        <v>3</v>
      </c>
      <c r="B1925" s="59" t="n">
        <v>46230</v>
      </c>
      <c r="C1925" s="0" t="n">
        <v>6</v>
      </c>
      <c r="D1925" s="0" t="s">
        <v>2125</v>
      </c>
      <c r="E1925" s="0" t="n">
        <v>42</v>
      </c>
      <c r="F1925" s="0" t="s">
        <v>81</v>
      </c>
      <c r="I1925" s="0" t="n">
        <v>4425</v>
      </c>
      <c r="J1925" s="0" t="n">
        <v>100103</v>
      </c>
      <c r="K1925" s="0" t="n">
        <v>104</v>
      </c>
      <c r="L1925" s="0" t="s">
        <v>2193</v>
      </c>
      <c r="N1925" s="0" t="n">
        <v>20</v>
      </c>
      <c r="O1925" s="60" t="n">
        <v>125</v>
      </c>
    </row>
    <row r="1926" customFormat="false" ht="15" hidden="false" customHeight="false" outlineLevel="0" collapsed="false">
      <c r="A1926" s="0" t="n">
        <v>3</v>
      </c>
      <c r="B1926" s="59" t="n">
        <v>46230</v>
      </c>
      <c r="C1926" s="0" t="n">
        <v>11</v>
      </c>
      <c r="D1926" s="0" t="s">
        <v>2126</v>
      </c>
      <c r="E1926" s="0" t="n">
        <v>1625</v>
      </c>
      <c r="F1926" s="0" t="s">
        <v>322</v>
      </c>
      <c r="I1926" s="0" t="n">
        <v>14819</v>
      </c>
      <c r="J1926" s="0" t="n">
        <v>29079</v>
      </c>
      <c r="K1926" s="0" t="n">
        <v>55515</v>
      </c>
      <c r="L1926" s="0" t="s">
        <v>2213</v>
      </c>
      <c r="N1926" s="0" t="n">
        <v>70.8</v>
      </c>
      <c r="O1926" s="60" t="n">
        <v>2265.6</v>
      </c>
    </row>
    <row r="1927" customFormat="false" ht="15" hidden="false" customHeight="false" outlineLevel="0" collapsed="false">
      <c r="A1927" s="0" t="n">
        <v>3</v>
      </c>
      <c r="B1927" s="59" t="n">
        <v>46230</v>
      </c>
      <c r="C1927" s="0" t="n">
        <v>11</v>
      </c>
      <c r="D1927" s="0" t="s">
        <v>2126</v>
      </c>
      <c r="E1927" s="0" t="n">
        <v>1625</v>
      </c>
      <c r="F1927" s="0" t="s">
        <v>322</v>
      </c>
      <c r="I1927" s="0" t="n">
        <v>14819</v>
      </c>
      <c r="J1927" s="0" t="n">
        <v>29079</v>
      </c>
      <c r="K1927" s="0" t="n">
        <v>55515</v>
      </c>
      <c r="L1927" s="0" t="s">
        <v>2213</v>
      </c>
      <c r="N1927" s="0" t="n">
        <v>68</v>
      </c>
      <c r="O1927" s="60" t="n">
        <v>2176</v>
      </c>
    </row>
    <row r="1928" customFormat="false" ht="15" hidden="false" customHeight="false" outlineLevel="0" collapsed="false">
      <c r="A1928" s="0" t="n">
        <v>3</v>
      </c>
      <c r="B1928" s="59" t="n">
        <v>46230</v>
      </c>
      <c r="C1928" s="0" t="n">
        <v>11</v>
      </c>
      <c r="D1928" s="0" t="s">
        <v>2126</v>
      </c>
      <c r="E1928" s="0" t="n">
        <v>1955</v>
      </c>
      <c r="F1928" s="0" t="s">
        <v>2052</v>
      </c>
      <c r="I1928" s="0" t="n">
        <v>47553</v>
      </c>
      <c r="J1928" s="0" t="n">
        <v>45153</v>
      </c>
      <c r="K1928" s="0" t="n">
        <v>7899403713715</v>
      </c>
      <c r="L1928" s="0" t="s">
        <v>2412</v>
      </c>
      <c r="N1928" s="0" t="n">
        <v>80</v>
      </c>
      <c r="O1928" s="60" t="n">
        <v>78.8</v>
      </c>
    </row>
    <row r="1929" customFormat="false" ht="15" hidden="false" customHeight="false" outlineLevel="0" collapsed="false">
      <c r="A1929" s="0" t="n">
        <v>3</v>
      </c>
      <c r="B1929" s="59" t="n">
        <v>46230</v>
      </c>
      <c r="C1929" s="0" t="n">
        <v>11</v>
      </c>
      <c r="D1929" s="0" t="s">
        <v>2126</v>
      </c>
      <c r="E1929" s="0" t="n">
        <v>1955</v>
      </c>
      <c r="F1929" s="0" t="s">
        <v>2052</v>
      </c>
      <c r="I1929" s="0" t="n">
        <v>47553</v>
      </c>
      <c r="J1929" s="0" t="n">
        <v>45154</v>
      </c>
      <c r="K1929" s="0" t="n">
        <v>2246390</v>
      </c>
      <c r="L1929" s="0" t="s">
        <v>2413</v>
      </c>
      <c r="N1929" s="0" t="n">
        <v>282</v>
      </c>
      <c r="O1929" s="60" t="n">
        <v>276.78</v>
      </c>
    </row>
    <row r="1930" customFormat="false" ht="15" hidden="false" customHeight="false" outlineLevel="0" collapsed="false">
      <c r="A1930" s="0" t="n">
        <v>3</v>
      </c>
      <c r="B1930" s="59" t="n">
        <v>46230</v>
      </c>
      <c r="C1930" s="0" t="n">
        <v>11</v>
      </c>
      <c r="D1930" s="0" t="s">
        <v>2126</v>
      </c>
      <c r="E1930" s="0" t="n">
        <v>1955</v>
      </c>
      <c r="F1930" s="0" t="s">
        <v>2052</v>
      </c>
      <c r="I1930" s="0" t="n">
        <v>47553</v>
      </c>
      <c r="J1930" s="0" t="n">
        <v>45155</v>
      </c>
      <c r="K1930" s="0" t="n">
        <v>2246406</v>
      </c>
      <c r="L1930" s="0" t="s">
        <v>2414</v>
      </c>
      <c r="N1930" s="0" t="n">
        <v>215</v>
      </c>
      <c r="O1930" s="60" t="n">
        <v>211.78</v>
      </c>
    </row>
    <row r="1931" customFormat="false" ht="15" hidden="false" customHeight="false" outlineLevel="0" collapsed="false">
      <c r="A1931" s="0" t="n">
        <v>3</v>
      </c>
      <c r="B1931" s="59" t="n">
        <v>46230</v>
      </c>
      <c r="C1931" s="0" t="n">
        <v>100</v>
      </c>
      <c r="D1931" s="0" t="s">
        <v>2181</v>
      </c>
      <c r="E1931" s="0" t="n">
        <v>42</v>
      </c>
      <c r="F1931" s="0" t="s">
        <v>81</v>
      </c>
      <c r="I1931" s="0" t="n">
        <v>1463467</v>
      </c>
      <c r="J1931" s="0" t="n">
        <v>100006</v>
      </c>
      <c r="K1931" s="0" t="n">
        <v>7</v>
      </c>
      <c r="L1931" s="0" t="s">
        <v>2228</v>
      </c>
      <c r="N1931" s="0" t="n">
        <v>6.874</v>
      </c>
      <c r="O1931" s="60" t="n">
        <v>230.52</v>
      </c>
    </row>
    <row r="1932" customFormat="false" ht="15" hidden="false" customHeight="false" outlineLevel="0" collapsed="false">
      <c r="A1932" s="0" t="n">
        <v>3</v>
      </c>
      <c r="B1932" s="59" t="n">
        <v>46230</v>
      </c>
      <c r="C1932" s="0" t="n">
        <v>100</v>
      </c>
      <c r="D1932" s="0" t="s">
        <v>2181</v>
      </c>
      <c r="E1932" s="0" t="n">
        <v>42</v>
      </c>
      <c r="F1932" s="0" t="s">
        <v>81</v>
      </c>
      <c r="I1932" s="0" t="n">
        <v>1463467</v>
      </c>
      <c r="J1932" s="0" t="n">
        <v>100008</v>
      </c>
      <c r="K1932" s="0" t="n">
        <v>9</v>
      </c>
      <c r="L1932" s="0" t="s">
        <v>2229</v>
      </c>
      <c r="N1932" s="0" t="n">
        <v>14.26</v>
      </c>
      <c r="O1932" s="60" t="n">
        <v>490.16</v>
      </c>
    </row>
    <row r="1933" customFormat="false" ht="15" hidden="false" customHeight="false" outlineLevel="0" collapsed="false">
      <c r="A1933" s="0" t="n">
        <v>3</v>
      </c>
      <c r="B1933" s="59" t="n">
        <v>46230</v>
      </c>
      <c r="C1933" s="0" t="n">
        <v>100</v>
      </c>
      <c r="D1933" s="0" t="s">
        <v>2181</v>
      </c>
      <c r="E1933" s="0" t="n">
        <v>42</v>
      </c>
      <c r="F1933" s="0" t="s">
        <v>81</v>
      </c>
      <c r="I1933" s="0" t="n">
        <v>1463467</v>
      </c>
      <c r="J1933" s="0" t="n">
        <v>100010</v>
      </c>
      <c r="K1933" s="0" t="n">
        <v>11</v>
      </c>
      <c r="L1933" s="0" t="s">
        <v>2230</v>
      </c>
      <c r="N1933" s="0" t="n">
        <v>2.882</v>
      </c>
      <c r="O1933" s="60" t="n">
        <v>113.56</v>
      </c>
    </row>
    <row r="1934" customFormat="false" ht="15" hidden="false" customHeight="false" outlineLevel="0" collapsed="false">
      <c r="A1934" s="0" t="n">
        <v>3</v>
      </c>
      <c r="B1934" s="59" t="n">
        <v>46230</v>
      </c>
      <c r="C1934" s="0" t="n">
        <v>100</v>
      </c>
      <c r="D1934" s="0" t="s">
        <v>2181</v>
      </c>
      <c r="E1934" s="0" t="n">
        <v>42</v>
      </c>
      <c r="F1934" s="0" t="s">
        <v>81</v>
      </c>
      <c r="I1934" s="0" t="n">
        <v>1463467</v>
      </c>
      <c r="J1934" s="0" t="n">
        <v>100011</v>
      </c>
      <c r="K1934" s="0" t="n">
        <v>12</v>
      </c>
      <c r="L1934" s="0" t="s">
        <v>2231</v>
      </c>
      <c r="N1934" s="0" t="n">
        <v>6.215</v>
      </c>
      <c r="O1934" s="60" t="n">
        <v>244.9</v>
      </c>
    </row>
    <row r="1935" customFormat="false" ht="15" hidden="false" customHeight="false" outlineLevel="0" collapsed="false">
      <c r="A1935" s="0" t="n">
        <v>3</v>
      </c>
      <c r="B1935" s="59" t="n">
        <v>46230</v>
      </c>
      <c r="C1935" s="0" t="n">
        <v>100</v>
      </c>
      <c r="D1935" s="0" t="s">
        <v>2181</v>
      </c>
      <c r="E1935" s="0" t="n">
        <v>42</v>
      </c>
      <c r="F1935" s="0" t="s">
        <v>81</v>
      </c>
      <c r="I1935" s="0" t="n">
        <v>1463467</v>
      </c>
      <c r="J1935" s="0" t="n">
        <v>100012</v>
      </c>
      <c r="K1935" s="0" t="n">
        <v>13</v>
      </c>
      <c r="L1935" s="0" t="s">
        <v>2232</v>
      </c>
      <c r="N1935" s="0" t="n">
        <v>4.994</v>
      </c>
      <c r="O1935" s="60" t="n">
        <v>213.54</v>
      </c>
    </row>
    <row r="1936" customFormat="false" ht="15" hidden="false" customHeight="false" outlineLevel="0" collapsed="false">
      <c r="A1936" s="0" t="n">
        <v>3</v>
      </c>
      <c r="B1936" s="59" t="n">
        <v>46230</v>
      </c>
      <c r="C1936" s="0" t="n">
        <v>100</v>
      </c>
      <c r="D1936" s="0" t="s">
        <v>2181</v>
      </c>
      <c r="E1936" s="0" t="n">
        <v>42</v>
      </c>
      <c r="F1936" s="0" t="s">
        <v>81</v>
      </c>
      <c r="I1936" s="0" t="n">
        <v>1463467</v>
      </c>
      <c r="J1936" s="0" t="n">
        <v>100013</v>
      </c>
      <c r="K1936" s="0" t="n">
        <v>14</v>
      </c>
      <c r="L1936" s="0" t="s">
        <v>2233</v>
      </c>
      <c r="N1936" s="0" t="n">
        <v>9.58</v>
      </c>
      <c r="O1936" s="60" t="n">
        <v>441.76</v>
      </c>
    </row>
    <row r="1937" customFormat="false" ht="15" hidden="false" customHeight="false" outlineLevel="0" collapsed="false">
      <c r="A1937" s="0" t="n">
        <v>3</v>
      </c>
      <c r="B1937" s="59" t="n">
        <v>46230</v>
      </c>
      <c r="C1937" s="0" t="n">
        <v>100</v>
      </c>
      <c r="D1937" s="0" t="s">
        <v>2181</v>
      </c>
      <c r="E1937" s="0" t="n">
        <v>42</v>
      </c>
      <c r="F1937" s="0" t="s">
        <v>81</v>
      </c>
      <c r="I1937" s="0" t="n">
        <v>1463467</v>
      </c>
      <c r="J1937" s="0" t="n">
        <v>100014</v>
      </c>
      <c r="K1937" s="0" t="n">
        <v>15</v>
      </c>
      <c r="L1937" s="0" t="s">
        <v>2234</v>
      </c>
      <c r="N1937" s="0" t="n">
        <v>4.374</v>
      </c>
      <c r="O1937" s="60" t="n">
        <v>205.37</v>
      </c>
    </row>
    <row r="1938" customFormat="false" ht="15" hidden="false" customHeight="false" outlineLevel="0" collapsed="false">
      <c r="A1938" s="0" t="n">
        <v>3</v>
      </c>
      <c r="B1938" s="59" t="n">
        <v>46230</v>
      </c>
      <c r="C1938" s="0" t="n">
        <v>100</v>
      </c>
      <c r="D1938" s="0" t="s">
        <v>2181</v>
      </c>
      <c r="E1938" s="0" t="n">
        <v>42</v>
      </c>
      <c r="F1938" s="0" t="s">
        <v>81</v>
      </c>
      <c r="I1938" s="0" t="n">
        <v>1463467</v>
      </c>
      <c r="J1938" s="0" t="n">
        <v>100015</v>
      </c>
      <c r="K1938" s="0" t="n">
        <v>16</v>
      </c>
      <c r="L1938" s="0" t="s">
        <v>2235</v>
      </c>
      <c r="N1938" s="0" t="n">
        <v>1.62</v>
      </c>
      <c r="O1938" s="60" t="n">
        <v>69.27</v>
      </c>
    </row>
    <row r="1939" customFormat="false" ht="15" hidden="false" customHeight="false" outlineLevel="0" collapsed="false">
      <c r="A1939" s="0" t="n">
        <v>3</v>
      </c>
      <c r="B1939" s="59" t="n">
        <v>46230</v>
      </c>
      <c r="C1939" s="0" t="n">
        <v>100</v>
      </c>
      <c r="D1939" s="0" t="s">
        <v>2181</v>
      </c>
      <c r="E1939" s="0" t="n">
        <v>42</v>
      </c>
      <c r="F1939" s="0" t="s">
        <v>81</v>
      </c>
      <c r="I1939" s="0" t="n">
        <v>1463467</v>
      </c>
      <c r="J1939" s="0" t="n">
        <v>100016</v>
      </c>
      <c r="K1939" s="0" t="n">
        <v>17</v>
      </c>
      <c r="L1939" s="0" t="s">
        <v>2236</v>
      </c>
      <c r="N1939" s="0" t="n">
        <v>1.846</v>
      </c>
      <c r="O1939" s="60" t="n">
        <v>85.12</v>
      </c>
    </row>
    <row r="1940" customFormat="false" ht="15" hidden="false" customHeight="false" outlineLevel="0" collapsed="false">
      <c r="A1940" s="0" t="n">
        <v>3</v>
      </c>
      <c r="B1940" s="59" t="n">
        <v>46230</v>
      </c>
      <c r="C1940" s="0" t="n">
        <v>100</v>
      </c>
      <c r="D1940" s="0" t="s">
        <v>2181</v>
      </c>
      <c r="E1940" s="0" t="n">
        <v>42</v>
      </c>
      <c r="F1940" s="0" t="s">
        <v>81</v>
      </c>
      <c r="I1940" s="0" t="n">
        <v>1463467</v>
      </c>
      <c r="J1940" s="0" t="n">
        <v>100017</v>
      </c>
      <c r="K1940" s="0" t="n">
        <v>18</v>
      </c>
      <c r="L1940" s="0" t="s">
        <v>2237</v>
      </c>
      <c r="N1940" s="0" t="n">
        <v>1.788</v>
      </c>
      <c r="O1940" s="60" t="n">
        <v>97.44</v>
      </c>
    </row>
    <row r="1941" customFormat="false" ht="15" hidden="false" customHeight="false" outlineLevel="0" collapsed="false">
      <c r="A1941" s="0" t="n">
        <v>3</v>
      </c>
      <c r="B1941" s="59" t="n">
        <v>46230</v>
      </c>
      <c r="C1941" s="0" t="n">
        <v>100</v>
      </c>
      <c r="D1941" s="0" t="s">
        <v>2181</v>
      </c>
      <c r="E1941" s="0" t="n">
        <v>42</v>
      </c>
      <c r="F1941" s="0" t="s">
        <v>81</v>
      </c>
      <c r="I1941" s="0" t="n">
        <v>1463467</v>
      </c>
      <c r="J1941" s="0" t="n">
        <v>100053</v>
      </c>
      <c r="K1941" s="0" t="n">
        <v>54</v>
      </c>
      <c r="L1941" s="0" t="s">
        <v>2238</v>
      </c>
      <c r="N1941" s="0" t="n">
        <v>1.034</v>
      </c>
      <c r="O1941" s="60" t="n">
        <v>39.01</v>
      </c>
    </row>
    <row r="1942" customFormat="false" ht="15" hidden="false" customHeight="false" outlineLevel="0" collapsed="false">
      <c r="A1942" s="0" t="n">
        <v>3</v>
      </c>
      <c r="B1942" s="59" t="n">
        <v>46230</v>
      </c>
      <c r="C1942" s="0" t="n">
        <v>100</v>
      </c>
      <c r="D1942" s="0" t="s">
        <v>2181</v>
      </c>
      <c r="E1942" s="0" t="n">
        <v>42</v>
      </c>
      <c r="F1942" s="0" t="s">
        <v>81</v>
      </c>
      <c r="I1942" s="0" t="n">
        <v>1463467</v>
      </c>
      <c r="J1942" s="0" t="n">
        <v>100638</v>
      </c>
      <c r="K1942" s="0" t="n">
        <v>508</v>
      </c>
      <c r="L1942" s="0" t="s">
        <v>2178</v>
      </c>
      <c r="N1942" s="0" t="n">
        <v>3.254</v>
      </c>
      <c r="O1942" s="60" t="n">
        <v>5.43</v>
      </c>
    </row>
    <row r="1943" customFormat="false" ht="15" hidden="false" customHeight="false" outlineLevel="0" collapsed="false">
      <c r="A1943" s="0" t="n">
        <v>3</v>
      </c>
      <c r="B1943" s="59" t="n">
        <v>46230</v>
      </c>
      <c r="C1943" s="0" t="n">
        <v>100</v>
      </c>
      <c r="D1943" s="0" t="s">
        <v>2181</v>
      </c>
      <c r="E1943" s="0" t="n">
        <v>42</v>
      </c>
      <c r="F1943" s="0" t="s">
        <v>81</v>
      </c>
      <c r="I1943" s="0" t="n">
        <v>1463467</v>
      </c>
      <c r="J1943" s="0" t="n">
        <v>100520</v>
      </c>
      <c r="K1943" s="0" t="n">
        <v>507</v>
      </c>
      <c r="L1943" s="0" t="s">
        <v>2179</v>
      </c>
      <c r="N1943" s="0" t="n">
        <v>11.776</v>
      </c>
      <c r="O1943" s="60" t="n">
        <v>29.53</v>
      </c>
    </row>
    <row r="1944" customFormat="false" ht="15" hidden="false" customHeight="false" outlineLevel="0" collapsed="false">
      <c r="A1944" s="0" t="n">
        <v>3</v>
      </c>
      <c r="B1944" s="59" t="n">
        <v>46230</v>
      </c>
      <c r="C1944" s="0" t="n">
        <v>100</v>
      </c>
      <c r="D1944" s="0" t="s">
        <v>2181</v>
      </c>
      <c r="E1944" s="0" t="n">
        <v>42</v>
      </c>
      <c r="F1944" s="0" t="s">
        <v>81</v>
      </c>
      <c r="I1944" s="0" t="n">
        <v>1463467</v>
      </c>
      <c r="J1944" s="0" t="n">
        <v>110455</v>
      </c>
      <c r="K1944" s="0" t="n">
        <v>53212</v>
      </c>
      <c r="L1944" s="0" t="s">
        <v>2180</v>
      </c>
      <c r="N1944" s="0" t="n">
        <v>0.303</v>
      </c>
      <c r="O1944" s="60" t="n">
        <v>0</v>
      </c>
    </row>
    <row r="1945" customFormat="false" ht="15" hidden="false" customHeight="false" outlineLevel="0" collapsed="false">
      <c r="A1945" s="0" t="n">
        <v>3</v>
      </c>
      <c r="B1945" s="59" t="n">
        <v>46230</v>
      </c>
      <c r="C1945" s="0" t="n">
        <v>100</v>
      </c>
      <c r="D1945" s="0" t="s">
        <v>2181</v>
      </c>
      <c r="E1945" s="0" t="n">
        <v>42</v>
      </c>
      <c r="F1945" s="0" t="s">
        <v>81</v>
      </c>
      <c r="I1945" s="0" t="n">
        <v>1463472</v>
      </c>
      <c r="J1945" s="0" t="n">
        <v>100006</v>
      </c>
      <c r="K1945" s="0" t="n">
        <v>7</v>
      </c>
      <c r="L1945" s="0" t="s">
        <v>2228</v>
      </c>
      <c r="N1945" s="0" t="n">
        <v>6.847</v>
      </c>
      <c r="O1945" s="60" t="n">
        <v>223.78</v>
      </c>
    </row>
    <row r="1946" customFormat="false" ht="15" hidden="false" customHeight="false" outlineLevel="0" collapsed="false">
      <c r="A1946" s="0" t="n">
        <v>3</v>
      </c>
      <c r="B1946" s="59" t="n">
        <v>46230</v>
      </c>
      <c r="C1946" s="0" t="n">
        <v>100</v>
      </c>
      <c r="D1946" s="0" t="s">
        <v>2181</v>
      </c>
      <c r="E1946" s="0" t="n">
        <v>42</v>
      </c>
      <c r="F1946" s="0" t="s">
        <v>81</v>
      </c>
      <c r="I1946" s="0" t="n">
        <v>1463472</v>
      </c>
      <c r="J1946" s="0" t="n">
        <v>100008</v>
      </c>
      <c r="K1946" s="0" t="n">
        <v>9</v>
      </c>
      <c r="L1946" s="0" t="s">
        <v>2229</v>
      </c>
      <c r="N1946" s="0" t="n">
        <v>14.19</v>
      </c>
      <c r="O1946" s="60" t="n">
        <v>475.36</v>
      </c>
    </row>
    <row r="1947" customFormat="false" ht="15" hidden="false" customHeight="false" outlineLevel="0" collapsed="false">
      <c r="A1947" s="0" t="n">
        <v>3</v>
      </c>
      <c r="B1947" s="59" t="n">
        <v>46230</v>
      </c>
      <c r="C1947" s="0" t="n">
        <v>100</v>
      </c>
      <c r="D1947" s="0" t="s">
        <v>2181</v>
      </c>
      <c r="E1947" s="0" t="n">
        <v>42</v>
      </c>
      <c r="F1947" s="0" t="s">
        <v>81</v>
      </c>
      <c r="I1947" s="0" t="n">
        <v>1463472</v>
      </c>
      <c r="J1947" s="0" t="n">
        <v>100010</v>
      </c>
      <c r="K1947" s="0" t="n">
        <v>11</v>
      </c>
      <c r="L1947" s="0" t="s">
        <v>2230</v>
      </c>
      <c r="N1947" s="0" t="n">
        <v>2.556</v>
      </c>
      <c r="O1947" s="60" t="n">
        <v>98.16</v>
      </c>
    </row>
    <row r="1948" customFormat="false" ht="15" hidden="false" customHeight="false" outlineLevel="0" collapsed="false">
      <c r="A1948" s="0" t="n">
        <v>3</v>
      </c>
      <c r="B1948" s="59" t="n">
        <v>46230</v>
      </c>
      <c r="C1948" s="0" t="n">
        <v>100</v>
      </c>
      <c r="D1948" s="0" t="s">
        <v>2181</v>
      </c>
      <c r="E1948" s="0" t="n">
        <v>42</v>
      </c>
      <c r="F1948" s="0" t="s">
        <v>81</v>
      </c>
      <c r="I1948" s="0" t="n">
        <v>1463472</v>
      </c>
      <c r="J1948" s="0" t="n">
        <v>100011</v>
      </c>
      <c r="K1948" s="0" t="n">
        <v>12</v>
      </c>
      <c r="L1948" s="0" t="s">
        <v>2231</v>
      </c>
      <c r="N1948" s="0" t="n">
        <v>5.488</v>
      </c>
      <c r="O1948" s="60" t="n">
        <v>210.76</v>
      </c>
    </row>
    <row r="1949" customFormat="false" ht="15" hidden="false" customHeight="false" outlineLevel="0" collapsed="false">
      <c r="A1949" s="0" t="n">
        <v>3</v>
      </c>
      <c r="B1949" s="59" t="n">
        <v>46230</v>
      </c>
      <c r="C1949" s="0" t="n">
        <v>100</v>
      </c>
      <c r="D1949" s="0" t="s">
        <v>2181</v>
      </c>
      <c r="E1949" s="0" t="n">
        <v>42</v>
      </c>
      <c r="F1949" s="0" t="s">
        <v>81</v>
      </c>
      <c r="I1949" s="0" t="n">
        <v>1463472</v>
      </c>
      <c r="J1949" s="0" t="n">
        <v>100012</v>
      </c>
      <c r="K1949" s="0" t="n">
        <v>13</v>
      </c>
      <c r="L1949" s="0" t="s">
        <v>2232</v>
      </c>
      <c r="N1949" s="0" t="n">
        <v>5.074</v>
      </c>
      <c r="O1949" s="60" t="n">
        <v>211.45</v>
      </c>
    </row>
    <row r="1950" customFormat="false" ht="15" hidden="false" customHeight="false" outlineLevel="0" collapsed="false">
      <c r="A1950" s="0" t="n">
        <v>3</v>
      </c>
      <c r="B1950" s="59" t="n">
        <v>46230</v>
      </c>
      <c r="C1950" s="0" t="n">
        <v>100</v>
      </c>
      <c r="D1950" s="0" t="s">
        <v>2181</v>
      </c>
      <c r="E1950" s="0" t="n">
        <v>42</v>
      </c>
      <c r="F1950" s="0" t="s">
        <v>81</v>
      </c>
      <c r="I1950" s="0" t="n">
        <v>1463472</v>
      </c>
      <c r="J1950" s="0" t="n">
        <v>100013</v>
      </c>
      <c r="K1950" s="0" t="n">
        <v>14</v>
      </c>
      <c r="L1950" s="0" t="s">
        <v>2233</v>
      </c>
      <c r="N1950" s="0" t="n">
        <v>9.89</v>
      </c>
      <c r="O1950" s="60" t="n">
        <v>444.47</v>
      </c>
    </row>
    <row r="1951" customFormat="false" ht="15" hidden="false" customHeight="false" outlineLevel="0" collapsed="false">
      <c r="A1951" s="0" t="n">
        <v>3</v>
      </c>
      <c r="B1951" s="59" t="n">
        <v>46230</v>
      </c>
      <c r="C1951" s="0" t="n">
        <v>100</v>
      </c>
      <c r="D1951" s="0" t="s">
        <v>2181</v>
      </c>
      <c r="E1951" s="0" t="n">
        <v>42</v>
      </c>
      <c r="F1951" s="0" t="s">
        <v>81</v>
      </c>
      <c r="I1951" s="0" t="n">
        <v>1463472</v>
      </c>
      <c r="J1951" s="0" t="n">
        <v>100014</v>
      </c>
      <c r="K1951" s="0" t="n">
        <v>15</v>
      </c>
      <c r="L1951" s="0" t="s">
        <v>2234</v>
      </c>
      <c r="N1951" s="0" t="n">
        <v>4.058</v>
      </c>
      <c r="O1951" s="60" t="n">
        <v>185.69</v>
      </c>
    </row>
    <row r="1952" customFormat="false" ht="15" hidden="false" customHeight="false" outlineLevel="0" collapsed="false">
      <c r="A1952" s="0" t="n">
        <v>3</v>
      </c>
      <c r="B1952" s="59" t="n">
        <v>46230</v>
      </c>
      <c r="C1952" s="0" t="n">
        <v>100</v>
      </c>
      <c r="D1952" s="0" t="s">
        <v>2181</v>
      </c>
      <c r="E1952" s="0" t="n">
        <v>42</v>
      </c>
      <c r="F1952" s="0" t="s">
        <v>81</v>
      </c>
      <c r="I1952" s="0" t="n">
        <v>1463472</v>
      </c>
      <c r="J1952" s="0" t="n">
        <v>100015</v>
      </c>
      <c r="K1952" s="0" t="n">
        <v>16</v>
      </c>
      <c r="L1952" s="0" t="s">
        <v>2235</v>
      </c>
      <c r="N1952" s="0" t="n">
        <v>1.526</v>
      </c>
      <c r="O1952" s="60" t="n">
        <v>63.59</v>
      </c>
    </row>
    <row r="1953" customFormat="false" ht="15" hidden="false" customHeight="false" outlineLevel="0" collapsed="false">
      <c r="A1953" s="0" t="n">
        <v>3</v>
      </c>
      <c r="B1953" s="59" t="n">
        <v>46230</v>
      </c>
      <c r="C1953" s="0" t="n">
        <v>100</v>
      </c>
      <c r="D1953" s="0" t="s">
        <v>2181</v>
      </c>
      <c r="E1953" s="0" t="n">
        <v>42</v>
      </c>
      <c r="F1953" s="0" t="s">
        <v>81</v>
      </c>
      <c r="I1953" s="0" t="n">
        <v>1463472</v>
      </c>
      <c r="J1953" s="0" t="n">
        <v>100016</v>
      </c>
      <c r="K1953" s="0" t="n">
        <v>17</v>
      </c>
      <c r="L1953" s="0" t="s">
        <v>2236</v>
      </c>
      <c r="N1953" s="0" t="n">
        <v>1.634</v>
      </c>
      <c r="O1953" s="60" t="n">
        <v>73.43</v>
      </c>
    </row>
    <row r="1954" customFormat="false" ht="15" hidden="false" customHeight="false" outlineLevel="0" collapsed="false">
      <c r="A1954" s="0" t="n">
        <v>3</v>
      </c>
      <c r="B1954" s="59" t="n">
        <v>46230</v>
      </c>
      <c r="C1954" s="0" t="n">
        <v>100</v>
      </c>
      <c r="D1954" s="0" t="s">
        <v>2181</v>
      </c>
      <c r="E1954" s="0" t="n">
        <v>42</v>
      </c>
      <c r="F1954" s="0" t="s">
        <v>81</v>
      </c>
      <c r="I1954" s="0" t="n">
        <v>1463472</v>
      </c>
      <c r="J1954" s="0" t="n">
        <v>100017</v>
      </c>
      <c r="K1954" s="0" t="n">
        <v>18</v>
      </c>
      <c r="L1954" s="0" t="s">
        <v>2237</v>
      </c>
      <c r="N1954" s="0" t="n">
        <v>1.78</v>
      </c>
      <c r="O1954" s="60" t="n">
        <v>94.54</v>
      </c>
    </row>
    <row r="1955" customFormat="false" ht="15" hidden="false" customHeight="false" outlineLevel="0" collapsed="false">
      <c r="A1955" s="0" t="n">
        <v>3</v>
      </c>
      <c r="B1955" s="59" t="n">
        <v>46230</v>
      </c>
      <c r="C1955" s="0" t="n">
        <v>100</v>
      </c>
      <c r="D1955" s="0" t="s">
        <v>2181</v>
      </c>
      <c r="E1955" s="0" t="n">
        <v>42</v>
      </c>
      <c r="F1955" s="0" t="s">
        <v>81</v>
      </c>
      <c r="I1955" s="0" t="n">
        <v>1463472</v>
      </c>
      <c r="J1955" s="0" t="n">
        <v>100053</v>
      </c>
      <c r="K1955" s="0" t="n">
        <v>54</v>
      </c>
      <c r="L1955" s="0" t="s">
        <v>2238</v>
      </c>
      <c r="N1955" s="0" t="n">
        <v>1.792</v>
      </c>
      <c r="O1955" s="60" t="n">
        <v>65.89</v>
      </c>
    </row>
    <row r="1956" customFormat="false" ht="15" hidden="false" customHeight="false" outlineLevel="0" collapsed="false">
      <c r="A1956" s="0" t="n">
        <v>3</v>
      </c>
      <c r="B1956" s="59" t="n">
        <v>46230</v>
      </c>
      <c r="C1956" s="0" t="n">
        <v>100</v>
      </c>
      <c r="D1956" s="0" t="s">
        <v>2181</v>
      </c>
      <c r="E1956" s="0" t="n">
        <v>42</v>
      </c>
      <c r="F1956" s="0" t="s">
        <v>81</v>
      </c>
      <c r="I1956" s="0" t="n">
        <v>1463472</v>
      </c>
      <c r="J1956" s="0" t="n">
        <v>100638</v>
      </c>
      <c r="K1956" s="0" t="n">
        <v>508</v>
      </c>
      <c r="L1956" s="0" t="s">
        <v>2178</v>
      </c>
      <c r="N1956" s="0" t="n">
        <v>3.486</v>
      </c>
      <c r="O1956" s="60" t="n">
        <v>5.67</v>
      </c>
    </row>
    <row r="1957" customFormat="false" ht="15" hidden="false" customHeight="false" outlineLevel="0" collapsed="false">
      <c r="A1957" s="0" t="n">
        <v>3</v>
      </c>
      <c r="B1957" s="59" t="n">
        <v>46230</v>
      </c>
      <c r="C1957" s="0" t="n">
        <v>100</v>
      </c>
      <c r="D1957" s="0" t="s">
        <v>2181</v>
      </c>
      <c r="E1957" s="0" t="n">
        <v>42</v>
      </c>
      <c r="F1957" s="0" t="s">
        <v>81</v>
      </c>
      <c r="I1957" s="0" t="n">
        <v>1463472</v>
      </c>
      <c r="J1957" s="0" t="n">
        <v>100520</v>
      </c>
      <c r="K1957" s="0" t="n">
        <v>507</v>
      </c>
      <c r="L1957" s="0" t="s">
        <v>2179</v>
      </c>
      <c r="N1957" s="0" t="n">
        <v>9.5</v>
      </c>
      <c r="O1957" s="60" t="n">
        <v>23.21</v>
      </c>
    </row>
    <row r="1958" customFormat="false" ht="15" hidden="false" customHeight="false" outlineLevel="0" collapsed="false">
      <c r="A1958" s="0" t="n">
        <v>3</v>
      </c>
      <c r="B1958" s="59" t="n">
        <v>46230</v>
      </c>
      <c r="C1958" s="0" t="n">
        <v>100</v>
      </c>
      <c r="D1958" s="0" t="s">
        <v>2181</v>
      </c>
      <c r="E1958" s="0" t="n">
        <v>42</v>
      </c>
      <c r="F1958" s="0" t="s">
        <v>81</v>
      </c>
      <c r="I1958" s="0" t="n">
        <v>1463472</v>
      </c>
      <c r="J1958" s="0" t="n">
        <v>110455</v>
      </c>
      <c r="K1958" s="0" t="n">
        <v>53212</v>
      </c>
      <c r="L1958" s="0" t="s">
        <v>2180</v>
      </c>
      <c r="N1958" s="0" t="n">
        <v>0.179</v>
      </c>
      <c r="O1958" s="60" t="n">
        <v>0</v>
      </c>
    </row>
    <row r="1959" customFormat="false" ht="15" hidden="false" customHeight="false" outlineLevel="0" collapsed="false">
      <c r="A1959" s="0" t="n">
        <v>3</v>
      </c>
      <c r="B1959" s="59" t="n">
        <v>46231</v>
      </c>
      <c r="C1959" s="0" t="n">
        <v>6</v>
      </c>
      <c r="D1959" s="0" t="s">
        <v>2125</v>
      </c>
      <c r="E1959" s="0" t="n">
        <v>42</v>
      </c>
      <c r="F1959" s="0" t="s">
        <v>81</v>
      </c>
      <c r="I1959" s="0" t="n">
        <v>4434</v>
      </c>
      <c r="J1959" s="0" t="n">
        <v>100062</v>
      </c>
      <c r="K1959" s="0" t="n">
        <v>63</v>
      </c>
      <c r="L1959" s="0" t="s">
        <v>2259</v>
      </c>
      <c r="N1959" s="0" t="n">
        <v>8.5</v>
      </c>
      <c r="O1959" s="60" t="n">
        <v>102</v>
      </c>
    </row>
    <row r="1960" customFormat="false" ht="15" hidden="false" customHeight="false" outlineLevel="0" collapsed="false">
      <c r="A1960" s="0" t="n">
        <v>3</v>
      </c>
      <c r="B1960" s="59" t="n">
        <v>46231</v>
      </c>
      <c r="C1960" s="0" t="n">
        <v>6</v>
      </c>
      <c r="D1960" s="0" t="s">
        <v>2125</v>
      </c>
      <c r="E1960" s="0" t="n">
        <v>42</v>
      </c>
      <c r="F1960" s="0" t="s">
        <v>81</v>
      </c>
      <c r="I1960" s="0" t="n">
        <v>4434</v>
      </c>
      <c r="J1960" s="0" t="n">
        <v>100104</v>
      </c>
      <c r="K1960" s="0" t="n">
        <v>105</v>
      </c>
      <c r="L1960" s="0" t="s">
        <v>2260</v>
      </c>
      <c r="N1960" s="0" t="n">
        <v>5</v>
      </c>
      <c r="O1960" s="60" t="n">
        <v>35</v>
      </c>
    </row>
    <row r="1961" customFormat="false" ht="15" hidden="false" customHeight="false" outlineLevel="0" collapsed="false">
      <c r="A1961" s="0" t="n">
        <v>3</v>
      </c>
      <c r="B1961" s="59" t="n">
        <v>46231</v>
      </c>
      <c r="C1961" s="0" t="n">
        <v>6</v>
      </c>
      <c r="D1961" s="0" t="s">
        <v>2125</v>
      </c>
      <c r="E1961" s="0" t="n">
        <v>42</v>
      </c>
      <c r="F1961" s="0" t="s">
        <v>81</v>
      </c>
      <c r="I1961" s="0" t="n">
        <v>4434</v>
      </c>
      <c r="J1961" s="0" t="n">
        <v>100105</v>
      </c>
      <c r="K1961" s="0" t="n">
        <v>106</v>
      </c>
      <c r="L1961" s="0" t="s">
        <v>2620</v>
      </c>
      <c r="N1961" s="0" t="n">
        <v>48</v>
      </c>
      <c r="O1961" s="60" t="n">
        <v>320</v>
      </c>
    </row>
    <row r="1962" customFormat="false" ht="15" hidden="false" customHeight="false" outlineLevel="0" collapsed="false">
      <c r="A1962" s="0" t="n">
        <v>3</v>
      </c>
      <c r="B1962" s="59" t="n">
        <v>46231</v>
      </c>
      <c r="C1962" s="0" t="n">
        <v>6</v>
      </c>
      <c r="D1962" s="0" t="s">
        <v>2125</v>
      </c>
      <c r="E1962" s="0" t="n">
        <v>42</v>
      </c>
      <c r="F1962" s="0" t="s">
        <v>81</v>
      </c>
      <c r="I1962" s="0" t="n">
        <v>4434</v>
      </c>
      <c r="J1962" s="0" t="n">
        <v>100107</v>
      </c>
      <c r="K1962" s="0" t="n">
        <v>108</v>
      </c>
      <c r="L1962" s="0" t="s">
        <v>2877</v>
      </c>
      <c r="N1962" s="0" t="n">
        <v>3</v>
      </c>
      <c r="O1962" s="60" t="n">
        <v>36</v>
      </c>
    </row>
    <row r="1963" customFormat="false" ht="15" hidden="false" customHeight="false" outlineLevel="0" collapsed="false">
      <c r="A1963" s="0" t="n">
        <v>3</v>
      </c>
      <c r="B1963" s="59" t="n">
        <v>46231</v>
      </c>
      <c r="C1963" s="0" t="n">
        <v>6</v>
      </c>
      <c r="D1963" s="0" t="s">
        <v>2125</v>
      </c>
      <c r="E1963" s="0" t="n">
        <v>42</v>
      </c>
      <c r="F1963" s="0" t="s">
        <v>81</v>
      </c>
      <c r="I1963" s="0" t="n">
        <v>4434</v>
      </c>
      <c r="J1963" s="0" t="n">
        <v>100109</v>
      </c>
      <c r="K1963" s="0" t="n">
        <v>110</v>
      </c>
      <c r="L1963" s="0" t="s">
        <v>2261</v>
      </c>
      <c r="N1963" s="0" t="n">
        <v>20</v>
      </c>
      <c r="O1963" s="60" t="n">
        <v>140</v>
      </c>
    </row>
    <row r="1964" customFormat="false" ht="15" hidden="false" customHeight="false" outlineLevel="0" collapsed="false">
      <c r="A1964" s="0" t="n">
        <v>3</v>
      </c>
      <c r="B1964" s="59" t="n">
        <v>46231</v>
      </c>
      <c r="C1964" s="0" t="n">
        <v>6</v>
      </c>
      <c r="D1964" s="0" t="s">
        <v>2125</v>
      </c>
      <c r="E1964" s="0" t="n">
        <v>42</v>
      </c>
      <c r="F1964" s="0" t="s">
        <v>81</v>
      </c>
      <c r="I1964" s="0" t="n">
        <v>4434</v>
      </c>
      <c r="J1964" s="0" t="n">
        <v>100110</v>
      </c>
      <c r="K1964" s="0" t="n">
        <v>111</v>
      </c>
      <c r="L1964" s="0" t="s">
        <v>2262</v>
      </c>
      <c r="N1964" s="0" t="n">
        <v>7</v>
      </c>
      <c r="O1964" s="60" t="n">
        <v>63</v>
      </c>
    </row>
    <row r="1965" customFormat="false" ht="15" hidden="false" customHeight="false" outlineLevel="0" collapsed="false">
      <c r="A1965" s="0" t="n">
        <v>3</v>
      </c>
      <c r="B1965" s="59" t="n">
        <v>46231</v>
      </c>
      <c r="C1965" s="0" t="n">
        <v>6</v>
      </c>
      <c r="D1965" s="0" t="s">
        <v>2125</v>
      </c>
      <c r="E1965" s="0" t="n">
        <v>42</v>
      </c>
      <c r="F1965" s="0" t="s">
        <v>81</v>
      </c>
      <c r="I1965" s="0" t="n">
        <v>4434</v>
      </c>
      <c r="J1965" s="0" t="n">
        <v>100113</v>
      </c>
      <c r="K1965" s="0" t="n">
        <v>114</v>
      </c>
      <c r="L1965" s="0" t="s">
        <v>2264</v>
      </c>
      <c r="N1965" s="0" t="n">
        <v>40</v>
      </c>
      <c r="O1965" s="60" t="n">
        <v>150</v>
      </c>
    </row>
    <row r="1966" customFormat="false" ht="15" hidden="false" customHeight="false" outlineLevel="0" collapsed="false">
      <c r="A1966" s="0" t="n">
        <v>3</v>
      </c>
      <c r="B1966" s="59" t="n">
        <v>46231</v>
      </c>
      <c r="C1966" s="0" t="n">
        <v>6</v>
      </c>
      <c r="D1966" s="0" t="s">
        <v>2125</v>
      </c>
      <c r="E1966" s="0" t="n">
        <v>42</v>
      </c>
      <c r="F1966" s="0" t="s">
        <v>81</v>
      </c>
      <c r="I1966" s="0" t="n">
        <v>4434</v>
      </c>
      <c r="J1966" s="0" t="n">
        <v>100115</v>
      </c>
      <c r="K1966" s="0" t="n">
        <v>116</v>
      </c>
      <c r="L1966" s="0" t="s">
        <v>2265</v>
      </c>
      <c r="N1966" s="0" t="n">
        <v>15</v>
      </c>
      <c r="O1966" s="60" t="n">
        <v>120</v>
      </c>
    </row>
    <row r="1967" customFormat="false" ht="15" hidden="false" customHeight="false" outlineLevel="0" collapsed="false">
      <c r="A1967" s="0" t="n">
        <v>3</v>
      </c>
      <c r="B1967" s="59" t="n">
        <v>46231</v>
      </c>
      <c r="C1967" s="0" t="n">
        <v>6</v>
      </c>
      <c r="D1967" s="0" t="s">
        <v>2125</v>
      </c>
      <c r="E1967" s="0" t="n">
        <v>42</v>
      </c>
      <c r="F1967" s="0" t="s">
        <v>81</v>
      </c>
      <c r="I1967" s="0" t="n">
        <v>4434</v>
      </c>
      <c r="J1967" s="0" t="n">
        <v>100116</v>
      </c>
      <c r="K1967" s="0" t="n">
        <v>117</v>
      </c>
      <c r="L1967" s="0" t="s">
        <v>2266</v>
      </c>
      <c r="N1967" s="0" t="n">
        <v>4</v>
      </c>
      <c r="O1967" s="60" t="n">
        <v>40</v>
      </c>
    </row>
    <row r="1968" customFormat="false" ht="15" hidden="false" customHeight="false" outlineLevel="0" collapsed="false">
      <c r="A1968" s="0" t="n">
        <v>3</v>
      </c>
      <c r="B1968" s="59" t="n">
        <v>46231</v>
      </c>
      <c r="C1968" s="0" t="n">
        <v>6</v>
      </c>
      <c r="D1968" s="0" t="s">
        <v>2125</v>
      </c>
      <c r="E1968" s="0" t="n">
        <v>42</v>
      </c>
      <c r="F1968" s="0" t="s">
        <v>81</v>
      </c>
      <c r="I1968" s="0" t="n">
        <v>4434</v>
      </c>
      <c r="J1968" s="0" t="n">
        <v>100118</v>
      </c>
      <c r="K1968" s="0" t="n">
        <v>119</v>
      </c>
      <c r="L1968" s="0" t="s">
        <v>2267</v>
      </c>
      <c r="N1968" s="0" t="n">
        <v>5</v>
      </c>
      <c r="O1968" s="60" t="n">
        <v>40</v>
      </c>
    </row>
    <row r="1969" customFormat="false" ht="15" hidden="false" customHeight="false" outlineLevel="0" collapsed="false">
      <c r="A1969" s="0" t="n">
        <v>3</v>
      </c>
      <c r="B1969" s="59" t="n">
        <v>46231</v>
      </c>
      <c r="C1969" s="0" t="n">
        <v>6</v>
      </c>
      <c r="D1969" s="0" t="s">
        <v>2125</v>
      </c>
      <c r="E1969" s="0" t="n">
        <v>42</v>
      </c>
      <c r="F1969" s="0" t="s">
        <v>81</v>
      </c>
      <c r="I1969" s="0" t="n">
        <v>4434</v>
      </c>
      <c r="J1969" s="0" t="n">
        <v>100121</v>
      </c>
      <c r="K1969" s="0" t="n">
        <v>122</v>
      </c>
      <c r="L1969" s="0" t="s">
        <v>2422</v>
      </c>
      <c r="N1969" s="0" t="n">
        <v>5</v>
      </c>
      <c r="O1969" s="60" t="n">
        <v>50</v>
      </c>
    </row>
    <row r="1970" customFormat="false" ht="15" hidden="false" customHeight="false" outlineLevel="0" collapsed="false">
      <c r="A1970" s="0" t="n">
        <v>3</v>
      </c>
      <c r="B1970" s="59" t="n">
        <v>46231</v>
      </c>
      <c r="C1970" s="0" t="n">
        <v>6</v>
      </c>
      <c r="D1970" s="0" t="s">
        <v>2125</v>
      </c>
      <c r="E1970" s="0" t="n">
        <v>42</v>
      </c>
      <c r="F1970" s="0" t="s">
        <v>81</v>
      </c>
      <c r="I1970" s="0" t="n">
        <v>4434</v>
      </c>
      <c r="J1970" s="0" t="n">
        <v>100124</v>
      </c>
      <c r="K1970" s="0" t="n">
        <v>125</v>
      </c>
      <c r="L1970" s="0" t="s">
        <v>2269</v>
      </c>
      <c r="N1970" s="0" t="n">
        <v>5.6</v>
      </c>
      <c r="O1970" s="60" t="n">
        <v>50</v>
      </c>
    </row>
    <row r="1971" customFormat="false" ht="15" hidden="false" customHeight="false" outlineLevel="0" collapsed="false">
      <c r="A1971" s="0" t="n">
        <v>3</v>
      </c>
      <c r="B1971" s="59" t="n">
        <v>46231</v>
      </c>
      <c r="C1971" s="0" t="n">
        <v>6</v>
      </c>
      <c r="D1971" s="0" t="s">
        <v>2125</v>
      </c>
      <c r="E1971" s="0" t="n">
        <v>42</v>
      </c>
      <c r="F1971" s="0" t="s">
        <v>81</v>
      </c>
      <c r="I1971" s="0" t="n">
        <v>4434</v>
      </c>
      <c r="J1971" s="0" t="n">
        <v>100125</v>
      </c>
      <c r="K1971" s="0" t="n">
        <v>126</v>
      </c>
      <c r="L1971" s="0" t="s">
        <v>2424</v>
      </c>
      <c r="N1971" s="0" t="n">
        <v>20</v>
      </c>
      <c r="O1971" s="60" t="n">
        <v>120</v>
      </c>
    </row>
    <row r="1972" customFormat="false" ht="15" hidden="false" customHeight="false" outlineLevel="0" collapsed="false">
      <c r="A1972" s="0" t="n">
        <v>3</v>
      </c>
      <c r="B1972" s="59" t="n">
        <v>46231</v>
      </c>
      <c r="C1972" s="0" t="n">
        <v>6</v>
      </c>
      <c r="D1972" s="0" t="s">
        <v>2125</v>
      </c>
      <c r="E1972" s="0" t="n">
        <v>42</v>
      </c>
      <c r="F1972" s="0" t="s">
        <v>81</v>
      </c>
      <c r="I1972" s="0" t="n">
        <v>4434</v>
      </c>
      <c r="J1972" s="0" t="n">
        <v>100130</v>
      </c>
      <c r="K1972" s="0" t="n">
        <v>131</v>
      </c>
      <c r="L1972" s="0" t="s">
        <v>2621</v>
      </c>
      <c r="N1972" s="0" t="n">
        <v>10</v>
      </c>
      <c r="O1972" s="60" t="n">
        <v>70</v>
      </c>
    </row>
    <row r="1973" customFormat="false" ht="15" hidden="false" customHeight="false" outlineLevel="0" collapsed="false">
      <c r="A1973" s="0" t="n">
        <v>3</v>
      </c>
      <c r="B1973" s="59" t="n">
        <v>46231</v>
      </c>
      <c r="C1973" s="0" t="n">
        <v>6</v>
      </c>
      <c r="D1973" s="0" t="s">
        <v>2125</v>
      </c>
      <c r="E1973" s="0" t="n">
        <v>42</v>
      </c>
      <c r="F1973" s="0" t="s">
        <v>81</v>
      </c>
      <c r="I1973" s="0" t="n">
        <v>4434</v>
      </c>
      <c r="J1973" s="0" t="n">
        <v>100131</v>
      </c>
      <c r="K1973" s="0" t="n">
        <v>132</v>
      </c>
      <c r="L1973" s="0" t="s">
        <v>2425</v>
      </c>
      <c r="N1973" s="0" t="n">
        <v>1</v>
      </c>
      <c r="O1973" s="60" t="n">
        <v>35</v>
      </c>
    </row>
    <row r="1974" customFormat="false" ht="15" hidden="false" customHeight="false" outlineLevel="0" collapsed="false">
      <c r="A1974" s="0" t="n">
        <v>3</v>
      </c>
      <c r="B1974" s="59" t="n">
        <v>46231</v>
      </c>
      <c r="C1974" s="0" t="n">
        <v>6</v>
      </c>
      <c r="D1974" s="0" t="s">
        <v>2125</v>
      </c>
      <c r="E1974" s="0" t="n">
        <v>42</v>
      </c>
      <c r="F1974" s="0" t="s">
        <v>81</v>
      </c>
      <c r="I1974" s="0" t="n">
        <v>4434</v>
      </c>
      <c r="J1974" s="0" t="n">
        <v>100132</v>
      </c>
      <c r="K1974" s="0" t="n">
        <v>133</v>
      </c>
      <c r="L1974" s="0" t="s">
        <v>2270</v>
      </c>
      <c r="N1974" s="0" t="n">
        <v>85</v>
      </c>
      <c r="O1974" s="60" t="n">
        <v>252</v>
      </c>
    </row>
    <row r="1975" customFormat="false" ht="15" hidden="false" customHeight="false" outlineLevel="0" collapsed="false">
      <c r="A1975" s="0" t="n">
        <v>3</v>
      </c>
      <c r="B1975" s="59" t="n">
        <v>46231</v>
      </c>
      <c r="C1975" s="0" t="n">
        <v>6</v>
      </c>
      <c r="D1975" s="0" t="s">
        <v>2125</v>
      </c>
      <c r="E1975" s="0" t="n">
        <v>42</v>
      </c>
      <c r="F1975" s="0" t="s">
        <v>81</v>
      </c>
      <c r="I1975" s="0" t="n">
        <v>4434</v>
      </c>
      <c r="J1975" s="0" t="n">
        <v>100133</v>
      </c>
      <c r="K1975" s="0" t="n">
        <v>134</v>
      </c>
      <c r="L1975" s="0" t="s">
        <v>2271</v>
      </c>
      <c r="N1975" s="0" t="n">
        <v>10</v>
      </c>
      <c r="O1975" s="60" t="n">
        <v>60</v>
      </c>
    </row>
    <row r="1976" customFormat="false" ht="15" hidden="false" customHeight="false" outlineLevel="0" collapsed="false">
      <c r="A1976" s="0" t="n">
        <v>3</v>
      </c>
      <c r="B1976" s="59" t="n">
        <v>46231</v>
      </c>
      <c r="C1976" s="0" t="n">
        <v>6</v>
      </c>
      <c r="D1976" s="0" t="s">
        <v>2125</v>
      </c>
      <c r="E1976" s="0" t="n">
        <v>42</v>
      </c>
      <c r="F1976" s="0" t="s">
        <v>81</v>
      </c>
      <c r="I1976" s="0" t="n">
        <v>4434</v>
      </c>
      <c r="J1976" s="0" t="n">
        <v>100148</v>
      </c>
      <c r="K1976" s="0" t="n">
        <v>149</v>
      </c>
      <c r="L1976" s="0" t="s">
        <v>2272</v>
      </c>
      <c r="N1976" s="0" t="n">
        <v>4.5</v>
      </c>
      <c r="O1976" s="60" t="n">
        <v>63</v>
      </c>
    </row>
    <row r="1977" customFormat="false" ht="15" hidden="false" customHeight="false" outlineLevel="0" collapsed="false">
      <c r="A1977" s="0" t="n">
        <v>3</v>
      </c>
      <c r="B1977" s="59" t="n">
        <v>46231</v>
      </c>
      <c r="C1977" s="0" t="n">
        <v>6</v>
      </c>
      <c r="D1977" s="0" t="s">
        <v>2125</v>
      </c>
      <c r="E1977" s="0" t="n">
        <v>42</v>
      </c>
      <c r="F1977" s="0" t="s">
        <v>81</v>
      </c>
      <c r="I1977" s="0" t="n">
        <v>4434</v>
      </c>
      <c r="J1977" s="0" t="n">
        <v>110142</v>
      </c>
      <c r="K1977" s="0" t="n">
        <v>16699</v>
      </c>
      <c r="L1977" s="0" t="s">
        <v>2273</v>
      </c>
      <c r="N1977" s="0" t="n">
        <v>20</v>
      </c>
      <c r="O1977" s="60" t="n">
        <v>130</v>
      </c>
    </row>
    <row r="1978" customFormat="false" ht="15" hidden="false" customHeight="false" outlineLevel="0" collapsed="false">
      <c r="A1978" s="0" t="n">
        <v>3</v>
      </c>
      <c r="B1978" s="59" t="n">
        <v>46231</v>
      </c>
      <c r="C1978" s="0" t="n">
        <v>6</v>
      </c>
      <c r="D1978" s="0" t="s">
        <v>2125</v>
      </c>
      <c r="E1978" s="0" t="n">
        <v>42</v>
      </c>
      <c r="F1978" s="0" t="s">
        <v>81</v>
      </c>
      <c r="I1978" s="0" t="n">
        <v>4434</v>
      </c>
      <c r="J1978" s="0" t="n">
        <v>37363</v>
      </c>
      <c r="K1978" s="0" t="n">
        <v>55528</v>
      </c>
      <c r="L1978" s="0" t="s">
        <v>3058</v>
      </c>
      <c r="N1978" s="0" t="n">
        <v>27</v>
      </c>
      <c r="O1978" s="60" t="n">
        <v>30</v>
      </c>
    </row>
    <row r="1979" customFormat="false" ht="15" hidden="false" customHeight="false" outlineLevel="0" collapsed="false">
      <c r="A1979" s="0" t="n">
        <v>3</v>
      </c>
      <c r="B1979" s="59" t="n">
        <v>46231</v>
      </c>
      <c r="C1979" s="0" t="n">
        <v>6</v>
      </c>
      <c r="D1979" s="0" t="s">
        <v>2125</v>
      </c>
      <c r="E1979" s="0" t="n">
        <v>42</v>
      </c>
      <c r="F1979" s="0" t="s">
        <v>81</v>
      </c>
      <c r="I1979" s="0" t="n">
        <v>4434</v>
      </c>
      <c r="J1979" s="0" t="n">
        <v>110265</v>
      </c>
      <c r="K1979" s="0" t="n">
        <v>41346</v>
      </c>
      <c r="L1979" s="0" t="s">
        <v>3007</v>
      </c>
      <c r="N1979" s="0" t="n">
        <v>7</v>
      </c>
      <c r="O1979" s="60" t="n">
        <v>98</v>
      </c>
    </row>
    <row r="1980" customFormat="false" ht="15" hidden="false" customHeight="false" outlineLevel="0" collapsed="false">
      <c r="A1980" s="0" t="n">
        <v>3</v>
      </c>
      <c r="B1980" s="59" t="n">
        <v>46231</v>
      </c>
      <c r="C1980" s="0" t="n">
        <v>6</v>
      </c>
      <c r="D1980" s="0" t="s">
        <v>2125</v>
      </c>
      <c r="E1980" s="0" t="n">
        <v>42</v>
      </c>
      <c r="F1980" s="0" t="s">
        <v>81</v>
      </c>
      <c r="I1980" s="0" t="n">
        <v>4435</v>
      </c>
      <c r="J1980" s="0" t="n">
        <v>109791</v>
      </c>
      <c r="K1980" s="0" t="n">
        <v>9667</v>
      </c>
      <c r="L1980" s="0" t="s">
        <v>2123</v>
      </c>
      <c r="N1980" s="0" t="n">
        <v>10</v>
      </c>
      <c r="O1980" s="60" t="n">
        <v>25</v>
      </c>
    </row>
    <row r="1981" customFormat="false" ht="15" hidden="false" customHeight="false" outlineLevel="0" collapsed="false">
      <c r="A1981" s="0" t="n">
        <v>3</v>
      </c>
      <c r="B1981" s="59" t="n">
        <v>46231</v>
      </c>
      <c r="C1981" s="0" t="n">
        <v>6</v>
      </c>
      <c r="D1981" s="0" t="s">
        <v>2125</v>
      </c>
      <c r="E1981" s="0" t="n">
        <v>42</v>
      </c>
      <c r="F1981" s="0" t="s">
        <v>81</v>
      </c>
      <c r="I1981" s="0" t="n">
        <v>4435</v>
      </c>
      <c r="J1981" s="0" t="n">
        <v>37359</v>
      </c>
      <c r="K1981" s="0" t="n">
        <v>55526</v>
      </c>
      <c r="L1981" s="0" t="s">
        <v>2194</v>
      </c>
      <c r="N1981" s="0" t="n">
        <v>10</v>
      </c>
      <c r="O1981" s="60" t="n">
        <v>50</v>
      </c>
    </row>
    <row r="1982" customFormat="false" ht="15" hidden="false" customHeight="false" outlineLevel="0" collapsed="false">
      <c r="A1982" s="0" t="n">
        <v>3</v>
      </c>
      <c r="B1982" s="59" t="n">
        <v>46231</v>
      </c>
      <c r="C1982" s="0" t="n">
        <v>6</v>
      </c>
      <c r="D1982" s="0" t="s">
        <v>2125</v>
      </c>
      <c r="E1982" s="0" t="n">
        <v>42</v>
      </c>
      <c r="F1982" s="0" t="s">
        <v>81</v>
      </c>
      <c r="I1982" s="0" t="n">
        <v>4436</v>
      </c>
      <c r="J1982" s="0" t="n">
        <v>100103</v>
      </c>
      <c r="K1982" s="0" t="n">
        <v>104</v>
      </c>
      <c r="L1982" s="0" t="s">
        <v>2193</v>
      </c>
      <c r="N1982" s="0" t="n">
        <v>40</v>
      </c>
      <c r="O1982" s="60" t="n">
        <v>250</v>
      </c>
    </row>
    <row r="1983" customFormat="false" ht="15" hidden="false" customHeight="false" outlineLevel="0" collapsed="false">
      <c r="A1983" s="0" t="n">
        <v>3</v>
      </c>
      <c r="B1983" s="59" t="n">
        <v>46231</v>
      </c>
      <c r="C1983" s="0" t="n">
        <v>11</v>
      </c>
      <c r="D1983" s="0" t="s">
        <v>2126</v>
      </c>
      <c r="E1983" s="0" t="n">
        <v>10096</v>
      </c>
      <c r="F1983" s="0" t="s">
        <v>1235</v>
      </c>
      <c r="I1983" s="0" t="n">
        <v>88</v>
      </c>
      <c r="J1983" s="0" t="n">
        <v>61580</v>
      </c>
      <c r="K1983" s="0" t="n">
        <v>2258157</v>
      </c>
      <c r="L1983" s="0" t="s">
        <v>3008</v>
      </c>
      <c r="N1983" s="0" t="n">
        <v>15</v>
      </c>
      <c r="O1983" s="60" t="n">
        <v>180</v>
      </c>
    </row>
    <row r="1984" customFormat="false" ht="15" hidden="false" customHeight="false" outlineLevel="0" collapsed="false">
      <c r="A1984" s="0" t="n">
        <v>3</v>
      </c>
      <c r="B1984" s="59" t="n">
        <v>46231</v>
      </c>
      <c r="C1984" s="0" t="n">
        <v>11</v>
      </c>
      <c r="D1984" s="0" t="s">
        <v>2126</v>
      </c>
      <c r="E1984" s="0" t="n">
        <v>642</v>
      </c>
      <c r="F1984" s="0" t="s">
        <v>136</v>
      </c>
      <c r="I1984" s="0" t="n">
        <v>545</v>
      </c>
      <c r="J1984" s="0" t="n">
        <v>71766</v>
      </c>
      <c r="K1984" s="0" t="n">
        <v>779180</v>
      </c>
      <c r="L1984" s="0" t="s">
        <v>2340</v>
      </c>
      <c r="N1984" s="0" t="n">
        <v>20</v>
      </c>
      <c r="O1984" s="60" t="n">
        <v>240</v>
      </c>
    </row>
    <row r="1985" customFormat="false" ht="15" hidden="false" customHeight="false" outlineLevel="0" collapsed="false">
      <c r="A1985" s="0" t="n">
        <v>3</v>
      </c>
      <c r="B1985" s="59" t="n">
        <v>46231</v>
      </c>
      <c r="C1985" s="0" t="n">
        <v>11</v>
      </c>
      <c r="D1985" s="0" t="s">
        <v>2126</v>
      </c>
      <c r="E1985" s="0" t="n">
        <v>642</v>
      </c>
      <c r="F1985" s="0" t="s">
        <v>136</v>
      </c>
      <c r="I1985" s="0" t="n">
        <v>551</v>
      </c>
      <c r="J1985" s="0" t="n">
        <v>71766</v>
      </c>
      <c r="K1985" s="0" t="n">
        <v>779180</v>
      </c>
      <c r="L1985" s="0" t="s">
        <v>2340</v>
      </c>
      <c r="N1985" s="0" t="n">
        <v>15</v>
      </c>
      <c r="O1985" s="60" t="n">
        <v>180</v>
      </c>
    </row>
    <row r="1986" customFormat="false" ht="15" hidden="false" customHeight="false" outlineLevel="0" collapsed="false">
      <c r="A1986" s="0" t="n">
        <v>3</v>
      </c>
      <c r="B1986" s="59" t="n">
        <v>46231</v>
      </c>
      <c r="C1986" s="0" t="n">
        <v>11</v>
      </c>
      <c r="D1986" s="0" t="s">
        <v>2126</v>
      </c>
      <c r="E1986" s="0" t="n">
        <v>1723</v>
      </c>
      <c r="F1986" s="0" t="s">
        <v>77</v>
      </c>
      <c r="I1986" s="0" t="n">
        <v>173835</v>
      </c>
      <c r="J1986" s="0" t="n">
        <v>29079</v>
      </c>
      <c r="K1986" s="0" t="n">
        <v>55515</v>
      </c>
      <c r="L1986" s="0" t="s">
        <v>2213</v>
      </c>
      <c r="N1986" s="0" t="n">
        <v>72.8</v>
      </c>
      <c r="O1986" s="60" t="n">
        <v>2329.6</v>
      </c>
    </row>
    <row r="1987" customFormat="false" ht="15" hidden="false" customHeight="false" outlineLevel="0" collapsed="false">
      <c r="A1987" s="0" t="n">
        <v>3</v>
      </c>
      <c r="B1987" s="59" t="n">
        <v>46231</v>
      </c>
      <c r="C1987" s="0" t="n">
        <v>11</v>
      </c>
      <c r="D1987" s="0" t="s">
        <v>2126</v>
      </c>
      <c r="E1987" s="0" t="n">
        <v>1715</v>
      </c>
      <c r="F1987" s="0" t="s">
        <v>499</v>
      </c>
      <c r="I1987" s="0" t="n">
        <v>193402</v>
      </c>
      <c r="J1987" s="0" t="n">
        <v>79712</v>
      </c>
      <c r="K1987" s="0" t="n">
        <v>797139</v>
      </c>
      <c r="L1987" s="0" t="s">
        <v>3059</v>
      </c>
      <c r="N1987" s="0" t="n">
        <v>75</v>
      </c>
      <c r="O1987" s="60" t="n">
        <v>206.7</v>
      </c>
    </row>
    <row r="1988" customFormat="false" ht="15" hidden="false" customHeight="false" outlineLevel="0" collapsed="false">
      <c r="A1988" s="0" t="n">
        <v>3</v>
      </c>
      <c r="B1988" s="59" t="n">
        <v>46231</v>
      </c>
      <c r="C1988" s="0" t="n">
        <v>11</v>
      </c>
      <c r="D1988" s="0" t="s">
        <v>2126</v>
      </c>
      <c r="E1988" s="0" t="n">
        <v>1715</v>
      </c>
      <c r="F1988" s="0" t="s">
        <v>499</v>
      </c>
      <c r="I1988" s="0" t="n">
        <v>193402</v>
      </c>
      <c r="J1988" s="0" t="n">
        <v>79714</v>
      </c>
      <c r="K1988" s="0" t="n">
        <v>797153</v>
      </c>
      <c r="L1988" s="0" t="s">
        <v>3060</v>
      </c>
      <c r="N1988" s="0" t="n">
        <v>50</v>
      </c>
      <c r="O1988" s="60" t="n">
        <v>137.8</v>
      </c>
    </row>
    <row r="1989" customFormat="false" ht="15" hidden="false" customHeight="false" outlineLevel="0" collapsed="false">
      <c r="A1989" s="0" t="n">
        <v>3</v>
      </c>
      <c r="B1989" s="59" t="n">
        <v>46231</v>
      </c>
      <c r="C1989" s="0" t="n">
        <v>11</v>
      </c>
      <c r="D1989" s="0" t="s">
        <v>2126</v>
      </c>
      <c r="E1989" s="0" t="n">
        <v>1608</v>
      </c>
      <c r="F1989" s="0" t="s">
        <v>42</v>
      </c>
      <c r="I1989" s="0" t="n">
        <v>1699593</v>
      </c>
      <c r="J1989" s="0" t="n">
        <v>102213</v>
      </c>
      <c r="K1989" s="0" t="n">
        <v>7894321711171</v>
      </c>
      <c r="L1989" s="0" t="s">
        <v>3061</v>
      </c>
      <c r="N1989" s="0" t="n">
        <v>6</v>
      </c>
      <c r="O1989" s="60" t="n">
        <v>36</v>
      </c>
    </row>
    <row r="1990" customFormat="false" ht="15" hidden="false" customHeight="false" outlineLevel="0" collapsed="false">
      <c r="A1990" s="0" t="n">
        <v>3</v>
      </c>
      <c r="B1990" s="59" t="n">
        <v>46231</v>
      </c>
      <c r="C1990" s="0" t="n">
        <v>11</v>
      </c>
      <c r="D1990" s="0" t="s">
        <v>2126</v>
      </c>
      <c r="E1990" s="0" t="n">
        <v>1608</v>
      </c>
      <c r="F1990" s="0" t="s">
        <v>42</v>
      </c>
      <c r="I1990" s="0" t="n">
        <v>1699593</v>
      </c>
      <c r="J1990" s="0" t="n">
        <v>104454</v>
      </c>
      <c r="K1990" s="0" t="n">
        <v>7892840142124</v>
      </c>
      <c r="L1990" s="0" t="s">
        <v>3062</v>
      </c>
      <c r="N1990" s="0" t="n">
        <v>30</v>
      </c>
      <c r="O1990" s="60" t="n">
        <v>66</v>
      </c>
    </row>
    <row r="1991" customFormat="false" ht="15" hidden="false" customHeight="false" outlineLevel="0" collapsed="false">
      <c r="A1991" s="0" t="n">
        <v>3</v>
      </c>
      <c r="B1991" s="59" t="n">
        <v>46231</v>
      </c>
      <c r="C1991" s="0" t="n">
        <v>11</v>
      </c>
      <c r="D1991" s="0" t="s">
        <v>2126</v>
      </c>
      <c r="E1991" s="0" t="n">
        <v>1608</v>
      </c>
      <c r="F1991" s="0" t="s">
        <v>42</v>
      </c>
      <c r="I1991" s="0" t="n">
        <v>1699593</v>
      </c>
      <c r="J1991" s="0" t="n">
        <v>29659</v>
      </c>
      <c r="K1991" s="0" t="n">
        <v>7896071024839</v>
      </c>
      <c r="L1991" s="0" t="s">
        <v>3063</v>
      </c>
      <c r="N1991" s="0" t="n">
        <v>4</v>
      </c>
      <c r="O1991" s="60" t="n">
        <v>10.36</v>
      </c>
    </row>
    <row r="1992" customFormat="false" ht="15" hidden="false" customHeight="false" outlineLevel="0" collapsed="false">
      <c r="A1992" s="0" t="n">
        <v>3</v>
      </c>
      <c r="B1992" s="59" t="n">
        <v>46231</v>
      </c>
      <c r="C1992" s="0" t="n">
        <v>11</v>
      </c>
      <c r="D1992" s="0" t="s">
        <v>2126</v>
      </c>
      <c r="E1992" s="0" t="n">
        <v>1608</v>
      </c>
      <c r="F1992" s="0" t="s">
        <v>42</v>
      </c>
      <c r="I1992" s="0" t="n">
        <v>1699593</v>
      </c>
      <c r="J1992" s="0" t="n">
        <v>29660</v>
      </c>
      <c r="K1992" s="0" t="n">
        <v>7896071024433</v>
      </c>
      <c r="L1992" s="0" t="s">
        <v>3064</v>
      </c>
      <c r="N1992" s="0" t="n">
        <v>8</v>
      </c>
      <c r="O1992" s="60" t="n">
        <v>20.72</v>
      </c>
    </row>
    <row r="1993" customFormat="false" ht="15" hidden="false" customHeight="false" outlineLevel="0" collapsed="false">
      <c r="A1993" s="0" t="n">
        <v>3</v>
      </c>
      <c r="B1993" s="59" t="n">
        <v>46231</v>
      </c>
      <c r="C1993" s="0" t="n">
        <v>11</v>
      </c>
      <c r="D1993" s="0" t="s">
        <v>2126</v>
      </c>
      <c r="E1993" s="0" t="n">
        <v>1608</v>
      </c>
      <c r="F1993" s="0" t="s">
        <v>42</v>
      </c>
      <c r="I1993" s="0" t="n">
        <v>1699593</v>
      </c>
      <c r="J1993" s="0" t="n">
        <v>29661</v>
      </c>
      <c r="K1993" s="0" t="n">
        <v>7896071024822</v>
      </c>
      <c r="L1993" s="0" t="s">
        <v>3065</v>
      </c>
      <c r="N1993" s="0" t="n">
        <v>4</v>
      </c>
      <c r="O1993" s="60" t="n">
        <v>10.36</v>
      </c>
    </row>
    <row r="1994" customFormat="false" ht="15" hidden="false" customHeight="false" outlineLevel="0" collapsed="false">
      <c r="A1994" s="0" t="n">
        <v>3</v>
      </c>
      <c r="B1994" s="59" t="n">
        <v>46231</v>
      </c>
      <c r="C1994" s="0" t="n">
        <v>11</v>
      </c>
      <c r="D1994" s="0" t="s">
        <v>2126</v>
      </c>
      <c r="E1994" s="0" t="n">
        <v>1608</v>
      </c>
      <c r="F1994" s="0" t="s">
        <v>42</v>
      </c>
      <c r="I1994" s="0" t="n">
        <v>1699593</v>
      </c>
      <c r="J1994" s="0" t="n">
        <v>36474</v>
      </c>
      <c r="K1994" s="0" t="n">
        <v>7892840815745</v>
      </c>
      <c r="L1994" s="0" t="s">
        <v>3066</v>
      </c>
      <c r="N1994" s="0" t="n">
        <v>60</v>
      </c>
      <c r="O1994" s="60" t="n">
        <v>132</v>
      </c>
    </row>
    <row r="1995" customFormat="false" ht="15" hidden="false" customHeight="false" outlineLevel="0" collapsed="false">
      <c r="A1995" s="0" t="n">
        <v>3</v>
      </c>
      <c r="B1995" s="59" t="n">
        <v>46231</v>
      </c>
      <c r="C1995" s="0" t="n">
        <v>11</v>
      </c>
      <c r="D1995" s="0" t="s">
        <v>2126</v>
      </c>
      <c r="E1995" s="0" t="n">
        <v>1608</v>
      </c>
      <c r="F1995" s="0" t="s">
        <v>42</v>
      </c>
      <c r="I1995" s="0" t="n">
        <v>1699593</v>
      </c>
      <c r="J1995" s="0" t="n">
        <v>65341</v>
      </c>
      <c r="K1995" s="0" t="n">
        <v>7892840822309</v>
      </c>
      <c r="L1995" s="0" t="s">
        <v>3067</v>
      </c>
      <c r="N1995" s="0" t="n">
        <v>56</v>
      </c>
      <c r="O1995" s="60" t="n">
        <v>186.48</v>
      </c>
    </row>
    <row r="1996" customFormat="false" ht="15" hidden="false" customHeight="false" outlineLevel="0" collapsed="false">
      <c r="A1996" s="0" t="n">
        <v>3</v>
      </c>
      <c r="B1996" s="59" t="n">
        <v>46231</v>
      </c>
      <c r="C1996" s="0" t="n">
        <v>11</v>
      </c>
      <c r="D1996" s="0" t="s">
        <v>2126</v>
      </c>
      <c r="E1996" s="0" t="n">
        <v>1608</v>
      </c>
      <c r="F1996" s="0" t="s">
        <v>42</v>
      </c>
      <c r="I1996" s="0" t="n">
        <v>1699593</v>
      </c>
      <c r="J1996" s="0" t="n">
        <v>65342</v>
      </c>
      <c r="K1996" s="0" t="n">
        <v>7892840822446</v>
      </c>
      <c r="L1996" s="0" t="s">
        <v>3068</v>
      </c>
      <c r="N1996" s="0" t="n">
        <v>17</v>
      </c>
      <c r="O1996" s="60" t="n">
        <v>226.78</v>
      </c>
    </row>
    <row r="1997" customFormat="false" ht="15" hidden="false" customHeight="false" outlineLevel="0" collapsed="false">
      <c r="A1997" s="0" t="n">
        <v>3</v>
      </c>
      <c r="B1997" s="59" t="n">
        <v>46231</v>
      </c>
      <c r="C1997" s="0" t="n">
        <v>11</v>
      </c>
      <c r="D1997" s="0" t="s">
        <v>2126</v>
      </c>
      <c r="E1997" s="0" t="n">
        <v>1608</v>
      </c>
      <c r="F1997" s="0" t="s">
        <v>42</v>
      </c>
      <c r="I1997" s="0" t="n">
        <v>1699593</v>
      </c>
      <c r="J1997" s="0" t="n">
        <v>65383</v>
      </c>
      <c r="K1997" s="0" t="n">
        <v>7892840822859</v>
      </c>
      <c r="L1997" s="0" t="s">
        <v>3069</v>
      </c>
      <c r="N1997" s="0" t="n">
        <v>16</v>
      </c>
      <c r="O1997" s="60" t="n">
        <v>42.4</v>
      </c>
    </row>
    <row r="1998" customFormat="false" ht="15" hidden="false" customHeight="false" outlineLevel="0" collapsed="false">
      <c r="A1998" s="0" t="n">
        <v>3</v>
      </c>
      <c r="B1998" s="59" t="n">
        <v>46231</v>
      </c>
      <c r="C1998" s="0" t="n">
        <v>11</v>
      </c>
      <c r="D1998" s="0" t="s">
        <v>2126</v>
      </c>
      <c r="E1998" s="0" t="n">
        <v>1608</v>
      </c>
      <c r="F1998" s="0" t="s">
        <v>42</v>
      </c>
      <c r="I1998" s="0" t="n">
        <v>1699593</v>
      </c>
      <c r="J1998" s="0" t="n">
        <v>65592</v>
      </c>
      <c r="K1998" s="0" t="n">
        <v>7892840822286</v>
      </c>
      <c r="L1998" s="0" t="s">
        <v>3070</v>
      </c>
      <c r="N1998" s="0" t="n">
        <v>24</v>
      </c>
      <c r="O1998" s="60" t="n">
        <v>79.92</v>
      </c>
    </row>
    <row r="1999" customFormat="false" ht="15" hidden="false" customHeight="false" outlineLevel="0" collapsed="false">
      <c r="A1999" s="0" t="n">
        <v>3</v>
      </c>
      <c r="B1999" s="59" t="n">
        <v>46231</v>
      </c>
      <c r="C1999" s="0" t="n">
        <v>11</v>
      </c>
      <c r="D1999" s="0" t="s">
        <v>2126</v>
      </c>
      <c r="E1999" s="0" t="n">
        <v>1608</v>
      </c>
      <c r="F1999" s="0" t="s">
        <v>42</v>
      </c>
      <c r="I1999" s="0" t="n">
        <v>1699593</v>
      </c>
      <c r="J1999" s="0" t="n">
        <v>65597</v>
      </c>
      <c r="K1999" s="0" t="n">
        <v>7892840822736</v>
      </c>
      <c r="L1999" s="0" t="s">
        <v>3071</v>
      </c>
      <c r="N1999" s="0" t="n">
        <v>6</v>
      </c>
      <c r="O1999" s="60" t="n">
        <v>75.42</v>
      </c>
    </row>
    <row r="2000" customFormat="false" ht="15" hidden="false" customHeight="false" outlineLevel="0" collapsed="false">
      <c r="A2000" s="0" t="n">
        <v>3</v>
      </c>
      <c r="B2000" s="59" t="n">
        <v>46231</v>
      </c>
      <c r="C2000" s="0" t="n">
        <v>11</v>
      </c>
      <c r="D2000" s="0" t="s">
        <v>2126</v>
      </c>
      <c r="E2000" s="0" t="n">
        <v>1608</v>
      </c>
      <c r="F2000" s="0" t="s">
        <v>42</v>
      </c>
      <c r="I2000" s="0" t="n">
        <v>1699593</v>
      </c>
      <c r="J2000" s="0" t="n">
        <v>65598</v>
      </c>
      <c r="K2000" s="0" t="n">
        <v>7892840822361</v>
      </c>
      <c r="L2000" s="0" t="s">
        <v>3072</v>
      </c>
      <c r="N2000" s="0" t="n">
        <v>25</v>
      </c>
      <c r="O2000" s="60" t="n">
        <v>196</v>
      </c>
    </row>
    <row r="2001" customFormat="false" ht="15" hidden="false" customHeight="false" outlineLevel="0" collapsed="false">
      <c r="A2001" s="0" t="n">
        <v>3</v>
      </c>
      <c r="B2001" s="59" t="n">
        <v>46231</v>
      </c>
      <c r="C2001" s="0" t="n">
        <v>11</v>
      </c>
      <c r="D2001" s="0" t="s">
        <v>2126</v>
      </c>
      <c r="E2001" s="0" t="n">
        <v>1608</v>
      </c>
      <c r="F2001" s="0" t="s">
        <v>42</v>
      </c>
      <c r="I2001" s="0" t="n">
        <v>1699593</v>
      </c>
      <c r="J2001" s="0" t="n">
        <v>65725</v>
      </c>
      <c r="K2001" s="0" t="n">
        <v>7892840822866</v>
      </c>
      <c r="L2001" s="0" t="s">
        <v>3073</v>
      </c>
      <c r="N2001" s="0" t="n">
        <v>16</v>
      </c>
      <c r="O2001" s="60" t="n">
        <v>42.4</v>
      </c>
    </row>
    <row r="2002" customFormat="false" ht="15" hidden="false" customHeight="false" outlineLevel="0" collapsed="false">
      <c r="A2002" s="0" t="n">
        <v>3</v>
      </c>
      <c r="B2002" s="59" t="n">
        <v>46231</v>
      </c>
      <c r="C2002" s="0" t="n">
        <v>11</v>
      </c>
      <c r="D2002" s="0" t="s">
        <v>2126</v>
      </c>
      <c r="E2002" s="0" t="n">
        <v>1608</v>
      </c>
      <c r="F2002" s="0" t="s">
        <v>42</v>
      </c>
      <c r="I2002" s="0" t="n">
        <v>1699593</v>
      </c>
      <c r="J2002" s="0" t="n">
        <v>65734</v>
      </c>
      <c r="K2002" s="0" t="n">
        <v>7892840823047</v>
      </c>
      <c r="L2002" s="0" t="s">
        <v>3074</v>
      </c>
      <c r="N2002" s="0" t="n">
        <v>15</v>
      </c>
      <c r="O2002" s="60" t="n">
        <v>96</v>
      </c>
    </row>
    <row r="2003" customFormat="false" ht="15" hidden="false" customHeight="false" outlineLevel="0" collapsed="false">
      <c r="A2003" s="0" t="n">
        <v>3</v>
      </c>
      <c r="B2003" s="59" t="n">
        <v>46231</v>
      </c>
      <c r="C2003" s="0" t="n">
        <v>11</v>
      </c>
      <c r="D2003" s="0" t="s">
        <v>2126</v>
      </c>
      <c r="E2003" s="0" t="n">
        <v>1608</v>
      </c>
      <c r="F2003" s="0" t="s">
        <v>42</v>
      </c>
      <c r="I2003" s="0" t="n">
        <v>1699593</v>
      </c>
      <c r="J2003" s="0" t="n">
        <v>65736</v>
      </c>
      <c r="K2003" s="0" t="n">
        <v>7892840823054</v>
      </c>
      <c r="L2003" s="0" t="s">
        <v>3075</v>
      </c>
      <c r="N2003" s="0" t="n">
        <v>15</v>
      </c>
      <c r="O2003" s="60" t="n">
        <v>96</v>
      </c>
    </row>
    <row r="2004" customFormat="false" ht="15" hidden="false" customHeight="false" outlineLevel="0" collapsed="false">
      <c r="A2004" s="0" t="n">
        <v>3</v>
      </c>
      <c r="B2004" s="59" t="n">
        <v>46231</v>
      </c>
      <c r="C2004" s="0" t="n">
        <v>11</v>
      </c>
      <c r="D2004" s="0" t="s">
        <v>2126</v>
      </c>
      <c r="E2004" s="0" t="n">
        <v>1608</v>
      </c>
      <c r="F2004" s="0" t="s">
        <v>42</v>
      </c>
      <c r="I2004" s="0" t="n">
        <v>1699593</v>
      </c>
      <c r="J2004" s="0" t="n">
        <v>65799</v>
      </c>
      <c r="K2004" s="0" t="n">
        <v>7892840822385</v>
      </c>
      <c r="L2004" s="0" t="s">
        <v>3076</v>
      </c>
      <c r="N2004" s="0" t="n">
        <v>58</v>
      </c>
      <c r="O2004" s="60" t="n">
        <v>218.66</v>
      </c>
    </row>
    <row r="2005" customFormat="false" ht="15" hidden="false" customHeight="false" outlineLevel="0" collapsed="false">
      <c r="A2005" s="0" t="n">
        <v>3</v>
      </c>
      <c r="B2005" s="59" t="n">
        <v>46231</v>
      </c>
      <c r="C2005" s="0" t="n">
        <v>11</v>
      </c>
      <c r="D2005" s="0" t="s">
        <v>2126</v>
      </c>
      <c r="E2005" s="0" t="n">
        <v>1608</v>
      </c>
      <c r="F2005" s="0" t="s">
        <v>42</v>
      </c>
      <c r="I2005" s="0" t="n">
        <v>1699593</v>
      </c>
      <c r="J2005" s="0" t="n">
        <v>65965</v>
      </c>
      <c r="K2005" s="0" t="n">
        <v>7892840822507</v>
      </c>
      <c r="L2005" s="0" t="s">
        <v>3077</v>
      </c>
      <c r="N2005" s="0" t="n">
        <v>6</v>
      </c>
      <c r="O2005" s="60" t="n">
        <v>10.8</v>
      </c>
    </row>
    <row r="2006" customFormat="false" ht="15" hidden="false" customHeight="false" outlineLevel="0" collapsed="false">
      <c r="A2006" s="0" t="n">
        <v>3</v>
      </c>
      <c r="B2006" s="59" t="n">
        <v>46231</v>
      </c>
      <c r="C2006" s="0" t="n">
        <v>11</v>
      </c>
      <c r="D2006" s="0" t="s">
        <v>2126</v>
      </c>
      <c r="E2006" s="0" t="n">
        <v>1608</v>
      </c>
      <c r="F2006" s="0" t="s">
        <v>42</v>
      </c>
      <c r="I2006" s="0" t="n">
        <v>1699593</v>
      </c>
      <c r="J2006" s="0" t="n">
        <v>65966</v>
      </c>
      <c r="K2006" s="0" t="n">
        <v>7892840822521</v>
      </c>
      <c r="L2006" s="0" t="s">
        <v>3078</v>
      </c>
      <c r="N2006" s="0" t="n">
        <v>6</v>
      </c>
      <c r="O2006" s="60" t="n">
        <v>10.8</v>
      </c>
    </row>
    <row r="2007" customFormat="false" ht="15" hidden="false" customHeight="false" outlineLevel="0" collapsed="false">
      <c r="A2007" s="0" t="n">
        <v>3</v>
      </c>
      <c r="B2007" s="59" t="n">
        <v>46231</v>
      </c>
      <c r="C2007" s="0" t="n">
        <v>11</v>
      </c>
      <c r="D2007" s="0" t="s">
        <v>2126</v>
      </c>
      <c r="E2007" s="0" t="n">
        <v>1608</v>
      </c>
      <c r="F2007" s="0" t="s">
        <v>42</v>
      </c>
      <c r="I2007" s="0" t="n">
        <v>1699593</v>
      </c>
      <c r="J2007" s="0" t="n">
        <v>66002</v>
      </c>
      <c r="K2007" s="0" t="n">
        <v>7892840823481</v>
      </c>
      <c r="L2007" s="0" t="s">
        <v>3079</v>
      </c>
      <c r="N2007" s="0" t="n">
        <v>12</v>
      </c>
      <c r="O2007" s="60" t="n">
        <v>48.72</v>
      </c>
    </row>
    <row r="2008" customFormat="false" ht="15" hidden="false" customHeight="false" outlineLevel="0" collapsed="false">
      <c r="A2008" s="0" t="n">
        <v>3</v>
      </c>
      <c r="B2008" s="59" t="n">
        <v>46231</v>
      </c>
      <c r="C2008" s="0" t="n">
        <v>11</v>
      </c>
      <c r="D2008" s="0" t="s">
        <v>2126</v>
      </c>
      <c r="E2008" s="0" t="n">
        <v>1608</v>
      </c>
      <c r="F2008" s="0" t="s">
        <v>42</v>
      </c>
      <c r="I2008" s="0" t="n">
        <v>1699593</v>
      </c>
      <c r="J2008" s="0" t="n">
        <v>66089</v>
      </c>
      <c r="K2008" s="0" t="n">
        <v>7892840822323</v>
      </c>
      <c r="L2008" s="0" t="s">
        <v>3080</v>
      </c>
      <c r="N2008" s="0" t="n">
        <v>6</v>
      </c>
      <c r="O2008" s="60" t="n">
        <v>79.14</v>
      </c>
    </row>
    <row r="2009" customFormat="false" ht="15" hidden="false" customHeight="false" outlineLevel="0" collapsed="false">
      <c r="A2009" s="0" t="n">
        <v>3</v>
      </c>
      <c r="B2009" s="59" t="n">
        <v>46231</v>
      </c>
      <c r="C2009" s="0" t="n">
        <v>11</v>
      </c>
      <c r="D2009" s="0" t="s">
        <v>2126</v>
      </c>
      <c r="E2009" s="0" t="n">
        <v>1608</v>
      </c>
      <c r="F2009" s="0" t="s">
        <v>42</v>
      </c>
      <c r="I2009" s="0" t="n">
        <v>1699593</v>
      </c>
      <c r="J2009" s="0" t="n">
        <v>66252</v>
      </c>
      <c r="K2009" s="0" t="n">
        <v>7892840822392</v>
      </c>
      <c r="L2009" s="0" t="s">
        <v>3081</v>
      </c>
      <c r="N2009" s="0" t="n">
        <v>30</v>
      </c>
      <c r="O2009" s="60" t="n">
        <v>102.6</v>
      </c>
    </row>
    <row r="2010" customFormat="false" ht="15" hidden="false" customHeight="false" outlineLevel="0" collapsed="false">
      <c r="A2010" s="0" t="n">
        <v>3</v>
      </c>
      <c r="B2010" s="59" t="n">
        <v>46231</v>
      </c>
      <c r="C2010" s="0" t="n">
        <v>11</v>
      </c>
      <c r="D2010" s="0" t="s">
        <v>2126</v>
      </c>
      <c r="E2010" s="0" t="n">
        <v>1608</v>
      </c>
      <c r="F2010" s="0" t="s">
        <v>42</v>
      </c>
      <c r="I2010" s="0" t="n">
        <v>1699593</v>
      </c>
      <c r="J2010" s="0" t="n">
        <v>66366</v>
      </c>
      <c r="K2010" s="0" t="n">
        <v>7892840822378</v>
      </c>
      <c r="L2010" s="0" t="s">
        <v>3082</v>
      </c>
      <c r="N2010" s="0" t="n">
        <v>36</v>
      </c>
      <c r="O2010" s="60" t="n">
        <v>146.16</v>
      </c>
    </row>
    <row r="2011" customFormat="false" ht="15" hidden="false" customHeight="false" outlineLevel="0" collapsed="false">
      <c r="A2011" s="0" t="n">
        <v>3</v>
      </c>
      <c r="B2011" s="59" t="n">
        <v>46231</v>
      </c>
      <c r="C2011" s="0" t="n">
        <v>11</v>
      </c>
      <c r="D2011" s="0" t="s">
        <v>2126</v>
      </c>
      <c r="E2011" s="0" t="n">
        <v>1608</v>
      </c>
      <c r="F2011" s="0" t="s">
        <v>42</v>
      </c>
      <c r="I2011" s="0" t="n">
        <v>1699593</v>
      </c>
      <c r="J2011" s="0" t="n">
        <v>66764</v>
      </c>
      <c r="K2011" s="0" t="n">
        <v>7892840822293</v>
      </c>
      <c r="L2011" s="0" t="s">
        <v>3083</v>
      </c>
      <c r="N2011" s="0" t="n">
        <v>20</v>
      </c>
      <c r="O2011" s="60" t="n">
        <v>60.6</v>
      </c>
    </row>
    <row r="2012" customFormat="false" ht="15" hidden="false" customHeight="false" outlineLevel="0" collapsed="false">
      <c r="A2012" s="0" t="n">
        <v>3</v>
      </c>
      <c r="B2012" s="59" t="n">
        <v>46231</v>
      </c>
      <c r="C2012" s="0" t="n">
        <v>11</v>
      </c>
      <c r="D2012" s="0" t="s">
        <v>2126</v>
      </c>
      <c r="E2012" s="0" t="n">
        <v>1608</v>
      </c>
      <c r="F2012" s="0" t="s">
        <v>42</v>
      </c>
      <c r="I2012" s="0" t="n">
        <v>1699593</v>
      </c>
      <c r="J2012" s="0" t="n">
        <v>66993</v>
      </c>
      <c r="K2012" s="0" t="n">
        <v>7892840822347</v>
      </c>
      <c r="L2012" s="0" t="s">
        <v>3068</v>
      </c>
      <c r="N2012" s="0" t="n">
        <v>25</v>
      </c>
      <c r="O2012" s="60" t="n">
        <v>216</v>
      </c>
    </row>
    <row r="2013" customFormat="false" ht="15" hidden="false" customHeight="false" outlineLevel="0" collapsed="false">
      <c r="A2013" s="0" t="n">
        <v>3</v>
      </c>
      <c r="B2013" s="59" t="n">
        <v>46231</v>
      </c>
      <c r="C2013" s="0" t="n">
        <v>11</v>
      </c>
      <c r="D2013" s="0" t="s">
        <v>2126</v>
      </c>
      <c r="E2013" s="0" t="n">
        <v>1608</v>
      </c>
      <c r="F2013" s="0" t="s">
        <v>42</v>
      </c>
      <c r="I2013" s="0" t="n">
        <v>1699593</v>
      </c>
      <c r="J2013" s="0" t="n">
        <v>68927</v>
      </c>
      <c r="K2013" s="0" t="n">
        <v>7892840823030</v>
      </c>
      <c r="L2013" s="0" t="s">
        <v>3084</v>
      </c>
      <c r="N2013" s="0" t="n">
        <v>15</v>
      </c>
      <c r="O2013" s="60" t="n">
        <v>96</v>
      </c>
    </row>
    <row r="2014" customFormat="false" ht="15" hidden="false" customHeight="false" outlineLevel="0" collapsed="false">
      <c r="A2014" s="0" t="n">
        <v>3</v>
      </c>
      <c r="B2014" s="59" t="n">
        <v>46231</v>
      </c>
      <c r="C2014" s="0" t="n">
        <v>11</v>
      </c>
      <c r="D2014" s="0" t="s">
        <v>2126</v>
      </c>
      <c r="E2014" s="0" t="n">
        <v>1608</v>
      </c>
      <c r="F2014" s="0" t="s">
        <v>42</v>
      </c>
      <c r="I2014" s="0" t="n">
        <v>1699593</v>
      </c>
      <c r="J2014" s="0" t="n">
        <v>69425</v>
      </c>
      <c r="K2014" s="0" t="n">
        <v>7892840823610</v>
      </c>
      <c r="L2014" s="0" t="s">
        <v>3085</v>
      </c>
      <c r="N2014" s="0" t="n">
        <v>10</v>
      </c>
      <c r="O2014" s="60" t="n">
        <v>43.1</v>
      </c>
    </row>
    <row r="2015" customFormat="false" ht="15" hidden="false" customHeight="false" outlineLevel="0" collapsed="false">
      <c r="A2015" s="0" t="n">
        <v>3</v>
      </c>
      <c r="B2015" s="59" t="n">
        <v>46231</v>
      </c>
      <c r="C2015" s="0" t="n">
        <v>11</v>
      </c>
      <c r="D2015" s="0" t="s">
        <v>2126</v>
      </c>
      <c r="E2015" s="0" t="n">
        <v>1608</v>
      </c>
      <c r="F2015" s="0" t="s">
        <v>42</v>
      </c>
      <c r="I2015" s="0" t="n">
        <v>1699593</v>
      </c>
      <c r="J2015" s="0" t="n">
        <v>80040</v>
      </c>
      <c r="K2015" s="0" t="n">
        <v>7892840824891</v>
      </c>
      <c r="L2015" s="0" t="s">
        <v>3086</v>
      </c>
      <c r="N2015" s="0" t="n">
        <v>6</v>
      </c>
      <c r="O2015" s="60" t="n">
        <v>46.68</v>
      </c>
    </row>
    <row r="2016" customFormat="false" ht="15" hidden="false" customHeight="false" outlineLevel="0" collapsed="false">
      <c r="A2016" s="0" t="n">
        <v>3</v>
      </c>
      <c r="B2016" s="59" t="n">
        <v>46231</v>
      </c>
      <c r="C2016" s="0" t="n">
        <v>11</v>
      </c>
      <c r="D2016" s="0" t="s">
        <v>2126</v>
      </c>
      <c r="E2016" s="0" t="n">
        <v>1608</v>
      </c>
      <c r="F2016" s="0" t="s">
        <v>42</v>
      </c>
      <c r="I2016" s="0" t="n">
        <v>1699593</v>
      </c>
      <c r="J2016" s="0" t="n">
        <v>80196</v>
      </c>
      <c r="K2016" s="0" t="n">
        <v>7892840824662</v>
      </c>
      <c r="L2016" s="0" t="s">
        <v>3087</v>
      </c>
      <c r="N2016" s="0" t="n">
        <v>15</v>
      </c>
      <c r="O2016" s="60" t="n">
        <v>49.95</v>
      </c>
    </row>
    <row r="2017" customFormat="false" ht="15" hidden="false" customHeight="false" outlineLevel="0" collapsed="false">
      <c r="A2017" s="0" t="n">
        <v>3</v>
      </c>
      <c r="B2017" s="59" t="n">
        <v>46231</v>
      </c>
      <c r="C2017" s="0" t="n">
        <v>11</v>
      </c>
      <c r="D2017" s="0" t="s">
        <v>2126</v>
      </c>
      <c r="E2017" s="0" t="n">
        <v>1608</v>
      </c>
      <c r="F2017" s="0" t="s">
        <v>42</v>
      </c>
      <c r="I2017" s="0" t="n">
        <v>1699593</v>
      </c>
      <c r="J2017" s="0" t="n">
        <v>80197</v>
      </c>
      <c r="K2017" s="0" t="n">
        <v>7892840824648</v>
      </c>
      <c r="L2017" s="0" t="s">
        <v>3088</v>
      </c>
      <c r="N2017" s="0" t="n">
        <v>15</v>
      </c>
      <c r="O2017" s="60" t="n">
        <v>49.95</v>
      </c>
    </row>
    <row r="2018" customFormat="false" ht="15" hidden="false" customHeight="false" outlineLevel="0" collapsed="false">
      <c r="A2018" s="0" t="n">
        <v>3</v>
      </c>
      <c r="B2018" s="59" t="n">
        <v>46231</v>
      </c>
      <c r="C2018" s="0" t="n">
        <v>11</v>
      </c>
      <c r="D2018" s="0" t="s">
        <v>2126</v>
      </c>
      <c r="E2018" s="0" t="n">
        <v>1608</v>
      </c>
      <c r="F2018" s="0" t="s">
        <v>42</v>
      </c>
      <c r="I2018" s="0" t="n">
        <v>1699593</v>
      </c>
      <c r="J2018" s="0" t="n">
        <v>80198</v>
      </c>
      <c r="K2018" s="0" t="n">
        <v>7892840824693</v>
      </c>
      <c r="L2018" s="0" t="s">
        <v>3089</v>
      </c>
      <c r="N2018" s="0" t="n">
        <v>20</v>
      </c>
      <c r="O2018" s="60" t="n">
        <v>66.6</v>
      </c>
    </row>
    <row r="2019" customFormat="false" ht="15" hidden="false" customHeight="false" outlineLevel="0" collapsed="false">
      <c r="A2019" s="0" t="n">
        <v>3</v>
      </c>
      <c r="B2019" s="59" t="n">
        <v>46231</v>
      </c>
      <c r="C2019" s="0" t="n">
        <v>11</v>
      </c>
      <c r="D2019" s="0" t="s">
        <v>2126</v>
      </c>
      <c r="E2019" s="0" t="n">
        <v>1608</v>
      </c>
      <c r="F2019" s="0" t="s">
        <v>42</v>
      </c>
      <c r="I2019" s="0" t="n">
        <v>1699593</v>
      </c>
      <c r="J2019" s="0" t="n">
        <v>80207</v>
      </c>
      <c r="K2019" s="0" t="n">
        <v>7892840825317</v>
      </c>
      <c r="L2019" s="0" t="s">
        <v>3090</v>
      </c>
      <c r="N2019" s="0" t="n">
        <v>10</v>
      </c>
      <c r="O2019" s="60" t="n">
        <v>72.2</v>
      </c>
    </row>
    <row r="2020" customFormat="false" ht="15" hidden="false" customHeight="false" outlineLevel="0" collapsed="false">
      <c r="A2020" s="0" t="n">
        <v>3</v>
      </c>
      <c r="B2020" s="59" t="n">
        <v>46231</v>
      </c>
      <c r="C2020" s="0" t="n">
        <v>11</v>
      </c>
      <c r="D2020" s="0" t="s">
        <v>2126</v>
      </c>
      <c r="E2020" s="0" t="n">
        <v>1608</v>
      </c>
      <c r="F2020" s="0" t="s">
        <v>42</v>
      </c>
      <c r="I2020" s="0" t="n">
        <v>1699593</v>
      </c>
      <c r="J2020" s="0" t="n">
        <v>80275</v>
      </c>
      <c r="K2020" s="0" t="n">
        <v>7892840825133</v>
      </c>
      <c r="L2020" s="0" t="s">
        <v>3091</v>
      </c>
      <c r="N2020" s="0" t="n">
        <v>10</v>
      </c>
      <c r="O2020" s="60" t="n">
        <v>75.6</v>
      </c>
    </row>
    <row r="2021" customFormat="false" ht="15" hidden="false" customHeight="false" outlineLevel="0" collapsed="false">
      <c r="A2021" s="0" t="n">
        <v>3</v>
      </c>
      <c r="B2021" s="59" t="n">
        <v>46231</v>
      </c>
      <c r="C2021" s="0" t="n">
        <v>11</v>
      </c>
      <c r="D2021" s="0" t="s">
        <v>2126</v>
      </c>
      <c r="E2021" s="0" t="n">
        <v>1608</v>
      </c>
      <c r="F2021" s="0" t="s">
        <v>42</v>
      </c>
      <c r="I2021" s="0" t="n">
        <v>1699885</v>
      </c>
      <c r="J2021" s="0" t="n">
        <v>65597</v>
      </c>
      <c r="K2021" s="0" t="n">
        <v>7892840822736</v>
      </c>
      <c r="L2021" s="0" t="s">
        <v>3071</v>
      </c>
      <c r="N2021" s="0" t="n">
        <v>36</v>
      </c>
      <c r="O2021" s="60" t="n">
        <v>226.44</v>
      </c>
    </row>
    <row r="2022" customFormat="false" ht="15" hidden="false" customHeight="false" outlineLevel="0" collapsed="false">
      <c r="A2022" s="0" t="n">
        <v>3</v>
      </c>
      <c r="B2022" s="59" t="n">
        <v>46231</v>
      </c>
      <c r="C2022" s="0" t="n">
        <v>11</v>
      </c>
      <c r="D2022" s="0" t="s">
        <v>2126</v>
      </c>
      <c r="E2022" s="0" t="n">
        <v>1608</v>
      </c>
      <c r="F2022" s="0" t="s">
        <v>42</v>
      </c>
      <c r="I2022" s="0" t="n">
        <v>1699885</v>
      </c>
      <c r="J2022" s="0" t="n">
        <v>66089</v>
      </c>
      <c r="K2022" s="0" t="n">
        <v>7892840822323</v>
      </c>
      <c r="L2022" s="0" t="s">
        <v>3080</v>
      </c>
      <c r="N2022" s="0" t="n">
        <v>156</v>
      </c>
      <c r="O2022" s="60" t="n">
        <v>1029.6</v>
      </c>
    </row>
    <row r="2023" customFormat="false" ht="15" hidden="false" customHeight="false" outlineLevel="0" collapsed="false">
      <c r="A2023" s="0" t="n">
        <v>3</v>
      </c>
      <c r="B2023" s="59" t="n">
        <v>46231</v>
      </c>
      <c r="C2023" s="0" t="n">
        <v>22</v>
      </c>
      <c r="D2023" s="0" t="s">
        <v>2172</v>
      </c>
      <c r="E2023" s="0" t="n">
        <v>42</v>
      </c>
      <c r="F2023" s="0" t="s">
        <v>81</v>
      </c>
      <c r="I2023" s="0" t="n">
        <v>4430</v>
      </c>
      <c r="J2023" s="0" t="n">
        <v>100006</v>
      </c>
      <c r="K2023" s="0" t="n">
        <v>7</v>
      </c>
      <c r="L2023" s="0" t="s">
        <v>2228</v>
      </c>
      <c r="N2023" s="0" t="n">
        <v>13.721</v>
      </c>
      <c r="O2023" s="60" t="n">
        <v>454.3</v>
      </c>
    </row>
    <row r="2024" customFormat="false" ht="15" hidden="false" customHeight="false" outlineLevel="0" collapsed="false">
      <c r="A2024" s="0" t="n">
        <v>3</v>
      </c>
      <c r="B2024" s="59" t="n">
        <v>46231</v>
      </c>
      <c r="C2024" s="0" t="n">
        <v>22</v>
      </c>
      <c r="D2024" s="0" t="s">
        <v>2172</v>
      </c>
      <c r="E2024" s="0" t="n">
        <v>42</v>
      </c>
      <c r="F2024" s="0" t="s">
        <v>81</v>
      </c>
      <c r="I2024" s="0" t="n">
        <v>4430</v>
      </c>
      <c r="J2024" s="0" t="n">
        <v>100008</v>
      </c>
      <c r="K2024" s="0" t="n">
        <v>9</v>
      </c>
      <c r="L2024" s="0" t="s">
        <v>2229</v>
      </c>
      <c r="N2024" s="0" t="n">
        <v>28.45</v>
      </c>
      <c r="O2024" s="60" t="n">
        <v>965.52</v>
      </c>
    </row>
    <row r="2025" customFormat="false" ht="15" hidden="false" customHeight="false" outlineLevel="0" collapsed="false">
      <c r="A2025" s="0" t="n">
        <v>3</v>
      </c>
      <c r="B2025" s="59" t="n">
        <v>46231</v>
      </c>
      <c r="C2025" s="0" t="n">
        <v>22</v>
      </c>
      <c r="D2025" s="0" t="s">
        <v>2172</v>
      </c>
      <c r="E2025" s="0" t="n">
        <v>42</v>
      </c>
      <c r="F2025" s="0" t="s">
        <v>81</v>
      </c>
      <c r="I2025" s="0" t="n">
        <v>4430</v>
      </c>
      <c r="J2025" s="0" t="n">
        <v>100010</v>
      </c>
      <c r="K2025" s="0" t="n">
        <v>11</v>
      </c>
      <c r="L2025" s="0" t="s">
        <v>2230</v>
      </c>
      <c r="N2025" s="0" t="n">
        <v>5.438</v>
      </c>
      <c r="O2025" s="60" t="n">
        <v>211.72</v>
      </c>
    </row>
    <row r="2026" customFormat="false" ht="15" hidden="false" customHeight="false" outlineLevel="0" collapsed="false">
      <c r="A2026" s="0" t="n">
        <v>3</v>
      </c>
      <c r="B2026" s="59" t="n">
        <v>46231</v>
      </c>
      <c r="C2026" s="0" t="n">
        <v>22</v>
      </c>
      <c r="D2026" s="0" t="s">
        <v>2172</v>
      </c>
      <c r="E2026" s="0" t="n">
        <v>42</v>
      </c>
      <c r="F2026" s="0" t="s">
        <v>81</v>
      </c>
      <c r="I2026" s="0" t="n">
        <v>4430</v>
      </c>
      <c r="J2026" s="0" t="n">
        <v>100011</v>
      </c>
      <c r="K2026" s="0" t="n">
        <v>12</v>
      </c>
      <c r="L2026" s="0" t="s">
        <v>2231</v>
      </c>
      <c r="N2026" s="0" t="n">
        <v>11.703</v>
      </c>
      <c r="O2026" s="60" t="n">
        <v>455.66</v>
      </c>
    </row>
    <row r="2027" customFormat="false" ht="15" hidden="false" customHeight="false" outlineLevel="0" collapsed="false">
      <c r="A2027" s="0" t="n">
        <v>3</v>
      </c>
      <c r="B2027" s="59" t="n">
        <v>46231</v>
      </c>
      <c r="C2027" s="0" t="n">
        <v>22</v>
      </c>
      <c r="D2027" s="0" t="s">
        <v>2172</v>
      </c>
      <c r="E2027" s="0" t="n">
        <v>42</v>
      </c>
      <c r="F2027" s="0" t="s">
        <v>81</v>
      </c>
      <c r="I2027" s="0" t="n">
        <v>4430</v>
      </c>
      <c r="J2027" s="0" t="n">
        <v>100012</v>
      </c>
      <c r="K2027" s="0" t="n">
        <v>13</v>
      </c>
      <c r="L2027" s="0" t="s">
        <v>2232</v>
      </c>
      <c r="N2027" s="0" t="n">
        <v>10.068</v>
      </c>
      <c r="O2027" s="60" t="n">
        <v>424.99</v>
      </c>
    </row>
    <row r="2028" customFormat="false" ht="15" hidden="false" customHeight="false" outlineLevel="0" collapsed="false">
      <c r="A2028" s="0" t="n">
        <v>3</v>
      </c>
      <c r="B2028" s="59" t="n">
        <v>46231</v>
      </c>
      <c r="C2028" s="0" t="n">
        <v>22</v>
      </c>
      <c r="D2028" s="0" t="s">
        <v>2172</v>
      </c>
      <c r="E2028" s="0" t="n">
        <v>42</v>
      </c>
      <c r="F2028" s="0" t="s">
        <v>81</v>
      </c>
      <c r="I2028" s="0" t="n">
        <v>4430</v>
      </c>
      <c r="J2028" s="0" t="n">
        <v>100013</v>
      </c>
      <c r="K2028" s="0" t="n">
        <v>14</v>
      </c>
      <c r="L2028" s="0" t="s">
        <v>2233</v>
      </c>
      <c r="N2028" s="0" t="n">
        <v>19.47</v>
      </c>
      <c r="O2028" s="60" t="n">
        <v>886.23</v>
      </c>
    </row>
    <row r="2029" customFormat="false" ht="15" hidden="false" customHeight="false" outlineLevel="0" collapsed="false">
      <c r="A2029" s="0" t="n">
        <v>3</v>
      </c>
      <c r="B2029" s="59" t="n">
        <v>46231</v>
      </c>
      <c r="C2029" s="0" t="n">
        <v>22</v>
      </c>
      <c r="D2029" s="0" t="s">
        <v>2172</v>
      </c>
      <c r="E2029" s="0" t="n">
        <v>42</v>
      </c>
      <c r="F2029" s="0" t="s">
        <v>81</v>
      </c>
      <c r="I2029" s="0" t="n">
        <v>4430</v>
      </c>
      <c r="J2029" s="0" t="n">
        <v>100014</v>
      </c>
      <c r="K2029" s="0" t="n">
        <v>15</v>
      </c>
      <c r="L2029" s="0" t="s">
        <v>2234</v>
      </c>
      <c r="N2029" s="0" t="n">
        <v>8.432</v>
      </c>
      <c r="O2029" s="60" t="n">
        <v>391.06</v>
      </c>
    </row>
    <row r="2030" customFormat="false" ht="15" hidden="false" customHeight="false" outlineLevel="0" collapsed="false">
      <c r="A2030" s="0" t="n">
        <v>3</v>
      </c>
      <c r="B2030" s="59" t="n">
        <v>46231</v>
      </c>
      <c r="C2030" s="0" t="n">
        <v>22</v>
      </c>
      <c r="D2030" s="0" t="s">
        <v>2172</v>
      </c>
      <c r="E2030" s="0" t="n">
        <v>42</v>
      </c>
      <c r="F2030" s="0" t="s">
        <v>81</v>
      </c>
      <c r="I2030" s="0" t="n">
        <v>4430</v>
      </c>
      <c r="J2030" s="0" t="n">
        <v>100015</v>
      </c>
      <c r="K2030" s="0" t="n">
        <v>16</v>
      </c>
      <c r="L2030" s="0" t="s">
        <v>2235</v>
      </c>
      <c r="N2030" s="0" t="n">
        <v>3.146</v>
      </c>
      <c r="O2030" s="60" t="n">
        <v>132.86</v>
      </c>
    </row>
    <row r="2031" customFormat="false" ht="15" hidden="false" customHeight="false" outlineLevel="0" collapsed="false">
      <c r="A2031" s="0" t="n">
        <v>3</v>
      </c>
      <c r="B2031" s="59" t="n">
        <v>46231</v>
      </c>
      <c r="C2031" s="0" t="n">
        <v>22</v>
      </c>
      <c r="D2031" s="0" t="s">
        <v>2172</v>
      </c>
      <c r="E2031" s="0" t="n">
        <v>42</v>
      </c>
      <c r="F2031" s="0" t="s">
        <v>81</v>
      </c>
      <c r="I2031" s="0" t="n">
        <v>4430</v>
      </c>
      <c r="J2031" s="0" t="n">
        <v>100016</v>
      </c>
      <c r="K2031" s="0" t="n">
        <v>17</v>
      </c>
      <c r="L2031" s="0" t="s">
        <v>2236</v>
      </c>
      <c r="N2031" s="0" t="n">
        <v>3.48</v>
      </c>
      <c r="O2031" s="60" t="n">
        <v>158.55</v>
      </c>
    </row>
    <row r="2032" customFormat="false" ht="15" hidden="false" customHeight="false" outlineLevel="0" collapsed="false">
      <c r="A2032" s="0" t="n">
        <v>3</v>
      </c>
      <c r="B2032" s="59" t="n">
        <v>46231</v>
      </c>
      <c r="C2032" s="0" t="n">
        <v>22</v>
      </c>
      <c r="D2032" s="0" t="s">
        <v>2172</v>
      </c>
      <c r="E2032" s="0" t="n">
        <v>42</v>
      </c>
      <c r="F2032" s="0" t="s">
        <v>81</v>
      </c>
      <c r="I2032" s="0" t="n">
        <v>4430</v>
      </c>
      <c r="J2032" s="0" t="n">
        <v>100017</v>
      </c>
      <c r="K2032" s="0" t="n">
        <v>18</v>
      </c>
      <c r="L2032" s="0" t="s">
        <v>2237</v>
      </c>
      <c r="N2032" s="0" t="n">
        <v>3.568</v>
      </c>
      <c r="O2032" s="60" t="n">
        <v>191.98</v>
      </c>
    </row>
    <row r="2033" customFormat="false" ht="15" hidden="false" customHeight="false" outlineLevel="0" collapsed="false">
      <c r="A2033" s="0" t="n">
        <v>3</v>
      </c>
      <c r="B2033" s="59" t="n">
        <v>46231</v>
      </c>
      <c r="C2033" s="0" t="n">
        <v>22</v>
      </c>
      <c r="D2033" s="0" t="s">
        <v>2172</v>
      </c>
      <c r="E2033" s="0" t="n">
        <v>42</v>
      </c>
      <c r="F2033" s="0" t="s">
        <v>81</v>
      </c>
      <c r="I2033" s="0" t="n">
        <v>4430</v>
      </c>
      <c r="J2033" s="0" t="n">
        <v>100053</v>
      </c>
      <c r="K2033" s="0" t="n">
        <v>54</v>
      </c>
      <c r="L2033" s="0" t="s">
        <v>2238</v>
      </c>
      <c r="N2033" s="0" t="n">
        <v>2.826</v>
      </c>
      <c r="O2033" s="60" t="n">
        <v>104.9</v>
      </c>
    </row>
    <row r="2034" customFormat="false" ht="15" hidden="false" customHeight="false" outlineLevel="0" collapsed="false">
      <c r="A2034" s="0" t="n">
        <v>3</v>
      </c>
      <c r="B2034" s="59" t="n">
        <v>46231</v>
      </c>
      <c r="C2034" s="0" t="n">
        <v>22</v>
      </c>
      <c r="D2034" s="0" t="s">
        <v>2172</v>
      </c>
      <c r="E2034" s="0" t="n">
        <v>42</v>
      </c>
      <c r="F2034" s="0" t="s">
        <v>81</v>
      </c>
      <c r="I2034" s="0" t="n">
        <v>4430</v>
      </c>
      <c r="J2034" s="0" t="n">
        <v>100638</v>
      </c>
      <c r="K2034" s="0" t="n">
        <v>508</v>
      </c>
      <c r="L2034" s="0" t="s">
        <v>2178</v>
      </c>
      <c r="N2034" s="0" t="n">
        <v>6.74</v>
      </c>
      <c r="O2034" s="60" t="n">
        <v>11.1</v>
      </c>
    </row>
    <row r="2035" customFormat="false" ht="15" hidden="false" customHeight="false" outlineLevel="0" collapsed="false">
      <c r="A2035" s="0" t="n">
        <v>3</v>
      </c>
      <c r="B2035" s="59" t="n">
        <v>46231</v>
      </c>
      <c r="C2035" s="0" t="n">
        <v>22</v>
      </c>
      <c r="D2035" s="0" t="s">
        <v>2172</v>
      </c>
      <c r="E2035" s="0" t="n">
        <v>42</v>
      </c>
      <c r="F2035" s="0" t="s">
        <v>81</v>
      </c>
      <c r="I2035" s="0" t="n">
        <v>4430</v>
      </c>
      <c r="J2035" s="0" t="n">
        <v>100520</v>
      </c>
      <c r="K2035" s="0" t="n">
        <v>507</v>
      </c>
      <c r="L2035" s="0" t="s">
        <v>2179</v>
      </c>
      <c r="N2035" s="0" t="n">
        <v>21.276</v>
      </c>
      <c r="O2035" s="60" t="n">
        <v>52.74</v>
      </c>
    </row>
    <row r="2036" customFormat="false" ht="15" hidden="false" customHeight="false" outlineLevel="0" collapsed="false">
      <c r="A2036" s="0" t="n">
        <v>3</v>
      </c>
      <c r="B2036" s="59" t="n">
        <v>46231</v>
      </c>
      <c r="C2036" s="0" t="n">
        <v>22</v>
      </c>
      <c r="D2036" s="0" t="s">
        <v>2172</v>
      </c>
      <c r="E2036" s="0" t="n">
        <v>42</v>
      </c>
      <c r="F2036" s="0" t="s">
        <v>81</v>
      </c>
      <c r="I2036" s="0" t="n">
        <v>4430</v>
      </c>
      <c r="J2036" s="0" t="n">
        <v>110455</v>
      </c>
      <c r="K2036" s="0" t="n">
        <v>53212</v>
      </c>
      <c r="L2036" s="0" t="s">
        <v>2180</v>
      </c>
      <c r="N2036" s="0" t="n">
        <v>0.482</v>
      </c>
      <c r="O2036" s="60" t="n">
        <v>0</v>
      </c>
    </row>
    <row r="2037" customFormat="false" ht="15" hidden="false" customHeight="false" outlineLevel="0" collapsed="false">
      <c r="A2037" s="0" t="n">
        <v>3</v>
      </c>
      <c r="B2037" s="59" t="n">
        <v>46231</v>
      </c>
      <c r="C2037" s="0" t="n">
        <v>22</v>
      </c>
      <c r="D2037" s="0" t="s">
        <v>2172</v>
      </c>
      <c r="E2037" s="0" t="n">
        <v>42</v>
      </c>
      <c r="F2037" s="0" t="s">
        <v>81</v>
      </c>
      <c r="I2037" s="0" t="n">
        <v>4432</v>
      </c>
      <c r="J2037" s="0" t="n">
        <v>100006</v>
      </c>
      <c r="K2037" s="0" t="n">
        <v>7</v>
      </c>
      <c r="L2037" s="0" t="s">
        <v>2228</v>
      </c>
      <c r="N2037" s="0" t="n">
        <v>6.352</v>
      </c>
      <c r="O2037" s="60" t="n">
        <v>208.81</v>
      </c>
    </row>
    <row r="2038" customFormat="false" ht="15" hidden="false" customHeight="false" outlineLevel="0" collapsed="false">
      <c r="A2038" s="0" t="n">
        <v>3</v>
      </c>
      <c r="B2038" s="59" t="n">
        <v>46231</v>
      </c>
      <c r="C2038" s="0" t="n">
        <v>22</v>
      </c>
      <c r="D2038" s="0" t="s">
        <v>2172</v>
      </c>
      <c r="E2038" s="0" t="n">
        <v>42</v>
      </c>
      <c r="F2038" s="0" t="s">
        <v>81</v>
      </c>
      <c r="I2038" s="0" t="n">
        <v>4432</v>
      </c>
      <c r="J2038" s="0" t="n">
        <v>100008</v>
      </c>
      <c r="K2038" s="0" t="n">
        <v>9</v>
      </c>
      <c r="L2038" s="0" t="s">
        <v>2229</v>
      </c>
      <c r="N2038" s="0" t="n">
        <v>13.765</v>
      </c>
      <c r="O2038" s="60" t="n">
        <v>463.82</v>
      </c>
    </row>
    <row r="2039" customFormat="false" ht="15" hidden="false" customHeight="false" outlineLevel="0" collapsed="false">
      <c r="A2039" s="0" t="n">
        <v>3</v>
      </c>
      <c r="B2039" s="59" t="n">
        <v>46231</v>
      </c>
      <c r="C2039" s="0" t="n">
        <v>22</v>
      </c>
      <c r="D2039" s="0" t="s">
        <v>2172</v>
      </c>
      <c r="E2039" s="0" t="n">
        <v>42</v>
      </c>
      <c r="F2039" s="0" t="s">
        <v>81</v>
      </c>
      <c r="I2039" s="0" t="n">
        <v>4432</v>
      </c>
      <c r="J2039" s="0" t="n">
        <v>100010</v>
      </c>
      <c r="K2039" s="0" t="n">
        <v>11</v>
      </c>
      <c r="L2039" s="0" t="s">
        <v>2230</v>
      </c>
      <c r="N2039" s="0" t="n">
        <v>2.626</v>
      </c>
      <c r="O2039" s="60" t="n">
        <v>101.44</v>
      </c>
    </row>
    <row r="2040" customFormat="false" ht="15" hidden="false" customHeight="false" outlineLevel="0" collapsed="false">
      <c r="A2040" s="0" t="n">
        <v>3</v>
      </c>
      <c r="B2040" s="59" t="n">
        <v>46231</v>
      </c>
      <c r="C2040" s="0" t="n">
        <v>22</v>
      </c>
      <c r="D2040" s="0" t="s">
        <v>2172</v>
      </c>
      <c r="E2040" s="0" t="n">
        <v>42</v>
      </c>
      <c r="F2040" s="0" t="s">
        <v>81</v>
      </c>
      <c r="I2040" s="0" t="n">
        <v>4432</v>
      </c>
      <c r="J2040" s="0" t="n">
        <v>100011</v>
      </c>
      <c r="K2040" s="0" t="n">
        <v>12</v>
      </c>
      <c r="L2040" s="0" t="s">
        <v>2231</v>
      </c>
      <c r="N2040" s="0" t="n">
        <v>6.86</v>
      </c>
      <c r="O2040" s="60" t="n">
        <v>264.99</v>
      </c>
    </row>
    <row r="2041" customFormat="false" ht="15" hidden="false" customHeight="false" outlineLevel="0" collapsed="false">
      <c r="A2041" s="0" t="n">
        <v>3</v>
      </c>
      <c r="B2041" s="59" t="n">
        <v>46231</v>
      </c>
      <c r="C2041" s="0" t="n">
        <v>22</v>
      </c>
      <c r="D2041" s="0" t="s">
        <v>2172</v>
      </c>
      <c r="E2041" s="0" t="n">
        <v>42</v>
      </c>
      <c r="F2041" s="0" t="s">
        <v>81</v>
      </c>
      <c r="I2041" s="0" t="n">
        <v>4432</v>
      </c>
      <c r="J2041" s="0" t="n">
        <v>100012</v>
      </c>
      <c r="K2041" s="0" t="n">
        <v>13</v>
      </c>
      <c r="L2041" s="0" t="s">
        <v>2232</v>
      </c>
      <c r="N2041" s="0" t="n">
        <v>5.188</v>
      </c>
      <c r="O2041" s="60" t="n">
        <v>217.46</v>
      </c>
    </row>
    <row r="2042" customFormat="false" ht="15" hidden="false" customHeight="false" outlineLevel="0" collapsed="false">
      <c r="A2042" s="0" t="n">
        <v>3</v>
      </c>
      <c r="B2042" s="59" t="n">
        <v>46231</v>
      </c>
      <c r="C2042" s="0" t="n">
        <v>22</v>
      </c>
      <c r="D2042" s="0" t="s">
        <v>2172</v>
      </c>
      <c r="E2042" s="0" t="n">
        <v>42</v>
      </c>
      <c r="F2042" s="0" t="s">
        <v>81</v>
      </c>
      <c r="I2042" s="0" t="n">
        <v>4432</v>
      </c>
      <c r="J2042" s="0" t="n">
        <v>100013</v>
      </c>
      <c r="K2042" s="0" t="n">
        <v>14</v>
      </c>
      <c r="L2042" s="0" t="s">
        <v>2233</v>
      </c>
      <c r="N2042" s="0" t="n">
        <v>9.935</v>
      </c>
      <c r="O2042" s="60" t="n">
        <v>449.11</v>
      </c>
    </row>
    <row r="2043" customFormat="false" ht="15" hidden="false" customHeight="false" outlineLevel="0" collapsed="false">
      <c r="A2043" s="0" t="n">
        <v>3</v>
      </c>
      <c r="B2043" s="59" t="n">
        <v>46231</v>
      </c>
      <c r="C2043" s="0" t="n">
        <v>22</v>
      </c>
      <c r="D2043" s="0" t="s">
        <v>2172</v>
      </c>
      <c r="E2043" s="0" t="n">
        <v>42</v>
      </c>
      <c r="F2043" s="0" t="s">
        <v>81</v>
      </c>
      <c r="I2043" s="0" t="n">
        <v>4432</v>
      </c>
      <c r="J2043" s="0" t="n">
        <v>100014</v>
      </c>
      <c r="K2043" s="0" t="n">
        <v>15</v>
      </c>
      <c r="L2043" s="0" t="s">
        <v>2234</v>
      </c>
      <c r="N2043" s="0" t="n">
        <v>4.474</v>
      </c>
      <c r="O2043" s="60" t="n">
        <v>205.92</v>
      </c>
    </row>
    <row r="2044" customFormat="false" ht="15" hidden="false" customHeight="false" outlineLevel="0" collapsed="false">
      <c r="A2044" s="0" t="n">
        <v>3</v>
      </c>
      <c r="B2044" s="59" t="n">
        <v>46231</v>
      </c>
      <c r="C2044" s="0" t="n">
        <v>22</v>
      </c>
      <c r="D2044" s="0" t="s">
        <v>2172</v>
      </c>
      <c r="E2044" s="0" t="n">
        <v>42</v>
      </c>
      <c r="F2044" s="0" t="s">
        <v>81</v>
      </c>
      <c r="I2044" s="0" t="n">
        <v>4432</v>
      </c>
      <c r="J2044" s="0" t="n">
        <v>100015</v>
      </c>
      <c r="K2044" s="0" t="n">
        <v>16</v>
      </c>
      <c r="L2044" s="0" t="s">
        <v>2235</v>
      </c>
      <c r="N2044" s="0" t="n">
        <v>1.56</v>
      </c>
      <c r="O2044" s="60" t="n">
        <v>65.39</v>
      </c>
    </row>
    <row r="2045" customFormat="false" ht="15" hidden="false" customHeight="false" outlineLevel="0" collapsed="false">
      <c r="A2045" s="0" t="n">
        <v>3</v>
      </c>
      <c r="B2045" s="59" t="n">
        <v>46231</v>
      </c>
      <c r="C2045" s="0" t="n">
        <v>22</v>
      </c>
      <c r="D2045" s="0" t="s">
        <v>2172</v>
      </c>
      <c r="E2045" s="0" t="n">
        <v>42</v>
      </c>
      <c r="F2045" s="0" t="s">
        <v>81</v>
      </c>
      <c r="I2045" s="0" t="n">
        <v>4432</v>
      </c>
      <c r="J2045" s="0" t="n">
        <v>100016</v>
      </c>
      <c r="K2045" s="0" t="n">
        <v>17</v>
      </c>
      <c r="L2045" s="0" t="s">
        <v>2236</v>
      </c>
      <c r="N2045" s="0" t="n">
        <v>1.614</v>
      </c>
      <c r="O2045" s="60" t="n">
        <v>72.96</v>
      </c>
    </row>
    <row r="2046" customFormat="false" ht="15" hidden="false" customHeight="false" outlineLevel="0" collapsed="false">
      <c r="A2046" s="0" t="n">
        <v>3</v>
      </c>
      <c r="B2046" s="59" t="n">
        <v>46231</v>
      </c>
      <c r="C2046" s="0" t="n">
        <v>22</v>
      </c>
      <c r="D2046" s="0" t="s">
        <v>2172</v>
      </c>
      <c r="E2046" s="0" t="n">
        <v>42</v>
      </c>
      <c r="F2046" s="0" t="s">
        <v>81</v>
      </c>
      <c r="I2046" s="0" t="n">
        <v>4432</v>
      </c>
      <c r="J2046" s="0" t="n">
        <v>100017</v>
      </c>
      <c r="K2046" s="0" t="n">
        <v>18</v>
      </c>
      <c r="L2046" s="0" t="s">
        <v>2237</v>
      </c>
      <c r="N2046" s="0" t="n">
        <v>1.73</v>
      </c>
      <c r="O2046" s="60" t="n">
        <v>92.43</v>
      </c>
    </row>
    <row r="2047" customFormat="false" ht="15" hidden="false" customHeight="false" outlineLevel="0" collapsed="false">
      <c r="A2047" s="0" t="n">
        <v>3</v>
      </c>
      <c r="B2047" s="59" t="n">
        <v>46231</v>
      </c>
      <c r="C2047" s="0" t="n">
        <v>22</v>
      </c>
      <c r="D2047" s="0" t="s">
        <v>2172</v>
      </c>
      <c r="E2047" s="0" t="n">
        <v>42</v>
      </c>
      <c r="F2047" s="0" t="s">
        <v>81</v>
      </c>
      <c r="I2047" s="0" t="n">
        <v>4432</v>
      </c>
      <c r="J2047" s="0" t="n">
        <v>100020</v>
      </c>
      <c r="K2047" s="0" t="n">
        <v>21</v>
      </c>
      <c r="L2047" s="0" t="s">
        <v>2337</v>
      </c>
      <c r="N2047" s="0" t="n">
        <v>2.588</v>
      </c>
      <c r="O2047" s="60" t="n">
        <v>87.2</v>
      </c>
    </row>
    <row r="2048" customFormat="false" ht="15" hidden="false" customHeight="false" outlineLevel="0" collapsed="false">
      <c r="A2048" s="0" t="n">
        <v>3</v>
      </c>
      <c r="B2048" s="59" t="n">
        <v>46231</v>
      </c>
      <c r="C2048" s="0" t="n">
        <v>22</v>
      </c>
      <c r="D2048" s="0" t="s">
        <v>2172</v>
      </c>
      <c r="E2048" s="0" t="n">
        <v>42</v>
      </c>
      <c r="F2048" s="0" t="s">
        <v>81</v>
      </c>
      <c r="I2048" s="0" t="n">
        <v>4432</v>
      </c>
      <c r="J2048" s="0" t="n">
        <v>100053</v>
      </c>
      <c r="K2048" s="0" t="n">
        <v>54</v>
      </c>
      <c r="L2048" s="0" t="s">
        <v>2238</v>
      </c>
      <c r="N2048" s="0" t="n">
        <v>1.868</v>
      </c>
      <c r="O2048" s="60" t="n">
        <v>69.09</v>
      </c>
    </row>
    <row r="2049" customFormat="false" ht="15" hidden="false" customHeight="false" outlineLevel="0" collapsed="false">
      <c r="A2049" s="0" t="n">
        <v>3</v>
      </c>
      <c r="B2049" s="59" t="n">
        <v>46231</v>
      </c>
      <c r="C2049" s="0" t="n">
        <v>22</v>
      </c>
      <c r="D2049" s="0" t="s">
        <v>2172</v>
      </c>
      <c r="E2049" s="0" t="n">
        <v>42</v>
      </c>
      <c r="F2049" s="0" t="s">
        <v>81</v>
      </c>
      <c r="I2049" s="0" t="n">
        <v>4432</v>
      </c>
      <c r="J2049" s="0" t="n">
        <v>100638</v>
      </c>
      <c r="K2049" s="0" t="n">
        <v>508</v>
      </c>
      <c r="L2049" s="0" t="s">
        <v>2178</v>
      </c>
      <c r="N2049" s="0" t="n">
        <v>2.818</v>
      </c>
      <c r="O2049" s="60" t="n">
        <v>4.61</v>
      </c>
    </row>
    <row r="2050" customFormat="false" ht="15" hidden="false" customHeight="false" outlineLevel="0" collapsed="false">
      <c r="A2050" s="0" t="n">
        <v>3</v>
      </c>
      <c r="B2050" s="59" t="n">
        <v>46231</v>
      </c>
      <c r="C2050" s="0" t="n">
        <v>22</v>
      </c>
      <c r="D2050" s="0" t="s">
        <v>2172</v>
      </c>
      <c r="E2050" s="0" t="n">
        <v>42</v>
      </c>
      <c r="F2050" s="0" t="s">
        <v>81</v>
      </c>
      <c r="I2050" s="0" t="n">
        <v>4432</v>
      </c>
      <c r="J2050" s="0" t="n">
        <v>100520</v>
      </c>
      <c r="K2050" s="0" t="n">
        <v>507</v>
      </c>
      <c r="L2050" s="0" t="s">
        <v>2179</v>
      </c>
      <c r="N2050" s="0" t="n">
        <v>10.726</v>
      </c>
      <c r="O2050" s="60" t="n">
        <v>26.36</v>
      </c>
    </row>
    <row r="2051" customFormat="false" ht="15" hidden="false" customHeight="false" outlineLevel="0" collapsed="false">
      <c r="A2051" s="0" t="n">
        <v>3</v>
      </c>
      <c r="B2051" s="59" t="n">
        <v>46231</v>
      </c>
      <c r="C2051" s="0" t="n">
        <v>22</v>
      </c>
      <c r="D2051" s="0" t="s">
        <v>2172</v>
      </c>
      <c r="E2051" s="0" t="n">
        <v>42</v>
      </c>
      <c r="F2051" s="0" t="s">
        <v>81</v>
      </c>
      <c r="I2051" s="0" t="n">
        <v>4432</v>
      </c>
      <c r="J2051" s="0" t="n">
        <v>110455</v>
      </c>
      <c r="K2051" s="0" t="n">
        <v>53212</v>
      </c>
      <c r="L2051" s="0" t="s">
        <v>2180</v>
      </c>
      <c r="N2051" s="0" t="n">
        <v>0.696</v>
      </c>
      <c r="O2051" s="60" t="n">
        <v>0.01</v>
      </c>
    </row>
    <row r="2052" customFormat="false" ht="15" hidden="false" customHeight="false" outlineLevel="0" collapsed="false">
      <c r="A2052" s="0" t="n">
        <v>3</v>
      </c>
      <c r="B2052" s="59" t="n">
        <v>46231</v>
      </c>
      <c r="C2052" s="0" t="n">
        <v>100</v>
      </c>
      <c r="D2052" s="0" t="s">
        <v>2181</v>
      </c>
      <c r="E2052" s="0" t="n">
        <v>42</v>
      </c>
      <c r="F2052" s="0" t="s">
        <v>81</v>
      </c>
      <c r="I2052" s="0" t="n">
        <v>1463535</v>
      </c>
      <c r="J2052" s="0" t="n">
        <v>100006</v>
      </c>
      <c r="K2052" s="0" t="n">
        <v>7</v>
      </c>
      <c r="L2052" s="0" t="s">
        <v>2228</v>
      </c>
      <c r="N2052" s="0" t="n">
        <v>6.352</v>
      </c>
      <c r="O2052" s="60" t="n">
        <v>208.81</v>
      </c>
    </row>
    <row r="2053" customFormat="false" ht="15" hidden="false" customHeight="false" outlineLevel="0" collapsed="false">
      <c r="A2053" s="0" t="n">
        <v>3</v>
      </c>
      <c r="B2053" s="59" t="n">
        <v>46231</v>
      </c>
      <c r="C2053" s="0" t="n">
        <v>100</v>
      </c>
      <c r="D2053" s="0" t="s">
        <v>2181</v>
      </c>
      <c r="E2053" s="0" t="n">
        <v>42</v>
      </c>
      <c r="F2053" s="0" t="s">
        <v>81</v>
      </c>
      <c r="I2053" s="0" t="n">
        <v>1463535</v>
      </c>
      <c r="J2053" s="0" t="n">
        <v>100008</v>
      </c>
      <c r="K2053" s="0" t="n">
        <v>9</v>
      </c>
      <c r="L2053" s="0" t="s">
        <v>2229</v>
      </c>
      <c r="N2053" s="0" t="n">
        <v>13.765</v>
      </c>
      <c r="O2053" s="60" t="n">
        <v>463.82</v>
      </c>
    </row>
    <row r="2054" customFormat="false" ht="15" hidden="false" customHeight="false" outlineLevel="0" collapsed="false">
      <c r="A2054" s="0" t="n">
        <v>3</v>
      </c>
      <c r="B2054" s="59" t="n">
        <v>46231</v>
      </c>
      <c r="C2054" s="0" t="n">
        <v>100</v>
      </c>
      <c r="D2054" s="0" t="s">
        <v>2181</v>
      </c>
      <c r="E2054" s="0" t="n">
        <v>42</v>
      </c>
      <c r="F2054" s="0" t="s">
        <v>81</v>
      </c>
      <c r="I2054" s="0" t="n">
        <v>1463535</v>
      </c>
      <c r="J2054" s="0" t="n">
        <v>100010</v>
      </c>
      <c r="K2054" s="0" t="n">
        <v>11</v>
      </c>
      <c r="L2054" s="0" t="s">
        <v>2230</v>
      </c>
      <c r="N2054" s="0" t="n">
        <v>2.626</v>
      </c>
      <c r="O2054" s="60" t="n">
        <v>101.44</v>
      </c>
    </row>
    <row r="2055" customFormat="false" ht="15" hidden="false" customHeight="false" outlineLevel="0" collapsed="false">
      <c r="A2055" s="0" t="n">
        <v>3</v>
      </c>
      <c r="B2055" s="59" t="n">
        <v>46231</v>
      </c>
      <c r="C2055" s="0" t="n">
        <v>100</v>
      </c>
      <c r="D2055" s="0" t="s">
        <v>2181</v>
      </c>
      <c r="E2055" s="0" t="n">
        <v>42</v>
      </c>
      <c r="F2055" s="0" t="s">
        <v>81</v>
      </c>
      <c r="I2055" s="0" t="n">
        <v>1463535</v>
      </c>
      <c r="J2055" s="0" t="n">
        <v>100011</v>
      </c>
      <c r="K2055" s="0" t="n">
        <v>12</v>
      </c>
      <c r="L2055" s="0" t="s">
        <v>2231</v>
      </c>
      <c r="N2055" s="0" t="n">
        <v>6.86</v>
      </c>
      <c r="O2055" s="60" t="n">
        <v>264.99</v>
      </c>
    </row>
    <row r="2056" customFormat="false" ht="15" hidden="false" customHeight="false" outlineLevel="0" collapsed="false">
      <c r="A2056" s="0" t="n">
        <v>3</v>
      </c>
      <c r="B2056" s="59" t="n">
        <v>46231</v>
      </c>
      <c r="C2056" s="0" t="n">
        <v>100</v>
      </c>
      <c r="D2056" s="0" t="s">
        <v>2181</v>
      </c>
      <c r="E2056" s="0" t="n">
        <v>42</v>
      </c>
      <c r="F2056" s="0" t="s">
        <v>81</v>
      </c>
      <c r="I2056" s="0" t="n">
        <v>1463535</v>
      </c>
      <c r="J2056" s="0" t="n">
        <v>100012</v>
      </c>
      <c r="K2056" s="0" t="n">
        <v>13</v>
      </c>
      <c r="L2056" s="0" t="s">
        <v>2232</v>
      </c>
      <c r="N2056" s="0" t="n">
        <v>5.188</v>
      </c>
      <c r="O2056" s="60" t="n">
        <v>217.46</v>
      </c>
    </row>
    <row r="2057" customFormat="false" ht="15" hidden="false" customHeight="false" outlineLevel="0" collapsed="false">
      <c r="A2057" s="0" t="n">
        <v>3</v>
      </c>
      <c r="B2057" s="59" t="n">
        <v>46231</v>
      </c>
      <c r="C2057" s="0" t="n">
        <v>100</v>
      </c>
      <c r="D2057" s="0" t="s">
        <v>2181</v>
      </c>
      <c r="E2057" s="0" t="n">
        <v>42</v>
      </c>
      <c r="F2057" s="0" t="s">
        <v>81</v>
      </c>
      <c r="I2057" s="0" t="n">
        <v>1463535</v>
      </c>
      <c r="J2057" s="0" t="n">
        <v>100013</v>
      </c>
      <c r="K2057" s="0" t="n">
        <v>14</v>
      </c>
      <c r="L2057" s="0" t="s">
        <v>2233</v>
      </c>
      <c r="N2057" s="0" t="n">
        <v>9.935</v>
      </c>
      <c r="O2057" s="60" t="n">
        <v>449.11</v>
      </c>
    </row>
    <row r="2058" customFormat="false" ht="15" hidden="false" customHeight="false" outlineLevel="0" collapsed="false">
      <c r="A2058" s="0" t="n">
        <v>3</v>
      </c>
      <c r="B2058" s="59" t="n">
        <v>46231</v>
      </c>
      <c r="C2058" s="0" t="n">
        <v>100</v>
      </c>
      <c r="D2058" s="0" t="s">
        <v>2181</v>
      </c>
      <c r="E2058" s="0" t="n">
        <v>42</v>
      </c>
      <c r="F2058" s="0" t="s">
        <v>81</v>
      </c>
      <c r="I2058" s="0" t="n">
        <v>1463535</v>
      </c>
      <c r="J2058" s="0" t="n">
        <v>100014</v>
      </c>
      <c r="K2058" s="0" t="n">
        <v>15</v>
      </c>
      <c r="L2058" s="0" t="s">
        <v>2234</v>
      </c>
      <c r="N2058" s="0" t="n">
        <v>4.474</v>
      </c>
      <c r="O2058" s="60" t="n">
        <v>205.92</v>
      </c>
    </row>
    <row r="2059" customFormat="false" ht="15" hidden="false" customHeight="false" outlineLevel="0" collapsed="false">
      <c r="A2059" s="0" t="n">
        <v>3</v>
      </c>
      <c r="B2059" s="59" t="n">
        <v>46231</v>
      </c>
      <c r="C2059" s="0" t="n">
        <v>100</v>
      </c>
      <c r="D2059" s="0" t="s">
        <v>2181</v>
      </c>
      <c r="E2059" s="0" t="n">
        <v>42</v>
      </c>
      <c r="F2059" s="0" t="s">
        <v>81</v>
      </c>
      <c r="I2059" s="0" t="n">
        <v>1463535</v>
      </c>
      <c r="J2059" s="0" t="n">
        <v>100015</v>
      </c>
      <c r="K2059" s="0" t="n">
        <v>16</v>
      </c>
      <c r="L2059" s="0" t="s">
        <v>2235</v>
      </c>
      <c r="N2059" s="0" t="n">
        <v>1.56</v>
      </c>
      <c r="O2059" s="60" t="n">
        <v>65.39</v>
      </c>
    </row>
    <row r="2060" customFormat="false" ht="15" hidden="false" customHeight="false" outlineLevel="0" collapsed="false">
      <c r="A2060" s="0" t="n">
        <v>3</v>
      </c>
      <c r="B2060" s="59" t="n">
        <v>46231</v>
      </c>
      <c r="C2060" s="0" t="n">
        <v>100</v>
      </c>
      <c r="D2060" s="0" t="s">
        <v>2181</v>
      </c>
      <c r="E2060" s="0" t="n">
        <v>42</v>
      </c>
      <c r="F2060" s="0" t="s">
        <v>81</v>
      </c>
      <c r="I2060" s="0" t="n">
        <v>1463535</v>
      </c>
      <c r="J2060" s="0" t="n">
        <v>100016</v>
      </c>
      <c r="K2060" s="0" t="n">
        <v>17</v>
      </c>
      <c r="L2060" s="0" t="s">
        <v>2236</v>
      </c>
      <c r="N2060" s="0" t="n">
        <v>1.614</v>
      </c>
      <c r="O2060" s="60" t="n">
        <v>72.96</v>
      </c>
    </row>
    <row r="2061" customFormat="false" ht="15" hidden="false" customHeight="false" outlineLevel="0" collapsed="false">
      <c r="A2061" s="0" t="n">
        <v>3</v>
      </c>
      <c r="B2061" s="59" t="n">
        <v>46231</v>
      </c>
      <c r="C2061" s="0" t="n">
        <v>100</v>
      </c>
      <c r="D2061" s="0" t="s">
        <v>2181</v>
      </c>
      <c r="E2061" s="0" t="n">
        <v>42</v>
      </c>
      <c r="F2061" s="0" t="s">
        <v>81</v>
      </c>
      <c r="I2061" s="0" t="n">
        <v>1463535</v>
      </c>
      <c r="J2061" s="0" t="n">
        <v>100017</v>
      </c>
      <c r="K2061" s="0" t="n">
        <v>18</v>
      </c>
      <c r="L2061" s="0" t="s">
        <v>2237</v>
      </c>
      <c r="N2061" s="0" t="n">
        <v>1.73</v>
      </c>
      <c r="O2061" s="60" t="n">
        <v>92.43</v>
      </c>
    </row>
    <row r="2062" customFormat="false" ht="15" hidden="false" customHeight="false" outlineLevel="0" collapsed="false">
      <c r="A2062" s="0" t="n">
        <v>3</v>
      </c>
      <c r="B2062" s="59" t="n">
        <v>46231</v>
      </c>
      <c r="C2062" s="0" t="n">
        <v>100</v>
      </c>
      <c r="D2062" s="0" t="s">
        <v>2181</v>
      </c>
      <c r="E2062" s="0" t="n">
        <v>42</v>
      </c>
      <c r="F2062" s="0" t="s">
        <v>81</v>
      </c>
      <c r="I2062" s="0" t="n">
        <v>1463535</v>
      </c>
      <c r="J2062" s="0" t="n">
        <v>100020</v>
      </c>
      <c r="K2062" s="0" t="n">
        <v>21</v>
      </c>
      <c r="L2062" s="0" t="s">
        <v>2337</v>
      </c>
      <c r="N2062" s="0" t="n">
        <v>2.588</v>
      </c>
      <c r="O2062" s="60" t="n">
        <v>87.2</v>
      </c>
    </row>
    <row r="2063" customFormat="false" ht="15" hidden="false" customHeight="false" outlineLevel="0" collapsed="false">
      <c r="A2063" s="0" t="n">
        <v>3</v>
      </c>
      <c r="B2063" s="59" t="n">
        <v>46231</v>
      </c>
      <c r="C2063" s="0" t="n">
        <v>100</v>
      </c>
      <c r="D2063" s="0" t="s">
        <v>2181</v>
      </c>
      <c r="E2063" s="0" t="n">
        <v>42</v>
      </c>
      <c r="F2063" s="0" t="s">
        <v>81</v>
      </c>
      <c r="I2063" s="0" t="n">
        <v>1463535</v>
      </c>
      <c r="J2063" s="0" t="n">
        <v>100053</v>
      </c>
      <c r="K2063" s="0" t="n">
        <v>54</v>
      </c>
      <c r="L2063" s="0" t="s">
        <v>2238</v>
      </c>
      <c r="N2063" s="0" t="n">
        <v>1.868</v>
      </c>
      <c r="O2063" s="60" t="n">
        <v>69.09</v>
      </c>
    </row>
    <row r="2064" customFormat="false" ht="15" hidden="false" customHeight="false" outlineLevel="0" collapsed="false">
      <c r="A2064" s="0" t="n">
        <v>3</v>
      </c>
      <c r="B2064" s="59" t="n">
        <v>46231</v>
      </c>
      <c r="C2064" s="0" t="n">
        <v>100</v>
      </c>
      <c r="D2064" s="0" t="s">
        <v>2181</v>
      </c>
      <c r="E2064" s="0" t="n">
        <v>42</v>
      </c>
      <c r="F2064" s="0" t="s">
        <v>81</v>
      </c>
      <c r="I2064" s="0" t="n">
        <v>1463535</v>
      </c>
      <c r="J2064" s="0" t="n">
        <v>100638</v>
      </c>
      <c r="K2064" s="0" t="n">
        <v>508</v>
      </c>
      <c r="L2064" s="0" t="s">
        <v>2178</v>
      </c>
      <c r="N2064" s="0" t="n">
        <v>2.818</v>
      </c>
      <c r="O2064" s="60" t="n">
        <v>4.61</v>
      </c>
    </row>
    <row r="2065" customFormat="false" ht="15" hidden="false" customHeight="false" outlineLevel="0" collapsed="false">
      <c r="A2065" s="0" t="n">
        <v>3</v>
      </c>
      <c r="B2065" s="59" t="n">
        <v>46231</v>
      </c>
      <c r="C2065" s="0" t="n">
        <v>100</v>
      </c>
      <c r="D2065" s="0" t="s">
        <v>2181</v>
      </c>
      <c r="E2065" s="0" t="n">
        <v>42</v>
      </c>
      <c r="F2065" s="0" t="s">
        <v>81</v>
      </c>
      <c r="I2065" s="0" t="n">
        <v>1463535</v>
      </c>
      <c r="J2065" s="0" t="n">
        <v>100520</v>
      </c>
      <c r="K2065" s="0" t="n">
        <v>507</v>
      </c>
      <c r="L2065" s="0" t="s">
        <v>2179</v>
      </c>
      <c r="N2065" s="0" t="n">
        <v>10.726</v>
      </c>
      <c r="O2065" s="60" t="n">
        <v>26.36</v>
      </c>
    </row>
    <row r="2066" customFormat="false" ht="15" hidden="false" customHeight="false" outlineLevel="0" collapsed="false">
      <c r="A2066" s="0" t="n">
        <v>3</v>
      </c>
      <c r="B2066" s="59" t="n">
        <v>46231</v>
      </c>
      <c r="C2066" s="0" t="n">
        <v>100</v>
      </c>
      <c r="D2066" s="0" t="s">
        <v>2181</v>
      </c>
      <c r="E2066" s="0" t="n">
        <v>42</v>
      </c>
      <c r="F2066" s="0" t="s">
        <v>81</v>
      </c>
      <c r="I2066" s="0" t="n">
        <v>1463535</v>
      </c>
      <c r="J2066" s="0" t="n">
        <v>110455</v>
      </c>
      <c r="K2066" s="0" t="n">
        <v>53212</v>
      </c>
      <c r="L2066" s="0" t="s">
        <v>2180</v>
      </c>
      <c r="N2066" s="0" t="n">
        <v>0.696</v>
      </c>
      <c r="O2066" s="60" t="n">
        <v>0.01</v>
      </c>
    </row>
    <row r="2067" customFormat="false" ht="15" hidden="false" customHeight="false" outlineLevel="0" collapsed="false">
      <c r="A2067" s="0" t="n">
        <v>3</v>
      </c>
      <c r="B2067" s="59" t="n">
        <v>46232</v>
      </c>
      <c r="C2067" s="0" t="n">
        <v>6</v>
      </c>
      <c r="D2067" s="0" t="s">
        <v>2125</v>
      </c>
      <c r="E2067" s="0" t="n">
        <v>42</v>
      </c>
      <c r="F2067" s="0" t="s">
        <v>81</v>
      </c>
      <c r="I2067" s="0" t="n">
        <v>4437</v>
      </c>
      <c r="J2067" s="0" t="n">
        <v>37361</v>
      </c>
      <c r="K2067" s="0" t="n">
        <v>2240817</v>
      </c>
      <c r="L2067" s="0" t="s">
        <v>2124</v>
      </c>
      <c r="N2067" s="0" t="n">
        <v>50</v>
      </c>
      <c r="O2067" s="60" t="n">
        <v>100</v>
      </c>
    </row>
    <row r="2068" customFormat="false" ht="15" hidden="false" customHeight="false" outlineLevel="0" collapsed="false">
      <c r="A2068" s="0" t="n">
        <v>3</v>
      </c>
      <c r="B2068" s="59" t="n">
        <v>46232</v>
      </c>
      <c r="C2068" s="0" t="n">
        <v>11</v>
      </c>
      <c r="D2068" s="0" t="s">
        <v>2126</v>
      </c>
      <c r="E2068" s="0" t="n">
        <v>1269</v>
      </c>
      <c r="F2068" s="0" t="s">
        <v>1371</v>
      </c>
      <c r="I2068" s="0" t="n">
        <v>4</v>
      </c>
      <c r="J2068" s="0" t="n">
        <v>11890</v>
      </c>
      <c r="K2068" s="0" t="n">
        <v>7896359005734</v>
      </c>
      <c r="L2068" s="0" t="s">
        <v>3092</v>
      </c>
      <c r="N2068" s="0" t="n">
        <v>100</v>
      </c>
      <c r="O2068" s="60" t="n">
        <v>99</v>
      </c>
    </row>
    <row r="2069" customFormat="false" ht="15" hidden="false" customHeight="false" outlineLevel="0" collapsed="false">
      <c r="A2069" s="0" t="n">
        <v>3</v>
      </c>
      <c r="B2069" s="59" t="n">
        <v>46232</v>
      </c>
      <c r="C2069" s="0" t="n">
        <v>11</v>
      </c>
      <c r="D2069" s="0" t="s">
        <v>2126</v>
      </c>
      <c r="E2069" s="0" t="n">
        <v>1269</v>
      </c>
      <c r="F2069" s="0" t="s">
        <v>1371</v>
      </c>
      <c r="I2069" s="0" t="n">
        <v>4</v>
      </c>
      <c r="J2069" s="0" t="n">
        <v>11891</v>
      </c>
      <c r="K2069" s="0" t="n">
        <v>7896359005727</v>
      </c>
      <c r="L2069" s="0" t="s">
        <v>3093</v>
      </c>
      <c r="N2069" s="0" t="n">
        <v>100</v>
      </c>
      <c r="O2069" s="60" t="n">
        <v>99</v>
      </c>
    </row>
    <row r="2070" customFormat="false" ht="15" hidden="false" customHeight="false" outlineLevel="0" collapsed="false">
      <c r="A2070" s="0" t="n">
        <v>3</v>
      </c>
      <c r="B2070" s="59" t="n">
        <v>46232</v>
      </c>
      <c r="C2070" s="0" t="n">
        <v>11</v>
      </c>
      <c r="D2070" s="0" t="s">
        <v>2126</v>
      </c>
      <c r="E2070" s="0" t="n">
        <v>1269</v>
      </c>
      <c r="F2070" s="0" t="s">
        <v>1371</v>
      </c>
      <c r="I2070" s="0" t="n">
        <v>4</v>
      </c>
      <c r="J2070" s="0" t="n">
        <v>13532</v>
      </c>
      <c r="K2070" s="0" t="n">
        <v>7896359005710</v>
      </c>
      <c r="L2070" s="0" t="s">
        <v>3094</v>
      </c>
      <c r="N2070" s="0" t="n">
        <v>100</v>
      </c>
      <c r="O2070" s="60" t="n">
        <v>99</v>
      </c>
    </row>
    <row r="2071" customFormat="false" ht="15" hidden="false" customHeight="false" outlineLevel="0" collapsed="false">
      <c r="A2071" s="0" t="n">
        <v>3</v>
      </c>
      <c r="B2071" s="59" t="n">
        <v>46232</v>
      </c>
      <c r="C2071" s="0" t="n">
        <v>11</v>
      </c>
      <c r="D2071" s="0" t="s">
        <v>2126</v>
      </c>
      <c r="E2071" s="0" t="n">
        <v>1269</v>
      </c>
      <c r="F2071" s="0" t="s">
        <v>1371</v>
      </c>
      <c r="I2071" s="0" t="n">
        <v>4</v>
      </c>
      <c r="J2071" s="0" t="n">
        <v>17282</v>
      </c>
      <c r="K2071" s="0" t="n">
        <v>7896359005765</v>
      </c>
      <c r="L2071" s="0" t="s">
        <v>3095</v>
      </c>
      <c r="N2071" s="0" t="n">
        <v>50</v>
      </c>
      <c r="O2071" s="60" t="n">
        <v>120</v>
      </c>
    </row>
    <row r="2072" customFormat="false" ht="15" hidden="false" customHeight="false" outlineLevel="0" collapsed="false">
      <c r="A2072" s="0" t="n">
        <v>3</v>
      </c>
      <c r="B2072" s="59" t="n">
        <v>46232</v>
      </c>
      <c r="C2072" s="0" t="n">
        <v>11</v>
      </c>
      <c r="D2072" s="0" t="s">
        <v>2126</v>
      </c>
      <c r="E2072" s="0" t="n">
        <v>1269</v>
      </c>
      <c r="F2072" s="0" t="s">
        <v>1371</v>
      </c>
      <c r="I2072" s="0" t="n">
        <v>4</v>
      </c>
      <c r="J2072" s="0" t="n">
        <v>33792</v>
      </c>
      <c r="K2072" s="0" t="n">
        <v>7896359621330</v>
      </c>
      <c r="L2072" s="0" t="s">
        <v>3096</v>
      </c>
      <c r="N2072" s="0" t="n">
        <v>150</v>
      </c>
      <c r="O2072" s="60" t="n">
        <v>387</v>
      </c>
    </row>
    <row r="2073" customFormat="false" ht="15" hidden="false" customHeight="false" outlineLevel="0" collapsed="false">
      <c r="A2073" s="0" t="n">
        <v>3</v>
      </c>
      <c r="B2073" s="59" t="n">
        <v>46232</v>
      </c>
      <c r="C2073" s="0" t="n">
        <v>11</v>
      </c>
      <c r="D2073" s="0" t="s">
        <v>2126</v>
      </c>
      <c r="E2073" s="0" t="n">
        <v>1269</v>
      </c>
      <c r="F2073" s="0" t="s">
        <v>1371</v>
      </c>
      <c r="I2073" s="0" t="n">
        <v>4</v>
      </c>
      <c r="J2073" s="0" t="n">
        <v>33793</v>
      </c>
      <c r="K2073" s="0" t="n">
        <v>7896355621198</v>
      </c>
      <c r="L2073" s="0" t="s">
        <v>3097</v>
      </c>
      <c r="N2073" s="0" t="n">
        <v>100</v>
      </c>
      <c r="O2073" s="60" t="n">
        <v>246</v>
      </c>
    </row>
    <row r="2074" customFormat="false" ht="15" hidden="false" customHeight="false" outlineLevel="0" collapsed="false">
      <c r="A2074" s="0" t="n">
        <v>3</v>
      </c>
      <c r="B2074" s="59" t="n">
        <v>46232</v>
      </c>
      <c r="C2074" s="0" t="n">
        <v>11</v>
      </c>
      <c r="D2074" s="0" t="s">
        <v>2126</v>
      </c>
      <c r="E2074" s="0" t="n">
        <v>1269</v>
      </c>
      <c r="F2074" s="0" t="s">
        <v>1371</v>
      </c>
      <c r="I2074" s="0" t="n">
        <v>4</v>
      </c>
      <c r="J2074" s="0" t="n">
        <v>34428</v>
      </c>
      <c r="K2074" s="0" t="n">
        <v>7896359621507</v>
      </c>
      <c r="L2074" s="0" t="s">
        <v>3098</v>
      </c>
      <c r="N2074" s="0" t="n">
        <v>200</v>
      </c>
      <c r="O2074" s="60" t="n">
        <v>596</v>
      </c>
    </row>
    <row r="2075" customFormat="false" ht="15" hidden="false" customHeight="false" outlineLevel="0" collapsed="false">
      <c r="A2075" s="0" t="n">
        <v>3</v>
      </c>
      <c r="B2075" s="59" t="n">
        <v>46232</v>
      </c>
      <c r="C2075" s="0" t="n">
        <v>11</v>
      </c>
      <c r="D2075" s="0" t="s">
        <v>2126</v>
      </c>
      <c r="E2075" s="0" t="n">
        <v>1269</v>
      </c>
      <c r="F2075" s="0" t="s">
        <v>1371</v>
      </c>
      <c r="I2075" s="0" t="n">
        <v>4</v>
      </c>
      <c r="J2075" s="0" t="n">
        <v>40335</v>
      </c>
      <c r="K2075" s="0" t="n">
        <v>7896359621811</v>
      </c>
      <c r="L2075" s="0" t="s">
        <v>3099</v>
      </c>
      <c r="N2075" s="0" t="n">
        <v>150</v>
      </c>
      <c r="O2075" s="60" t="n">
        <v>405</v>
      </c>
    </row>
    <row r="2076" customFormat="false" ht="15" hidden="false" customHeight="false" outlineLevel="0" collapsed="false">
      <c r="A2076" s="0" t="n">
        <v>3</v>
      </c>
      <c r="B2076" s="59" t="n">
        <v>46232</v>
      </c>
      <c r="C2076" s="0" t="n">
        <v>11</v>
      </c>
      <c r="D2076" s="0" t="s">
        <v>2126</v>
      </c>
      <c r="E2076" s="0" t="n">
        <v>1269</v>
      </c>
      <c r="F2076" s="0" t="s">
        <v>1371</v>
      </c>
      <c r="I2076" s="0" t="n">
        <v>4</v>
      </c>
      <c r="J2076" s="0" t="n">
        <v>76793</v>
      </c>
      <c r="K2076" s="0" t="n">
        <v>7893695782350</v>
      </c>
      <c r="L2076" s="0" t="s">
        <v>3100</v>
      </c>
      <c r="N2076" s="0" t="n">
        <v>50</v>
      </c>
      <c r="O2076" s="60" t="n">
        <v>189</v>
      </c>
    </row>
    <row r="2077" customFormat="false" ht="15" hidden="false" customHeight="false" outlineLevel="0" collapsed="false">
      <c r="A2077" s="0" t="n">
        <v>3</v>
      </c>
      <c r="B2077" s="59" t="n">
        <v>46232</v>
      </c>
      <c r="C2077" s="0" t="n">
        <v>11</v>
      </c>
      <c r="D2077" s="0" t="s">
        <v>2126</v>
      </c>
      <c r="E2077" s="0" t="n">
        <v>1695</v>
      </c>
      <c r="F2077" s="0" t="s">
        <v>271</v>
      </c>
      <c r="I2077" s="0" t="n">
        <v>19509</v>
      </c>
      <c r="J2077" s="0" t="n">
        <v>28032</v>
      </c>
      <c r="K2077" s="0" t="n">
        <v>7891079013038</v>
      </c>
      <c r="L2077" s="0" t="s">
        <v>3101</v>
      </c>
      <c r="N2077" s="0" t="n">
        <v>96</v>
      </c>
      <c r="O2077" s="60" t="n">
        <v>406.08</v>
      </c>
    </row>
    <row r="2078" customFormat="false" ht="15" hidden="false" customHeight="false" outlineLevel="0" collapsed="false">
      <c r="A2078" s="0" t="n">
        <v>3</v>
      </c>
      <c r="B2078" s="59" t="n">
        <v>46232</v>
      </c>
      <c r="C2078" s="0" t="n">
        <v>11</v>
      </c>
      <c r="D2078" s="0" t="s">
        <v>2126</v>
      </c>
      <c r="E2078" s="0" t="n">
        <v>1695</v>
      </c>
      <c r="F2078" s="0" t="s">
        <v>271</v>
      </c>
      <c r="I2078" s="0" t="n">
        <v>19509</v>
      </c>
      <c r="J2078" s="0" t="n">
        <v>28035</v>
      </c>
      <c r="K2078" s="0" t="n">
        <v>7891079013052</v>
      </c>
      <c r="L2078" s="0" t="s">
        <v>3102</v>
      </c>
      <c r="N2078" s="0" t="n">
        <v>96</v>
      </c>
      <c r="O2078" s="60" t="n">
        <v>406.08</v>
      </c>
    </row>
    <row r="2079" customFormat="false" ht="15" hidden="false" customHeight="false" outlineLevel="0" collapsed="false">
      <c r="A2079" s="0" t="n">
        <v>3</v>
      </c>
      <c r="B2079" s="59" t="n">
        <v>46232</v>
      </c>
      <c r="C2079" s="0" t="n">
        <v>11</v>
      </c>
      <c r="D2079" s="0" t="s">
        <v>2126</v>
      </c>
      <c r="E2079" s="0" t="n">
        <v>1695</v>
      </c>
      <c r="F2079" s="0" t="s">
        <v>271</v>
      </c>
      <c r="I2079" s="0" t="n">
        <v>19509</v>
      </c>
      <c r="J2079" s="0" t="n">
        <v>34011</v>
      </c>
      <c r="K2079" s="0" t="n">
        <v>78939912</v>
      </c>
      <c r="L2079" s="0" t="s">
        <v>3103</v>
      </c>
      <c r="N2079" s="0" t="n">
        <v>10</v>
      </c>
      <c r="O2079" s="60" t="n">
        <v>193.54</v>
      </c>
    </row>
    <row r="2080" customFormat="false" ht="15" hidden="false" customHeight="false" outlineLevel="0" collapsed="false">
      <c r="A2080" s="0" t="n">
        <v>3</v>
      </c>
      <c r="B2080" s="59" t="n">
        <v>46232</v>
      </c>
      <c r="C2080" s="0" t="n">
        <v>11</v>
      </c>
      <c r="D2080" s="0" t="s">
        <v>2126</v>
      </c>
      <c r="E2080" s="0" t="n">
        <v>1695</v>
      </c>
      <c r="F2080" s="0" t="s">
        <v>271</v>
      </c>
      <c r="I2080" s="0" t="n">
        <v>19509</v>
      </c>
      <c r="J2080" s="0" t="n">
        <v>37040</v>
      </c>
      <c r="K2080" s="0" t="n">
        <v>7896264670577</v>
      </c>
      <c r="L2080" s="0" t="s">
        <v>3104</v>
      </c>
      <c r="N2080" s="0" t="n">
        <v>12</v>
      </c>
      <c r="O2080" s="60" t="n">
        <v>44.28</v>
      </c>
    </row>
    <row r="2081" customFormat="false" ht="15" hidden="false" customHeight="false" outlineLevel="0" collapsed="false">
      <c r="A2081" s="0" t="n">
        <v>3</v>
      </c>
      <c r="B2081" s="59" t="n">
        <v>46232</v>
      </c>
      <c r="C2081" s="0" t="n">
        <v>11</v>
      </c>
      <c r="D2081" s="0" t="s">
        <v>2126</v>
      </c>
      <c r="E2081" s="0" t="n">
        <v>1695</v>
      </c>
      <c r="F2081" s="0" t="s">
        <v>271</v>
      </c>
      <c r="I2081" s="0" t="n">
        <v>19509</v>
      </c>
      <c r="J2081" s="0" t="n">
        <v>40579</v>
      </c>
      <c r="K2081" s="0" t="n">
        <v>7896264670553</v>
      </c>
      <c r="L2081" s="0" t="s">
        <v>3105</v>
      </c>
      <c r="N2081" s="0" t="n">
        <v>24</v>
      </c>
      <c r="O2081" s="60" t="n">
        <v>110.16</v>
      </c>
    </row>
    <row r="2082" customFormat="false" ht="15" hidden="false" customHeight="false" outlineLevel="0" collapsed="false">
      <c r="A2082" s="0" t="n">
        <v>3</v>
      </c>
      <c r="B2082" s="59" t="n">
        <v>46232</v>
      </c>
      <c r="C2082" s="0" t="n">
        <v>11</v>
      </c>
      <c r="D2082" s="0" t="s">
        <v>2126</v>
      </c>
      <c r="E2082" s="0" t="n">
        <v>1695</v>
      </c>
      <c r="F2082" s="0" t="s">
        <v>271</v>
      </c>
      <c r="I2082" s="0" t="n">
        <v>19509</v>
      </c>
      <c r="J2082" s="0" t="n">
        <v>40750</v>
      </c>
      <c r="K2082" s="0" t="n">
        <v>78943032</v>
      </c>
      <c r="L2082" s="0" t="s">
        <v>2639</v>
      </c>
      <c r="N2082" s="0" t="n">
        <v>50</v>
      </c>
      <c r="O2082" s="60" t="n">
        <v>831.6</v>
      </c>
    </row>
    <row r="2083" customFormat="false" ht="15" hidden="false" customHeight="false" outlineLevel="0" collapsed="false">
      <c r="A2083" s="0" t="n">
        <v>3</v>
      </c>
      <c r="B2083" s="59" t="n">
        <v>46232</v>
      </c>
      <c r="C2083" s="0" t="n">
        <v>11</v>
      </c>
      <c r="D2083" s="0" t="s">
        <v>2126</v>
      </c>
      <c r="E2083" s="0" t="n">
        <v>1695</v>
      </c>
      <c r="F2083" s="0" t="s">
        <v>271</v>
      </c>
      <c r="I2083" s="0" t="n">
        <v>19509</v>
      </c>
      <c r="J2083" s="0" t="n">
        <v>48472</v>
      </c>
      <c r="K2083" s="0" t="n">
        <v>7891152801897</v>
      </c>
      <c r="L2083" s="0" t="s">
        <v>3106</v>
      </c>
      <c r="N2083" s="0" t="n">
        <v>40</v>
      </c>
      <c r="O2083" s="60" t="n">
        <v>40</v>
      </c>
    </row>
    <row r="2084" customFormat="false" ht="15" hidden="false" customHeight="false" outlineLevel="0" collapsed="false">
      <c r="A2084" s="0" t="n">
        <v>3</v>
      </c>
      <c r="B2084" s="59" t="n">
        <v>46232</v>
      </c>
      <c r="C2084" s="0" t="n">
        <v>11</v>
      </c>
      <c r="D2084" s="0" t="s">
        <v>2126</v>
      </c>
      <c r="E2084" s="0" t="n">
        <v>1695</v>
      </c>
      <c r="F2084" s="0" t="s">
        <v>271</v>
      </c>
      <c r="I2084" s="0" t="n">
        <v>19509</v>
      </c>
      <c r="J2084" s="0" t="n">
        <v>48473</v>
      </c>
      <c r="K2084" s="0" t="n">
        <v>7891152801910</v>
      </c>
      <c r="L2084" s="0" t="s">
        <v>3107</v>
      </c>
      <c r="N2084" s="0" t="n">
        <v>40</v>
      </c>
      <c r="O2084" s="60" t="n">
        <v>40</v>
      </c>
    </row>
    <row r="2085" customFormat="false" ht="15" hidden="false" customHeight="false" outlineLevel="0" collapsed="false">
      <c r="A2085" s="0" t="n">
        <v>3</v>
      </c>
      <c r="B2085" s="59" t="n">
        <v>46232</v>
      </c>
      <c r="C2085" s="0" t="n">
        <v>11</v>
      </c>
      <c r="D2085" s="0" t="s">
        <v>2126</v>
      </c>
      <c r="E2085" s="0" t="n">
        <v>1695</v>
      </c>
      <c r="F2085" s="0" t="s">
        <v>271</v>
      </c>
      <c r="I2085" s="0" t="n">
        <v>19509</v>
      </c>
      <c r="J2085" s="0" t="n">
        <v>48698</v>
      </c>
      <c r="K2085" s="0" t="n">
        <v>7891152801781</v>
      </c>
      <c r="L2085" s="0" t="s">
        <v>3108</v>
      </c>
      <c r="N2085" s="0" t="n">
        <v>36</v>
      </c>
      <c r="O2085" s="60" t="n">
        <v>83.52</v>
      </c>
    </row>
    <row r="2086" customFormat="false" ht="15" hidden="false" customHeight="false" outlineLevel="0" collapsed="false">
      <c r="A2086" s="0" t="n">
        <v>3</v>
      </c>
      <c r="B2086" s="59" t="n">
        <v>46232</v>
      </c>
      <c r="C2086" s="0" t="n">
        <v>11</v>
      </c>
      <c r="D2086" s="0" t="s">
        <v>2126</v>
      </c>
      <c r="E2086" s="0" t="n">
        <v>1695</v>
      </c>
      <c r="F2086" s="0" t="s">
        <v>271</v>
      </c>
      <c r="I2086" s="0" t="n">
        <v>19509</v>
      </c>
      <c r="J2086" s="0" t="n">
        <v>48699</v>
      </c>
      <c r="K2086" s="0" t="n">
        <v>7891152801842</v>
      </c>
      <c r="L2086" s="0" t="s">
        <v>3109</v>
      </c>
      <c r="N2086" s="0" t="n">
        <v>36</v>
      </c>
      <c r="O2086" s="60" t="n">
        <v>83.52</v>
      </c>
    </row>
    <row r="2087" customFormat="false" ht="15" hidden="false" customHeight="false" outlineLevel="0" collapsed="false">
      <c r="A2087" s="0" t="n">
        <v>3</v>
      </c>
      <c r="B2087" s="59" t="n">
        <v>46232</v>
      </c>
      <c r="C2087" s="0" t="n">
        <v>11</v>
      </c>
      <c r="D2087" s="0" t="s">
        <v>2126</v>
      </c>
      <c r="E2087" s="0" t="n">
        <v>1695</v>
      </c>
      <c r="F2087" s="0" t="s">
        <v>271</v>
      </c>
      <c r="I2087" s="0" t="n">
        <v>19509</v>
      </c>
      <c r="J2087" s="0" t="n">
        <v>48700</v>
      </c>
      <c r="K2087" s="0" t="n">
        <v>7891152801903</v>
      </c>
      <c r="L2087" s="0" t="s">
        <v>3110</v>
      </c>
      <c r="N2087" s="0" t="n">
        <v>40</v>
      </c>
      <c r="O2087" s="60" t="n">
        <v>40</v>
      </c>
    </row>
    <row r="2088" customFormat="false" ht="15" hidden="false" customHeight="false" outlineLevel="0" collapsed="false">
      <c r="A2088" s="0" t="n">
        <v>3</v>
      </c>
      <c r="B2088" s="59" t="n">
        <v>46232</v>
      </c>
      <c r="C2088" s="0" t="n">
        <v>11</v>
      </c>
      <c r="D2088" s="0" t="s">
        <v>2126</v>
      </c>
      <c r="E2088" s="0" t="n">
        <v>1695</v>
      </c>
      <c r="F2088" s="0" t="s">
        <v>271</v>
      </c>
      <c r="I2088" s="0" t="n">
        <v>19509</v>
      </c>
      <c r="J2088" s="0" t="n">
        <v>53207</v>
      </c>
      <c r="K2088" s="0" t="n">
        <v>78944480</v>
      </c>
      <c r="L2088" s="0" t="s">
        <v>2217</v>
      </c>
      <c r="N2088" s="0" t="n">
        <v>50</v>
      </c>
      <c r="O2088" s="60" t="n">
        <v>546.85</v>
      </c>
    </row>
    <row r="2089" customFormat="false" ht="15" hidden="false" customHeight="false" outlineLevel="0" collapsed="false">
      <c r="A2089" s="0" t="n">
        <v>3</v>
      </c>
      <c r="B2089" s="59" t="n">
        <v>46232</v>
      </c>
      <c r="C2089" s="0" t="n">
        <v>11</v>
      </c>
      <c r="D2089" s="0" t="s">
        <v>2126</v>
      </c>
      <c r="E2089" s="0" t="n">
        <v>1695</v>
      </c>
      <c r="F2089" s="0" t="s">
        <v>271</v>
      </c>
      <c r="I2089" s="0" t="n">
        <v>19509</v>
      </c>
      <c r="J2089" s="0" t="n">
        <v>62663</v>
      </c>
      <c r="K2089" s="0" t="n">
        <v>7896264671055</v>
      </c>
      <c r="L2089" s="0" t="s">
        <v>3111</v>
      </c>
      <c r="N2089" s="0" t="n">
        <v>24</v>
      </c>
      <c r="O2089" s="60" t="n">
        <v>110.16</v>
      </c>
    </row>
    <row r="2090" customFormat="false" ht="15" hidden="false" customHeight="false" outlineLevel="0" collapsed="false">
      <c r="A2090" s="0" t="n">
        <v>3</v>
      </c>
      <c r="B2090" s="59" t="n">
        <v>46232</v>
      </c>
      <c r="C2090" s="0" t="n">
        <v>11</v>
      </c>
      <c r="D2090" s="0" t="s">
        <v>2126</v>
      </c>
      <c r="E2090" s="0" t="n">
        <v>1628</v>
      </c>
      <c r="F2090" s="0" t="s">
        <v>812</v>
      </c>
      <c r="I2090" s="0" t="n">
        <v>90670</v>
      </c>
      <c r="J2090" s="0" t="n">
        <v>11153</v>
      </c>
      <c r="K2090" s="0" t="n">
        <v>7897412400152</v>
      </c>
      <c r="L2090" s="0" t="s">
        <v>3112</v>
      </c>
      <c r="N2090" s="0" t="n">
        <v>48</v>
      </c>
      <c r="O2090" s="60" t="n">
        <v>53.24</v>
      </c>
    </row>
    <row r="2091" customFormat="false" ht="15" hidden="false" customHeight="false" outlineLevel="0" collapsed="false">
      <c r="A2091" s="0" t="n">
        <v>3</v>
      </c>
      <c r="B2091" s="59" t="n">
        <v>46232</v>
      </c>
      <c r="C2091" s="0" t="n">
        <v>11</v>
      </c>
      <c r="D2091" s="0" t="s">
        <v>2126</v>
      </c>
      <c r="E2091" s="0" t="n">
        <v>1628</v>
      </c>
      <c r="F2091" s="0" t="s">
        <v>812</v>
      </c>
      <c r="I2091" s="0" t="n">
        <v>90670</v>
      </c>
      <c r="J2091" s="0" t="n">
        <v>11165</v>
      </c>
      <c r="K2091" s="0" t="n">
        <v>7897412400176</v>
      </c>
      <c r="L2091" s="0" t="s">
        <v>3113</v>
      </c>
      <c r="N2091" s="0" t="n">
        <v>48</v>
      </c>
      <c r="O2091" s="60" t="n">
        <v>53.24</v>
      </c>
    </row>
    <row r="2092" customFormat="false" ht="15" hidden="false" customHeight="false" outlineLevel="0" collapsed="false">
      <c r="A2092" s="0" t="n">
        <v>3</v>
      </c>
      <c r="B2092" s="59" t="n">
        <v>46232</v>
      </c>
      <c r="C2092" s="0" t="n">
        <v>11</v>
      </c>
      <c r="D2092" s="0" t="s">
        <v>2126</v>
      </c>
      <c r="E2092" s="0" t="n">
        <v>1628</v>
      </c>
      <c r="F2092" s="0" t="s">
        <v>812</v>
      </c>
      <c r="I2092" s="0" t="n">
        <v>90670</v>
      </c>
      <c r="J2092" s="0" t="n">
        <v>11285</v>
      </c>
      <c r="K2092" s="0" t="n">
        <v>7897412400169</v>
      </c>
      <c r="L2092" s="0" t="s">
        <v>3114</v>
      </c>
      <c r="N2092" s="0" t="n">
        <v>48</v>
      </c>
      <c r="O2092" s="60" t="n">
        <v>53.24</v>
      </c>
    </row>
    <row r="2093" customFormat="false" ht="15" hidden="false" customHeight="false" outlineLevel="0" collapsed="false">
      <c r="A2093" s="0" t="n">
        <v>3</v>
      </c>
      <c r="B2093" s="59" t="n">
        <v>46232</v>
      </c>
      <c r="C2093" s="0" t="n">
        <v>11</v>
      </c>
      <c r="D2093" s="0" t="s">
        <v>2126</v>
      </c>
      <c r="E2093" s="0" t="n">
        <v>1628</v>
      </c>
      <c r="F2093" s="0" t="s">
        <v>812</v>
      </c>
      <c r="I2093" s="0" t="n">
        <v>90670</v>
      </c>
      <c r="J2093" s="0" t="n">
        <v>35028</v>
      </c>
      <c r="K2093" s="0" t="n">
        <v>78939837</v>
      </c>
      <c r="L2093" s="0" t="s">
        <v>3115</v>
      </c>
      <c r="N2093" s="0" t="n">
        <v>10</v>
      </c>
      <c r="O2093" s="60" t="n">
        <v>145.43</v>
      </c>
    </row>
    <row r="2094" customFormat="false" ht="15" hidden="false" customHeight="false" outlineLevel="0" collapsed="false">
      <c r="A2094" s="0" t="n">
        <v>3</v>
      </c>
      <c r="B2094" s="59" t="n">
        <v>46232</v>
      </c>
      <c r="C2094" s="0" t="n">
        <v>11</v>
      </c>
      <c r="D2094" s="0" t="s">
        <v>2126</v>
      </c>
      <c r="E2094" s="0" t="n">
        <v>1628</v>
      </c>
      <c r="F2094" s="0" t="s">
        <v>812</v>
      </c>
      <c r="I2094" s="0" t="n">
        <v>90670</v>
      </c>
      <c r="J2094" s="0" t="n">
        <v>79430</v>
      </c>
      <c r="K2094" s="0" t="n">
        <v>7897412400558</v>
      </c>
      <c r="L2094" s="0" t="s">
        <v>3116</v>
      </c>
      <c r="N2094" s="0" t="n">
        <v>48</v>
      </c>
      <c r="O2094" s="60" t="n">
        <v>53.24</v>
      </c>
    </row>
    <row r="2095" customFormat="false" ht="15" hidden="false" customHeight="false" outlineLevel="0" collapsed="false">
      <c r="A2095" s="0" t="n">
        <v>3</v>
      </c>
      <c r="B2095" s="59" t="n">
        <v>46232</v>
      </c>
      <c r="C2095" s="0" t="n">
        <v>11</v>
      </c>
      <c r="D2095" s="0" t="s">
        <v>2126</v>
      </c>
      <c r="E2095" s="0" t="n">
        <v>1628</v>
      </c>
      <c r="F2095" s="0" t="s">
        <v>812</v>
      </c>
      <c r="I2095" s="0" t="n">
        <v>90670</v>
      </c>
      <c r="J2095" s="0" t="n">
        <v>80674</v>
      </c>
      <c r="K2095" s="0" t="n">
        <v>819244</v>
      </c>
      <c r="L2095" s="0" t="s">
        <v>3117</v>
      </c>
      <c r="N2095" s="0" t="n">
        <v>50</v>
      </c>
      <c r="O2095" s="60" t="n">
        <v>49.9</v>
      </c>
    </row>
    <row r="2096" customFormat="false" ht="15" hidden="false" customHeight="false" outlineLevel="0" collapsed="false">
      <c r="A2096" s="0" t="n">
        <v>3</v>
      </c>
      <c r="B2096" s="59" t="n">
        <v>46232</v>
      </c>
      <c r="C2096" s="0" t="n">
        <v>11</v>
      </c>
      <c r="D2096" s="0" t="s">
        <v>2126</v>
      </c>
      <c r="E2096" s="0" t="n">
        <v>1740</v>
      </c>
      <c r="F2096" s="0" t="s">
        <v>171</v>
      </c>
      <c r="I2096" s="0" t="n">
        <v>1252244</v>
      </c>
      <c r="J2096" s="0" t="n">
        <v>100036</v>
      </c>
      <c r="K2096" s="0" t="n">
        <v>37</v>
      </c>
      <c r="L2096" s="0" t="s">
        <v>2170</v>
      </c>
      <c r="N2096" s="0" t="n">
        <v>73</v>
      </c>
      <c r="O2096" s="60" t="n">
        <v>1458.54</v>
      </c>
    </row>
    <row r="2097" customFormat="false" ht="15" hidden="false" customHeight="false" outlineLevel="0" collapsed="false">
      <c r="A2097" s="0" t="n">
        <v>3</v>
      </c>
      <c r="B2097" s="59" t="n">
        <v>46232</v>
      </c>
      <c r="C2097" s="0" t="n">
        <v>11</v>
      </c>
      <c r="D2097" s="0" t="s">
        <v>2126</v>
      </c>
      <c r="E2097" s="0" t="n">
        <v>1740</v>
      </c>
      <c r="F2097" s="0" t="s">
        <v>171</v>
      </c>
      <c r="I2097" s="0" t="n">
        <v>1252244</v>
      </c>
      <c r="J2097" s="0" t="n">
        <v>15459</v>
      </c>
      <c r="K2097" s="0" t="n">
        <v>7891164018214</v>
      </c>
      <c r="L2097" s="0" t="s">
        <v>2691</v>
      </c>
      <c r="N2097" s="0" t="n">
        <v>12</v>
      </c>
      <c r="O2097" s="60" t="n">
        <v>227.76</v>
      </c>
    </row>
    <row r="2098" customFormat="false" ht="15" hidden="false" customHeight="false" outlineLevel="0" collapsed="false">
      <c r="A2098" s="0" t="n">
        <v>3</v>
      </c>
      <c r="B2098" s="59" t="n">
        <v>46232</v>
      </c>
      <c r="C2098" s="0" t="n">
        <v>11</v>
      </c>
      <c r="D2098" s="0" t="s">
        <v>2126</v>
      </c>
      <c r="E2098" s="0" t="n">
        <v>1740</v>
      </c>
      <c r="F2098" s="0" t="s">
        <v>171</v>
      </c>
      <c r="I2098" s="0" t="n">
        <v>1252244</v>
      </c>
      <c r="J2098" s="0" t="n">
        <v>110530</v>
      </c>
      <c r="K2098" s="0" t="n">
        <v>57638</v>
      </c>
      <c r="L2098" s="0" t="s">
        <v>2576</v>
      </c>
      <c r="N2098" s="0" t="n">
        <v>10</v>
      </c>
      <c r="O2098" s="60" t="n">
        <v>229.8</v>
      </c>
    </row>
    <row r="2099" customFormat="false" ht="15" hidden="false" customHeight="false" outlineLevel="0" collapsed="false">
      <c r="A2099" s="0" t="n">
        <v>3</v>
      </c>
      <c r="B2099" s="59" t="n">
        <v>46232</v>
      </c>
      <c r="C2099" s="0" t="n">
        <v>11</v>
      </c>
      <c r="D2099" s="0" t="s">
        <v>2126</v>
      </c>
      <c r="E2099" s="0" t="n">
        <v>1740</v>
      </c>
      <c r="F2099" s="0" t="s">
        <v>171</v>
      </c>
      <c r="I2099" s="0" t="n">
        <v>1252244</v>
      </c>
      <c r="J2099" s="0" t="n">
        <v>63508</v>
      </c>
      <c r="K2099" s="0" t="n">
        <v>7891164110697</v>
      </c>
      <c r="L2099" s="0" t="s">
        <v>3118</v>
      </c>
      <c r="N2099" s="0" t="n">
        <v>16</v>
      </c>
      <c r="O2099" s="60" t="n">
        <v>113.25</v>
      </c>
    </row>
    <row r="2100" customFormat="false" ht="15" hidden="false" customHeight="false" outlineLevel="0" collapsed="false">
      <c r="A2100" s="0" t="n">
        <v>3</v>
      </c>
      <c r="B2100" s="59" t="n">
        <v>46232</v>
      </c>
      <c r="C2100" s="0" t="n">
        <v>11</v>
      </c>
      <c r="D2100" s="0" t="s">
        <v>2126</v>
      </c>
      <c r="E2100" s="0" t="n">
        <v>1740</v>
      </c>
      <c r="F2100" s="0" t="s">
        <v>171</v>
      </c>
      <c r="I2100" s="0" t="n">
        <v>1252896</v>
      </c>
      <c r="J2100" s="0" t="n">
        <v>106130</v>
      </c>
      <c r="K2100" s="0" t="n">
        <v>7891000340004</v>
      </c>
      <c r="L2100" s="0" t="s">
        <v>2158</v>
      </c>
      <c r="N2100" s="0" t="n">
        <v>5</v>
      </c>
      <c r="O2100" s="60" t="n">
        <v>18.9</v>
      </c>
    </row>
    <row r="2101" customFormat="false" ht="15" hidden="false" customHeight="false" outlineLevel="0" collapsed="false">
      <c r="A2101" s="0" t="n">
        <v>3</v>
      </c>
      <c r="B2101" s="59" t="n">
        <v>46232</v>
      </c>
      <c r="C2101" s="0" t="n">
        <v>11</v>
      </c>
      <c r="D2101" s="0" t="s">
        <v>2126</v>
      </c>
      <c r="E2101" s="0" t="n">
        <v>1740</v>
      </c>
      <c r="F2101" s="0" t="s">
        <v>171</v>
      </c>
      <c r="I2101" s="0" t="n">
        <v>1252896</v>
      </c>
      <c r="J2101" s="0" t="n">
        <v>14219</v>
      </c>
      <c r="K2101" s="0" t="n">
        <v>7891000072950</v>
      </c>
      <c r="L2101" s="0" t="s">
        <v>2183</v>
      </c>
      <c r="N2101" s="0" t="n">
        <v>3</v>
      </c>
      <c r="O2101" s="60" t="n">
        <v>13.62</v>
      </c>
    </row>
    <row r="2102" customFormat="false" ht="15" hidden="false" customHeight="false" outlineLevel="0" collapsed="false">
      <c r="A2102" s="0" t="n">
        <v>3</v>
      </c>
      <c r="B2102" s="59" t="n">
        <v>46232</v>
      </c>
      <c r="C2102" s="0" t="n">
        <v>11</v>
      </c>
      <c r="D2102" s="0" t="s">
        <v>2126</v>
      </c>
      <c r="E2102" s="0" t="n">
        <v>1740</v>
      </c>
      <c r="F2102" s="0" t="s">
        <v>171</v>
      </c>
      <c r="I2102" s="0" t="n">
        <v>1252896</v>
      </c>
      <c r="J2102" s="0" t="n">
        <v>16602</v>
      </c>
      <c r="K2102" s="0" t="n">
        <v>7891000084649</v>
      </c>
      <c r="L2102" s="0" t="s">
        <v>2159</v>
      </c>
      <c r="N2102" s="0" t="n">
        <v>5</v>
      </c>
      <c r="O2102" s="60" t="n">
        <v>54.95</v>
      </c>
    </row>
    <row r="2103" customFormat="false" ht="15" hidden="false" customHeight="false" outlineLevel="0" collapsed="false">
      <c r="A2103" s="0" t="n">
        <v>3</v>
      </c>
      <c r="B2103" s="59" t="n">
        <v>46232</v>
      </c>
      <c r="C2103" s="0" t="n">
        <v>11</v>
      </c>
      <c r="D2103" s="0" t="s">
        <v>2126</v>
      </c>
      <c r="E2103" s="0" t="n">
        <v>1740</v>
      </c>
      <c r="F2103" s="0" t="s">
        <v>171</v>
      </c>
      <c r="I2103" s="0" t="n">
        <v>1252896</v>
      </c>
      <c r="J2103" s="0" t="n">
        <v>16644</v>
      </c>
      <c r="K2103" s="0" t="n">
        <v>7891000084663</v>
      </c>
      <c r="L2103" s="0" t="s">
        <v>2160</v>
      </c>
      <c r="N2103" s="0" t="n">
        <v>5</v>
      </c>
      <c r="O2103" s="60" t="n">
        <v>54.95</v>
      </c>
    </row>
    <row r="2104" customFormat="false" ht="15" hidden="false" customHeight="false" outlineLevel="0" collapsed="false">
      <c r="A2104" s="0" t="n">
        <v>3</v>
      </c>
      <c r="B2104" s="59" t="n">
        <v>46232</v>
      </c>
      <c r="C2104" s="0" t="n">
        <v>11</v>
      </c>
      <c r="D2104" s="0" t="s">
        <v>2126</v>
      </c>
      <c r="E2104" s="0" t="n">
        <v>1740</v>
      </c>
      <c r="F2104" s="0" t="s">
        <v>171</v>
      </c>
      <c r="I2104" s="0" t="n">
        <v>1252896</v>
      </c>
      <c r="J2104" s="0" t="n">
        <v>20584</v>
      </c>
      <c r="K2104" s="0" t="n">
        <v>7891000103876</v>
      </c>
      <c r="L2104" s="0" t="s">
        <v>2684</v>
      </c>
      <c r="N2104" s="0" t="n">
        <v>4</v>
      </c>
      <c r="O2104" s="60" t="n">
        <v>13.68</v>
      </c>
    </row>
    <row r="2105" customFormat="false" ht="15" hidden="false" customHeight="false" outlineLevel="0" collapsed="false">
      <c r="A2105" s="0" t="n">
        <v>3</v>
      </c>
      <c r="B2105" s="59" t="n">
        <v>46232</v>
      </c>
      <c r="C2105" s="0" t="n">
        <v>11</v>
      </c>
      <c r="D2105" s="0" t="s">
        <v>2126</v>
      </c>
      <c r="E2105" s="0" t="n">
        <v>1740</v>
      </c>
      <c r="F2105" s="0" t="s">
        <v>171</v>
      </c>
      <c r="I2105" s="0" t="n">
        <v>1252896</v>
      </c>
      <c r="J2105" s="0" t="n">
        <v>25112</v>
      </c>
      <c r="K2105" s="0" t="n">
        <v>7891000244425</v>
      </c>
      <c r="L2105" s="0" t="s">
        <v>2685</v>
      </c>
      <c r="N2105" s="0" t="n">
        <v>2</v>
      </c>
      <c r="O2105" s="60" t="n">
        <v>24.58</v>
      </c>
    </row>
    <row r="2106" customFormat="false" ht="15" hidden="false" customHeight="false" outlineLevel="0" collapsed="false">
      <c r="A2106" s="0" t="n">
        <v>3</v>
      </c>
      <c r="B2106" s="59" t="n">
        <v>46232</v>
      </c>
      <c r="C2106" s="0" t="n">
        <v>11</v>
      </c>
      <c r="D2106" s="0" t="s">
        <v>2126</v>
      </c>
      <c r="E2106" s="0" t="n">
        <v>1740</v>
      </c>
      <c r="F2106" s="0" t="s">
        <v>171</v>
      </c>
      <c r="I2106" s="0" t="n">
        <v>1252896</v>
      </c>
      <c r="J2106" s="0" t="n">
        <v>25113</v>
      </c>
      <c r="K2106" s="0" t="n">
        <v>7891000244265</v>
      </c>
      <c r="L2106" s="0" t="s">
        <v>3119</v>
      </c>
      <c r="N2106" s="0" t="n">
        <v>4</v>
      </c>
      <c r="O2106" s="60" t="n">
        <v>11.64</v>
      </c>
    </row>
    <row r="2107" customFormat="false" ht="15" hidden="false" customHeight="false" outlineLevel="0" collapsed="false">
      <c r="A2107" s="0" t="n">
        <v>3</v>
      </c>
      <c r="B2107" s="59" t="n">
        <v>46232</v>
      </c>
      <c r="C2107" s="0" t="n">
        <v>11</v>
      </c>
      <c r="D2107" s="0" t="s">
        <v>2126</v>
      </c>
      <c r="E2107" s="0" t="n">
        <v>1740</v>
      </c>
      <c r="F2107" s="0" t="s">
        <v>171</v>
      </c>
      <c r="I2107" s="0" t="n">
        <v>1252896</v>
      </c>
      <c r="J2107" s="0" t="n">
        <v>25413</v>
      </c>
      <c r="K2107" s="0" t="n">
        <v>7891000241417</v>
      </c>
      <c r="L2107" s="0" t="s">
        <v>2161</v>
      </c>
      <c r="N2107" s="0" t="n">
        <v>2</v>
      </c>
      <c r="O2107" s="60" t="n">
        <v>24.58</v>
      </c>
    </row>
    <row r="2108" customFormat="false" ht="15" hidden="false" customHeight="false" outlineLevel="0" collapsed="false">
      <c r="A2108" s="0" t="n">
        <v>3</v>
      </c>
      <c r="B2108" s="59" t="n">
        <v>46232</v>
      </c>
      <c r="C2108" s="0" t="n">
        <v>11</v>
      </c>
      <c r="D2108" s="0" t="s">
        <v>2126</v>
      </c>
      <c r="E2108" s="0" t="n">
        <v>1740</v>
      </c>
      <c r="F2108" s="0" t="s">
        <v>171</v>
      </c>
      <c r="I2108" s="0" t="n">
        <v>1252896</v>
      </c>
      <c r="J2108" s="0" t="n">
        <v>27878</v>
      </c>
      <c r="K2108" s="0" t="n">
        <v>7891000261026</v>
      </c>
      <c r="L2108" s="0" t="s">
        <v>2162</v>
      </c>
      <c r="N2108" s="0" t="n">
        <v>6</v>
      </c>
      <c r="O2108" s="60" t="n">
        <v>53.1</v>
      </c>
    </row>
    <row r="2109" customFormat="false" ht="15" hidden="false" customHeight="false" outlineLevel="0" collapsed="false">
      <c r="A2109" s="0" t="n">
        <v>3</v>
      </c>
      <c r="B2109" s="59" t="n">
        <v>46232</v>
      </c>
      <c r="C2109" s="0" t="n">
        <v>11</v>
      </c>
      <c r="D2109" s="0" t="s">
        <v>2126</v>
      </c>
      <c r="E2109" s="0" t="n">
        <v>1740</v>
      </c>
      <c r="F2109" s="0" t="s">
        <v>171</v>
      </c>
      <c r="I2109" s="0" t="n">
        <v>1252896</v>
      </c>
      <c r="J2109" s="0" t="n">
        <v>28388</v>
      </c>
      <c r="K2109" s="0" t="n">
        <v>7891000260166</v>
      </c>
      <c r="L2109" s="0" t="s">
        <v>2163</v>
      </c>
      <c r="N2109" s="0" t="n">
        <v>6</v>
      </c>
      <c r="O2109" s="60" t="n">
        <v>28.38</v>
      </c>
    </row>
    <row r="2110" customFormat="false" ht="15" hidden="false" customHeight="false" outlineLevel="0" collapsed="false">
      <c r="A2110" s="0" t="n">
        <v>3</v>
      </c>
      <c r="B2110" s="59" t="n">
        <v>46232</v>
      </c>
      <c r="C2110" s="0" t="n">
        <v>11</v>
      </c>
      <c r="D2110" s="0" t="s">
        <v>2126</v>
      </c>
      <c r="E2110" s="0" t="n">
        <v>1740</v>
      </c>
      <c r="F2110" s="0" t="s">
        <v>171</v>
      </c>
      <c r="I2110" s="0" t="n">
        <v>1252896</v>
      </c>
      <c r="J2110" s="0" t="n">
        <v>38519</v>
      </c>
      <c r="K2110" s="0" t="n">
        <v>7891000261002</v>
      </c>
      <c r="L2110" s="0" t="s">
        <v>2686</v>
      </c>
      <c r="N2110" s="0" t="n">
        <v>1</v>
      </c>
      <c r="O2110" s="60" t="n">
        <v>13.98</v>
      </c>
    </row>
    <row r="2111" customFormat="false" ht="15" hidden="false" customHeight="false" outlineLevel="0" collapsed="false">
      <c r="A2111" s="0" t="n">
        <v>3</v>
      </c>
      <c r="B2111" s="59" t="n">
        <v>46232</v>
      </c>
      <c r="C2111" s="0" t="n">
        <v>11</v>
      </c>
      <c r="D2111" s="0" t="s">
        <v>2126</v>
      </c>
      <c r="E2111" s="0" t="n">
        <v>1740</v>
      </c>
      <c r="F2111" s="0" t="s">
        <v>171</v>
      </c>
      <c r="I2111" s="0" t="n">
        <v>1252896</v>
      </c>
      <c r="J2111" s="0" t="n">
        <v>47788</v>
      </c>
      <c r="K2111" s="0" t="n">
        <v>7891000363256</v>
      </c>
      <c r="L2111" s="0" t="s">
        <v>2184</v>
      </c>
      <c r="N2111" s="0" t="n">
        <v>2</v>
      </c>
      <c r="O2111" s="60" t="n">
        <v>16.38</v>
      </c>
    </row>
    <row r="2112" customFormat="false" ht="15" hidden="false" customHeight="false" outlineLevel="0" collapsed="false">
      <c r="A2112" s="0" t="n">
        <v>3</v>
      </c>
      <c r="B2112" s="59" t="n">
        <v>46232</v>
      </c>
      <c r="C2112" s="0" t="n">
        <v>11</v>
      </c>
      <c r="D2112" s="0" t="s">
        <v>2126</v>
      </c>
      <c r="E2112" s="0" t="n">
        <v>1740</v>
      </c>
      <c r="F2112" s="0" t="s">
        <v>171</v>
      </c>
      <c r="I2112" s="0" t="n">
        <v>1252896</v>
      </c>
      <c r="J2112" s="0" t="n">
        <v>50422</v>
      </c>
      <c r="K2112" s="0" t="n">
        <v>7898953148220</v>
      </c>
      <c r="L2112" s="0" t="s">
        <v>3120</v>
      </c>
      <c r="N2112" s="0" t="n">
        <v>6</v>
      </c>
      <c r="O2112" s="60" t="n">
        <v>77.88</v>
      </c>
    </row>
    <row r="2113" customFormat="false" ht="15" hidden="false" customHeight="false" outlineLevel="0" collapsed="false">
      <c r="A2113" s="0" t="n">
        <v>3</v>
      </c>
      <c r="B2113" s="59" t="n">
        <v>46232</v>
      </c>
      <c r="C2113" s="0" t="n">
        <v>11</v>
      </c>
      <c r="D2113" s="0" t="s">
        <v>2126</v>
      </c>
      <c r="E2113" s="0" t="n">
        <v>1740</v>
      </c>
      <c r="F2113" s="0" t="s">
        <v>171</v>
      </c>
      <c r="I2113" s="0" t="n">
        <v>1252896</v>
      </c>
      <c r="J2113" s="0" t="n">
        <v>50424</v>
      </c>
      <c r="K2113" s="0" t="n">
        <v>7898953148169</v>
      </c>
      <c r="L2113" s="0" t="s">
        <v>2166</v>
      </c>
      <c r="N2113" s="0" t="n">
        <v>6</v>
      </c>
      <c r="O2113" s="60" t="n">
        <v>59.88</v>
      </c>
    </row>
    <row r="2114" customFormat="false" ht="15" hidden="false" customHeight="false" outlineLevel="0" collapsed="false">
      <c r="A2114" s="0" t="n">
        <v>3</v>
      </c>
      <c r="B2114" s="59" t="n">
        <v>46232</v>
      </c>
      <c r="C2114" s="0" t="n">
        <v>11</v>
      </c>
      <c r="D2114" s="0" t="s">
        <v>2126</v>
      </c>
      <c r="E2114" s="0" t="n">
        <v>1740</v>
      </c>
      <c r="F2114" s="0" t="s">
        <v>171</v>
      </c>
      <c r="I2114" s="0" t="n">
        <v>1252896</v>
      </c>
      <c r="J2114" s="0" t="n">
        <v>52026</v>
      </c>
      <c r="K2114" s="0" t="n">
        <v>7898953148435</v>
      </c>
      <c r="L2114" s="0" t="s">
        <v>2167</v>
      </c>
      <c r="N2114" s="0" t="n">
        <v>6</v>
      </c>
      <c r="O2114" s="60" t="n">
        <v>66.06</v>
      </c>
    </row>
    <row r="2115" customFormat="false" ht="15" hidden="false" customHeight="false" outlineLevel="0" collapsed="false">
      <c r="A2115" s="0" t="n">
        <v>3</v>
      </c>
      <c r="B2115" s="59" t="n">
        <v>46232</v>
      </c>
      <c r="C2115" s="0" t="n">
        <v>11</v>
      </c>
      <c r="D2115" s="0" t="s">
        <v>2126</v>
      </c>
      <c r="E2115" s="0" t="n">
        <v>1740</v>
      </c>
      <c r="F2115" s="0" t="s">
        <v>171</v>
      </c>
      <c r="I2115" s="0" t="n">
        <v>1252896</v>
      </c>
      <c r="J2115" s="0" t="n">
        <v>69214</v>
      </c>
      <c r="K2115" s="0" t="n">
        <v>7898755200041</v>
      </c>
      <c r="L2115" s="0" t="s">
        <v>2688</v>
      </c>
      <c r="N2115" s="0" t="n">
        <v>4</v>
      </c>
      <c r="O2115" s="60" t="n">
        <v>13.76</v>
      </c>
    </row>
    <row r="2116" customFormat="false" ht="15" hidden="false" customHeight="false" outlineLevel="0" collapsed="false">
      <c r="A2116" s="0" t="n">
        <v>3</v>
      </c>
      <c r="B2116" s="59" t="n">
        <v>46232</v>
      </c>
      <c r="C2116" s="0" t="n">
        <v>171</v>
      </c>
      <c r="D2116" s="0" t="s">
        <v>2182</v>
      </c>
      <c r="E2116" s="0" t="n">
        <v>1740</v>
      </c>
      <c r="F2116" s="0" t="s">
        <v>171</v>
      </c>
      <c r="I2116" s="0" t="n">
        <v>1252895</v>
      </c>
      <c r="J2116" s="0" t="n">
        <v>38519</v>
      </c>
      <c r="K2116" s="0" t="n">
        <v>7891000261002</v>
      </c>
      <c r="L2116" s="0" t="s">
        <v>2686</v>
      </c>
      <c r="N2116" s="0" t="n">
        <v>1</v>
      </c>
      <c r="O2116" s="60" t="n">
        <v>13.98</v>
      </c>
    </row>
    <row r="2117" customFormat="false" ht="15" hidden="false" customHeight="false" outlineLevel="0" collapsed="false">
      <c r="A2117" s="0" t="n">
        <v>3</v>
      </c>
      <c r="B2117" s="59" t="n">
        <v>46232</v>
      </c>
      <c r="C2117" s="0" t="n">
        <v>171</v>
      </c>
      <c r="D2117" s="0" t="s">
        <v>2182</v>
      </c>
      <c r="E2117" s="0" t="n">
        <v>1740</v>
      </c>
      <c r="F2117" s="0" t="s">
        <v>171</v>
      </c>
      <c r="I2117" s="0" t="n">
        <v>1252895</v>
      </c>
      <c r="J2117" s="0" t="n">
        <v>50424</v>
      </c>
      <c r="K2117" s="0" t="n">
        <v>7898953148169</v>
      </c>
      <c r="L2117" s="0" t="s">
        <v>2166</v>
      </c>
      <c r="N2117" s="0" t="n">
        <v>1</v>
      </c>
      <c r="O2117" s="60" t="n">
        <v>9.98</v>
      </c>
    </row>
    <row r="2118" customFormat="false" ht="15" hidden="false" customHeight="false" outlineLevel="0" collapsed="false">
      <c r="A2118" s="0" t="n">
        <v>3</v>
      </c>
      <c r="B2118" s="59" t="n">
        <v>46232</v>
      </c>
      <c r="C2118" s="0" t="n">
        <v>171</v>
      </c>
      <c r="D2118" s="0" t="s">
        <v>2182</v>
      </c>
      <c r="E2118" s="0" t="n">
        <v>1740</v>
      </c>
      <c r="F2118" s="0" t="s">
        <v>171</v>
      </c>
      <c r="I2118" s="0" t="n">
        <v>1252895</v>
      </c>
      <c r="J2118" s="0" t="n">
        <v>79560</v>
      </c>
      <c r="K2118" s="0" t="n">
        <v>7898755200461</v>
      </c>
      <c r="L2118" s="0" t="s">
        <v>2185</v>
      </c>
      <c r="N2118" s="0" t="n">
        <v>1</v>
      </c>
      <c r="O2118" s="60" t="n">
        <v>14.5</v>
      </c>
    </row>
    <row r="2119" customFormat="false" ht="15" hidden="false" customHeight="false" outlineLevel="0" collapsed="false">
      <c r="A2119" s="0" t="n">
        <v>3</v>
      </c>
      <c r="B2119" s="59" t="n">
        <v>46233</v>
      </c>
      <c r="C2119" s="0" t="n">
        <v>6</v>
      </c>
      <c r="D2119" s="0" t="s">
        <v>2125</v>
      </c>
      <c r="E2119" s="0" t="n">
        <v>42</v>
      </c>
      <c r="F2119" s="0" t="s">
        <v>81</v>
      </c>
      <c r="I2119" s="0" t="n">
        <v>4438</v>
      </c>
      <c r="J2119" s="0" t="n">
        <v>72679</v>
      </c>
      <c r="K2119" s="0" t="n">
        <v>246</v>
      </c>
      <c r="L2119" s="0" t="s">
        <v>2195</v>
      </c>
      <c r="N2119" s="0" t="n">
        <v>20</v>
      </c>
      <c r="O2119" s="60" t="n">
        <v>280</v>
      </c>
    </row>
    <row r="2120" customFormat="false" ht="15" hidden="false" customHeight="false" outlineLevel="0" collapsed="false">
      <c r="A2120" s="0" t="n">
        <v>3</v>
      </c>
      <c r="B2120" s="59" t="n">
        <v>46233</v>
      </c>
      <c r="C2120" s="0" t="n">
        <v>6</v>
      </c>
      <c r="D2120" s="0" t="s">
        <v>2125</v>
      </c>
      <c r="E2120" s="0" t="n">
        <v>42</v>
      </c>
      <c r="F2120" s="0" t="s">
        <v>81</v>
      </c>
      <c r="I2120" s="0" t="n">
        <v>4439</v>
      </c>
      <c r="J2120" s="0" t="n">
        <v>109791</v>
      </c>
      <c r="K2120" s="0" t="n">
        <v>9667</v>
      </c>
      <c r="L2120" s="0" t="s">
        <v>2123</v>
      </c>
      <c r="N2120" s="0" t="n">
        <v>8</v>
      </c>
      <c r="O2120" s="60" t="n">
        <v>20</v>
      </c>
    </row>
    <row r="2121" customFormat="false" ht="15" hidden="false" customHeight="false" outlineLevel="0" collapsed="false">
      <c r="A2121" s="0" t="n">
        <v>3</v>
      </c>
      <c r="B2121" s="59" t="n">
        <v>46233</v>
      </c>
      <c r="C2121" s="0" t="n">
        <v>6</v>
      </c>
      <c r="D2121" s="0" t="s">
        <v>2125</v>
      </c>
      <c r="E2121" s="0" t="n">
        <v>42</v>
      </c>
      <c r="F2121" s="0" t="s">
        <v>81</v>
      </c>
      <c r="I2121" s="0" t="n">
        <v>4439</v>
      </c>
      <c r="J2121" s="0" t="n">
        <v>37359</v>
      </c>
      <c r="K2121" s="0" t="n">
        <v>55526</v>
      </c>
      <c r="L2121" s="0" t="s">
        <v>2194</v>
      </c>
      <c r="N2121" s="0" t="n">
        <v>5</v>
      </c>
      <c r="O2121" s="60" t="n">
        <v>25</v>
      </c>
    </row>
    <row r="2122" customFormat="false" ht="15" hidden="false" customHeight="false" outlineLevel="0" collapsed="false">
      <c r="A2122" s="0" t="n">
        <v>3</v>
      </c>
      <c r="B2122" s="59" t="n">
        <v>46233</v>
      </c>
      <c r="C2122" s="0" t="n">
        <v>6</v>
      </c>
      <c r="D2122" s="0" t="s">
        <v>2125</v>
      </c>
      <c r="E2122" s="0" t="n">
        <v>42</v>
      </c>
      <c r="F2122" s="0" t="s">
        <v>81</v>
      </c>
      <c r="I2122" s="0" t="n">
        <v>4439</v>
      </c>
      <c r="J2122" s="0" t="n">
        <v>37361</v>
      </c>
      <c r="K2122" s="0" t="n">
        <v>2240817</v>
      </c>
      <c r="L2122" s="0" t="s">
        <v>2124</v>
      </c>
      <c r="N2122" s="0" t="n">
        <v>50</v>
      </c>
      <c r="O2122" s="60" t="n">
        <v>100</v>
      </c>
    </row>
    <row r="2123" customFormat="false" ht="15" hidden="false" customHeight="false" outlineLevel="0" collapsed="false">
      <c r="A2123" s="0" t="n">
        <v>3</v>
      </c>
      <c r="B2123" s="59" t="n">
        <v>46233</v>
      </c>
      <c r="C2123" s="0" t="n">
        <v>6</v>
      </c>
      <c r="D2123" s="0" t="s">
        <v>2125</v>
      </c>
      <c r="E2123" s="0" t="n">
        <v>42</v>
      </c>
      <c r="F2123" s="0" t="s">
        <v>81</v>
      </c>
      <c r="I2123" s="0" t="n">
        <v>4440</v>
      </c>
      <c r="J2123" s="0" t="n">
        <v>100103</v>
      </c>
      <c r="K2123" s="0" t="n">
        <v>104</v>
      </c>
      <c r="L2123" s="0" t="s">
        <v>2193</v>
      </c>
      <c r="N2123" s="0" t="n">
        <v>40</v>
      </c>
      <c r="O2123" s="60" t="n">
        <v>250</v>
      </c>
    </row>
    <row r="2124" customFormat="false" ht="15" hidden="false" customHeight="false" outlineLevel="0" collapsed="false">
      <c r="A2124" s="0" t="n">
        <v>3</v>
      </c>
      <c r="B2124" s="59" t="n">
        <v>46233</v>
      </c>
      <c r="C2124" s="0" t="n">
        <v>11</v>
      </c>
      <c r="D2124" s="0" t="s">
        <v>2126</v>
      </c>
      <c r="E2124" s="0" t="n">
        <v>10018</v>
      </c>
      <c r="F2124" s="0" t="s">
        <v>656</v>
      </c>
      <c r="I2124" s="0" t="n">
        <v>348</v>
      </c>
      <c r="J2124" s="0" t="n">
        <v>100827</v>
      </c>
      <c r="K2124" s="0" t="n">
        <v>7897312400078</v>
      </c>
      <c r="L2124" s="0" t="s">
        <v>3121</v>
      </c>
      <c r="N2124" s="0" t="n">
        <v>60</v>
      </c>
      <c r="O2124" s="60" t="n">
        <v>120</v>
      </c>
    </row>
    <row r="2125" customFormat="false" ht="15" hidden="false" customHeight="false" outlineLevel="0" collapsed="false">
      <c r="A2125" s="0" t="n">
        <v>3</v>
      </c>
      <c r="B2125" s="59" t="n">
        <v>46233</v>
      </c>
      <c r="C2125" s="0" t="n">
        <v>11</v>
      </c>
      <c r="D2125" s="0" t="s">
        <v>2126</v>
      </c>
      <c r="E2125" s="0" t="n">
        <v>10018</v>
      </c>
      <c r="F2125" s="0" t="s">
        <v>656</v>
      </c>
      <c r="I2125" s="0" t="n">
        <v>348</v>
      </c>
      <c r="J2125" s="0" t="n">
        <v>101974</v>
      </c>
      <c r="K2125" s="0" t="n">
        <v>7897272900120</v>
      </c>
      <c r="L2125" s="0" t="s">
        <v>3122</v>
      </c>
      <c r="N2125" s="0" t="n">
        <v>20</v>
      </c>
      <c r="O2125" s="60" t="n">
        <v>49.99</v>
      </c>
    </row>
    <row r="2126" customFormat="false" ht="15" hidden="false" customHeight="false" outlineLevel="0" collapsed="false">
      <c r="A2126" s="0" t="n">
        <v>3</v>
      </c>
      <c r="B2126" s="59" t="n">
        <v>46233</v>
      </c>
      <c r="C2126" s="0" t="n">
        <v>11</v>
      </c>
      <c r="D2126" s="0" t="s">
        <v>2126</v>
      </c>
      <c r="E2126" s="0" t="n">
        <v>10018</v>
      </c>
      <c r="F2126" s="0" t="s">
        <v>656</v>
      </c>
      <c r="I2126" s="0" t="n">
        <v>348</v>
      </c>
      <c r="J2126" s="0" t="n">
        <v>101975</v>
      </c>
      <c r="K2126" s="0" t="n">
        <v>7897272900113</v>
      </c>
      <c r="L2126" s="0" t="s">
        <v>3123</v>
      </c>
      <c r="N2126" s="0" t="n">
        <v>20</v>
      </c>
      <c r="O2126" s="60" t="n">
        <v>97.8</v>
      </c>
    </row>
    <row r="2127" customFormat="false" ht="15" hidden="false" customHeight="false" outlineLevel="0" collapsed="false">
      <c r="A2127" s="0" t="n">
        <v>3</v>
      </c>
      <c r="B2127" s="59" t="n">
        <v>46233</v>
      </c>
      <c r="C2127" s="0" t="n">
        <v>11</v>
      </c>
      <c r="D2127" s="0" t="s">
        <v>2126</v>
      </c>
      <c r="E2127" s="0" t="n">
        <v>10018</v>
      </c>
      <c r="F2127" s="0" t="s">
        <v>656</v>
      </c>
      <c r="I2127" s="0" t="n">
        <v>348</v>
      </c>
      <c r="J2127" s="0" t="n">
        <v>101977</v>
      </c>
      <c r="K2127" s="0" t="n">
        <v>7897272900151</v>
      </c>
      <c r="L2127" s="0" t="s">
        <v>3124</v>
      </c>
      <c r="N2127" s="0" t="n">
        <v>20</v>
      </c>
      <c r="O2127" s="60" t="n">
        <v>49.99</v>
      </c>
    </row>
    <row r="2128" customFormat="false" ht="15" hidden="false" customHeight="false" outlineLevel="0" collapsed="false">
      <c r="A2128" s="0" t="n">
        <v>3</v>
      </c>
      <c r="B2128" s="59" t="n">
        <v>46233</v>
      </c>
      <c r="C2128" s="0" t="n">
        <v>11</v>
      </c>
      <c r="D2128" s="0" t="s">
        <v>2126</v>
      </c>
      <c r="E2128" s="0" t="n">
        <v>10018</v>
      </c>
      <c r="F2128" s="0" t="s">
        <v>656</v>
      </c>
      <c r="I2128" s="0" t="n">
        <v>348</v>
      </c>
      <c r="J2128" s="0" t="n">
        <v>101979</v>
      </c>
      <c r="K2128" s="0" t="n">
        <v>7897272900106</v>
      </c>
      <c r="L2128" s="0" t="s">
        <v>3125</v>
      </c>
      <c r="N2128" s="0" t="n">
        <v>20</v>
      </c>
      <c r="O2128" s="60" t="n">
        <v>97.8</v>
      </c>
    </row>
    <row r="2129" customFormat="false" ht="15" hidden="false" customHeight="false" outlineLevel="0" collapsed="false">
      <c r="A2129" s="0" t="n">
        <v>3</v>
      </c>
      <c r="B2129" s="59" t="n">
        <v>46233</v>
      </c>
      <c r="C2129" s="0" t="n">
        <v>11</v>
      </c>
      <c r="D2129" s="0" t="s">
        <v>2126</v>
      </c>
      <c r="E2129" s="0" t="n">
        <v>10018</v>
      </c>
      <c r="F2129" s="0" t="s">
        <v>656</v>
      </c>
      <c r="I2129" s="0" t="n">
        <v>348</v>
      </c>
      <c r="J2129" s="0" t="n">
        <v>28989</v>
      </c>
      <c r="K2129" s="0" t="n">
        <v>7896003738629</v>
      </c>
      <c r="L2129" s="0" t="s">
        <v>3126</v>
      </c>
      <c r="N2129" s="0" t="n">
        <v>20</v>
      </c>
      <c r="O2129" s="60" t="n">
        <v>92</v>
      </c>
    </row>
    <row r="2130" customFormat="false" ht="15" hidden="false" customHeight="false" outlineLevel="0" collapsed="false">
      <c r="A2130" s="0" t="n">
        <v>3</v>
      </c>
      <c r="B2130" s="59" t="n">
        <v>46233</v>
      </c>
      <c r="C2130" s="0" t="n">
        <v>11</v>
      </c>
      <c r="D2130" s="0" t="s">
        <v>2126</v>
      </c>
      <c r="E2130" s="0" t="n">
        <v>10018</v>
      </c>
      <c r="F2130" s="0" t="s">
        <v>656</v>
      </c>
      <c r="I2130" s="0" t="n">
        <v>348</v>
      </c>
      <c r="J2130" s="0" t="n">
        <v>29368</v>
      </c>
      <c r="K2130" s="0" t="n">
        <v>78932609</v>
      </c>
      <c r="L2130" s="0" t="s">
        <v>3127</v>
      </c>
      <c r="N2130" s="0" t="n">
        <v>200</v>
      </c>
      <c r="O2130" s="60" t="n">
        <v>37.8</v>
      </c>
    </row>
    <row r="2131" customFormat="false" ht="15" hidden="false" customHeight="false" outlineLevel="0" collapsed="false">
      <c r="A2131" s="0" t="n">
        <v>3</v>
      </c>
      <c r="B2131" s="59" t="n">
        <v>46233</v>
      </c>
      <c r="C2131" s="0" t="n">
        <v>11</v>
      </c>
      <c r="D2131" s="0" t="s">
        <v>2126</v>
      </c>
      <c r="E2131" s="0" t="n">
        <v>10018</v>
      </c>
      <c r="F2131" s="0" t="s">
        <v>656</v>
      </c>
      <c r="I2131" s="0" t="n">
        <v>348</v>
      </c>
      <c r="J2131" s="0" t="n">
        <v>36473</v>
      </c>
      <c r="K2131" s="0" t="n">
        <v>7896383073495</v>
      </c>
      <c r="L2131" s="0" t="s">
        <v>3128</v>
      </c>
      <c r="N2131" s="0" t="n">
        <v>100</v>
      </c>
      <c r="O2131" s="60" t="n">
        <v>37</v>
      </c>
    </row>
    <row r="2132" customFormat="false" ht="15" hidden="false" customHeight="false" outlineLevel="0" collapsed="false">
      <c r="A2132" s="0" t="n">
        <v>3</v>
      </c>
      <c r="B2132" s="59" t="n">
        <v>46233</v>
      </c>
      <c r="C2132" s="0" t="n">
        <v>11</v>
      </c>
      <c r="D2132" s="0" t="s">
        <v>2126</v>
      </c>
      <c r="E2132" s="0" t="n">
        <v>10018</v>
      </c>
      <c r="F2132" s="0" t="s">
        <v>656</v>
      </c>
      <c r="I2132" s="0" t="n">
        <v>348</v>
      </c>
      <c r="J2132" s="0" t="n">
        <v>43782</v>
      </c>
      <c r="K2132" s="0" t="n">
        <v>2245492</v>
      </c>
      <c r="L2132" s="0" t="s">
        <v>3129</v>
      </c>
      <c r="N2132" s="0" t="n">
        <v>200</v>
      </c>
      <c r="O2132" s="60" t="n">
        <v>36</v>
      </c>
    </row>
    <row r="2133" customFormat="false" ht="15" hidden="false" customHeight="false" outlineLevel="0" collapsed="false">
      <c r="A2133" s="0" t="n">
        <v>3</v>
      </c>
      <c r="B2133" s="59" t="n">
        <v>46233</v>
      </c>
      <c r="C2133" s="0" t="n">
        <v>11</v>
      </c>
      <c r="D2133" s="0" t="s">
        <v>2126</v>
      </c>
      <c r="E2133" s="0" t="n">
        <v>10018</v>
      </c>
      <c r="F2133" s="0" t="s">
        <v>656</v>
      </c>
      <c r="I2133" s="0" t="n">
        <v>348</v>
      </c>
      <c r="J2133" s="0" t="n">
        <v>71983</v>
      </c>
      <c r="K2133" s="0" t="n">
        <v>793643</v>
      </c>
      <c r="L2133" s="0" t="s">
        <v>3130</v>
      </c>
      <c r="N2133" s="0" t="n">
        <v>7</v>
      </c>
      <c r="O2133" s="60" t="n">
        <v>108.5</v>
      </c>
    </row>
    <row r="2134" customFormat="false" ht="15" hidden="false" customHeight="false" outlineLevel="0" collapsed="false">
      <c r="A2134" s="0" t="n">
        <v>3</v>
      </c>
      <c r="B2134" s="59" t="n">
        <v>46233</v>
      </c>
      <c r="C2134" s="0" t="n">
        <v>11</v>
      </c>
      <c r="D2134" s="0" t="s">
        <v>2126</v>
      </c>
      <c r="E2134" s="0" t="n">
        <v>10018</v>
      </c>
      <c r="F2134" s="0" t="s">
        <v>656</v>
      </c>
      <c r="I2134" s="0" t="n">
        <v>348</v>
      </c>
      <c r="J2134" s="0" t="n">
        <v>81933</v>
      </c>
      <c r="K2134" s="0" t="n">
        <v>7898922012323</v>
      </c>
      <c r="L2134" s="0" t="s">
        <v>3131</v>
      </c>
      <c r="N2134" s="0" t="n">
        <v>30</v>
      </c>
      <c r="O2134" s="60" t="n">
        <v>240</v>
      </c>
    </row>
    <row r="2135" customFormat="false" ht="15" hidden="false" customHeight="false" outlineLevel="0" collapsed="false">
      <c r="A2135" s="0" t="n">
        <v>3</v>
      </c>
      <c r="B2135" s="59" t="n">
        <v>46233</v>
      </c>
      <c r="C2135" s="0" t="n">
        <v>11</v>
      </c>
      <c r="D2135" s="0" t="s">
        <v>2126</v>
      </c>
      <c r="E2135" s="0" t="n">
        <v>1916</v>
      </c>
      <c r="F2135" s="0" t="s">
        <v>353</v>
      </c>
      <c r="I2135" s="0" t="n">
        <v>2604</v>
      </c>
      <c r="J2135" s="0" t="n">
        <v>62034</v>
      </c>
      <c r="K2135" s="0" t="n">
        <v>7898592350367</v>
      </c>
      <c r="L2135" s="0" t="s">
        <v>2252</v>
      </c>
      <c r="N2135" s="0" t="n">
        <v>30</v>
      </c>
      <c r="O2135" s="60" t="n">
        <v>105</v>
      </c>
    </row>
    <row r="2136" customFormat="false" ht="15" hidden="false" customHeight="false" outlineLevel="0" collapsed="false">
      <c r="A2136" s="0" t="n">
        <v>3</v>
      </c>
      <c r="B2136" s="59" t="n">
        <v>46233</v>
      </c>
      <c r="C2136" s="0" t="n">
        <v>11</v>
      </c>
      <c r="D2136" s="0" t="s">
        <v>2126</v>
      </c>
      <c r="E2136" s="0" t="n">
        <v>1749</v>
      </c>
      <c r="F2136" s="0" t="s">
        <v>268</v>
      </c>
      <c r="I2136" s="0" t="n">
        <v>2956</v>
      </c>
      <c r="J2136" s="0" t="n">
        <v>100814</v>
      </c>
      <c r="K2136" s="0" t="n">
        <v>7897312400054</v>
      </c>
      <c r="L2136" s="0" t="s">
        <v>2196</v>
      </c>
      <c r="N2136" s="0" t="n">
        <v>80</v>
      </c>
      <c r="O2136" s="60" t="n">
        <v>303.8</v>
      </c>
    </row>
    <row r="2137" customFormat="false" ht="15" hidden="false" customHeight="false" outlineLevel="0" collapsed="false">
      <c r="A2137" s="0" t="n">
        <v>3</v>
      </c>
      <c r="B2137" s="59" t="n">
        <v>46233</v>
      </c>
      <c r="C2137" s="0" t="n">
        <v>11</v>
      </c>
      <c r="D2137" s="0" t="s">
        <v>2126</v>
      </c>
      <c r="E2137" s="0" t="n">
        <v>1749</v>
      </c>
      <c r="F2137" s="0" t="s">
        <v>268</v>
      </c>
      <c r="I2137" s="0" t="n">
        <v>2956</v>
      </c>
      <c r="J2137" s="0" t="n">
        <v>102300</v>
      </c>
      <c r="K2137" s="0" t="n">
        <v>7898062920014</v>
      </c>
      <c r="L2137" s="0" t="s">
        <v>2197</v>
      </c>
      <c r="N2137" s="0" t="n">
        <v>120</v>
      </c>
      <c r="O2137" s="60" t="n">
        <v>531.6</v>
      </c>
    </row>
    <row r="2138" customFormat="false" ht="15" hidden="false" customHeight="false" outlineLevel="0" collapsed="false">
      <c r="A2138" s="0" t="n">
        <v>3</v>
      </c>
      <c r="B2138" s="59" t="n">
        <v>46233</v>
      </c>
      <c r="C2138" s="0" t="n">
        <v>11</v>
      </c>
      <c r="D2138" s="0" t="s">
        <v>2126</v>
      </c>
      <c r="E2138" s="0" t="n">
        <v>1749</v>
      </c>
      <c r="F2138" s="0" t="s">
        <v>268</v>
      </c>
      <c r="I2138" s="0" t="n">
        <v>2956</v>
      </c>
      <c r="J2138" s="0" t="n">
        <v>104073</v>
      </c>
      <c r="K2138" s="0" t="n">
        <v>7891107101621</v>
      </c>
      <c r="L2138" s="0" t="s">
        <v>2747</v>
      </c>
      <c r="N2138" s="0" t="n">
        <v>60</v>
      </c>
      <c r="O2138" s="60" t="n">
        <v>419.7</v>
      </c>
    </row>
    <row r="2139" customFormat="false" ht="15" hidden="false" customHeight="false" outlineLevel="0" collapsed="false">
      <c r="A2139" s="0" t="n">
        <v>3</v>
      </c>
      <c r="B2139" s="59" t="n">
        <v>46233</v>
      </c>
      <c r="C2139" s="0" t="n">
        <v>11</v>
      </c>
      <c r="D2139" s="0" t="s">
        <v>2126</v>
      </c>
      <c r="E2139" s="0" t="n">
        <v>1749</v>
      </c>
      <c r="F2139" s="0" t="s">
        <v>268</v>
      </c>
      <c r="I2139" s="0" t="n">
        <v>2956</v>
      </c>
      <c r="J2139" s="0" t="n">
        <v>104678</v>
      </c>
      <c r="K2139" s="0" t="n">
        <v>7898247780075</v>
      </c>
      <c r="L2139" s="0" t="s">
        <v>2748</v>
      </c>
      <c r="N2139" s="0" t="n">
        <v>60</v>
      </c>
      <c r="O2139" s="60" t="n">
        <v>419.7</v>
      </c>
    </row>
    <row r="2140" customFormat="false" ht="15" hidden="false" customHeight="false" outlineLevel="0" collapsed="false">
      <c r="A2140" s="0" t="n">
        <v>3</v>
      </c>
      <c r="B2140" s="59" t="n">
        <v>46233</v>
      </c>
      <c r="C2140" s="0" t="n">
        <v>11</v>
      </c>
      <c r="D2140" s="0" t="s">
        <v>2126</v>
      </c>
      <c r="E2140" s="0" t="n">
        <v>1749</v>
      </c>
      <c r="F2140" s="0" t="s">
        <v>268</v>
      </c>
      <c r="I2140" s="0" t="n">
        <v>2956</v>
      </c>
      <c r="J2140" s="0" t="n">
        <v>12434</v>
      </c>
      <c r="K2140" s="0" t="n">
        <v>7896800777661</v>
      </c>
      <c r="L2140" s="0" t="s">
        <v>3132</v>
      </c>
      <c r="N2140" s="0" t="n">
        <v>90</v>
      </c>
      <c r="O2140" s="60" t="n">
        <v>380.7</v>
      </c>
    </row>
    <row r="2141" customFormat="false" ht="15" hidden="false" customHeight="false" outlineLevel="0" collapsed="false">
      <c r="A2141" s="0" t="n">
        <v>3</v>
      </c>
      <c r="B2141" s="59" t="n">
        <v>46233</v>
      </c>
      <c r="C2141" s="0" t="n">
        <v>11</v>
      </c>
      <c r="D2141" s="0" t="s">
        <v>2126</v>
      </c>
      <c r="E2141" s="0" t="n">
        <v>1749</v>
      </c>
      <c r="F2141" s="0" t="s">
        <v>268</v>
      </c>
      <c r="I2141" s="0" t="n">
        <v>2956</v>
      </c>
      <c r="J2141" s="0" t="n">
        <v>13188</v>
      </c>
      <c r="K2141" s="0" t="n">
        <v>7896393601046</v>
      </c>
      <c r="L2141" s="0" t="s">
        <v>2986</v>
      </c>
      <c r="N2141" s="0" t="n">
        <v>60</v>
      </c>
      <c r="O2141" s="60" t="n">
        <v>233.8</v>
      </c>
    </row>
    <row r="2142" customFormat="false" ht="15" hidden="false" customHeight="false" outlineLevel="0" collapsed="false">
      <c r="A2142" s="0" t="n">
        <v>3</v>
      </c>
      <c r="B2142" s="59" t="n">
        <v>46233</v>
      </c>
      <c r="C2142" s="0" t="n">
        <v>11</v>
      </c>
      <c r="D2142" s="0" t="s">
        <v>2126</v>
      </c>
      <c r="E2142" s="0" t="n">
        <v>1749</v>
      </c>
      <c r="F2142" s="0" t="s">
        <v>268</v>
      </c>
      <c r="I2142" s="0" t="n">
        <v>2956</v>
      </c>
      <c r="J2142" s="0" t="n">
        <v>13677</v>
      </c>
      <c r="K2142" s="0" t="n">
        <v>7896393601039</v>
      </c>
      <c r="L2142" s="0" t="s">
        <v>2198</v>
      </c>
      <c r="N2142" s="0" t="n">
        <v>120</v>
      </c>
      <c r="O2142" s="60" t="n">
        <v>463.6</v>
      </c>
    </row>
    <row r="2143" customFormat="false" ht="15" hidden="false" customHeight="false" outlineLevel="0" collapsed="false">
      <c r="A2143" s="0" t="n">
        <v>3</v>
      </c>
      <c r="B2143" s="59" t="n">
        <v>46233</v>
      </c>
      <c r="C2143" s="0" t="n">
        <v>11</v>
      </c>
      <c r="D2143" s="0" t="s">
        <v>2126</v>
      </c>
      <c r="E2143" s="0" t="n">
        <v>1749</v>
      </c>
      <c r="F2143" s="0" t="s">
        <v>268</v>
      </c>
      <c r="I2143" s="0" t="n">
        <v>2956</v>
      </c>
      <c r="J2143" s="0" t="n">
        <v>29846</v>
      </c>
      <c r="K2143" s="0" t="n">
        <v>7891097102059</v>
      </c>
      <c r="L2143" s="0" t="s">
        <v>2200</v>
      </c>
      <c r="N2143" s="0" t="n">
        <v>50</v>
      </c>
      <c r="O2143" s="60" t="n">
        <v>579.8</v>
      </c>
    </row>
    <row r="2144" customFormat="false" ht="15" hidden="false" customHeight="false" outlineLevel="0" collapsed="false">
      <c r="A2144" s="0" t="n">
        <v>3</v>
      </c>
      <c r="B2144" s="59" t="n">
        <v>46233</v>
      </c>
      <c r="C2144" s="0" t="n">
        <v>11</v>
      </c>
      <c r="D2144" s="0" t="s">
        <v>2126</v>
      </c>
      <c r="E2144" s="0" t="n">
        <v>1749</v>
      </c>
      <c r="F2144" s="0" t="s">
        <v>268</v>
      </c>
      <c r="I2144" s="0" t="n">
        <v>2956</v>
      </c>
      <c r="J2144" s="0" t="n">
        <v>52561</v>
      </c>
      <c r="K2144" s="0" t="n">
        <v>7897312404120</v>
      </c>
      <c r="L2144" s="0" t="s">
        <v>2202</v>
      </c>
      <c r="N2144" s="0" t="n">
        <v>40</v>
      </c>
      <c r="O2144" s="60" t="n">
        <v>303.8</v>
      </c>
    </row>
    <row r="2145" customFormat="false" ht="15" hidden="false" customHeight="false" outlineLevel="0" collapsed="false">
      <c r="A2145" s="0" t="n">
        <v>3</v>
      </c>
      <c r="B2145" s="59" t="n">
        <v>46233</v>
      </c>
      <c r="C2145" s="0" t="n">
        <v>11</v>
      </c>
      <c r="D2145" s="0" t="s">
        <v>2126</v>
      </c>
      <c r="E2145" s="0" t="n">
        <v>1749</v>
      </c>
      <c r="F2145" s="0" t="s">
        <v>268</v>
      </c>
      <c r="I2145" s="0" t="n">
        <v>2956</v>
      </c>
      <c r="J2145" s="0" t="n">
        <v>54424</v>
      </c>
      <c r="K2145" s="0" t="n">
        <v>7897312404144</v>
      </c>
      <c r="L2145" s="0" t="s">
        <v>3133</v>
      </c>
      <c r="N2145" s="0" t="n">
        <v>100</v>
      </c>
      <c r="O2145" s="60" t="n">
        <v>153</v>
      </c>
    </row>
    <row r="2146" customFormat="false" ht="15" hidden="false" customHeight="false" outlineLevel="0" collapsed="false">
      <c r="A2146" s="0" t="n">
        <v>3</v>
      </c>
      <c r="B2146" s="59" t="n">
        <v>46233</v>
      </c>
      <c r="C2146" s="0" t="n">
        <v>11</v>
      </c>
      <c r="D2146" s="0" t="s">
        <v>2126</v>
      </c>
      <c r="E2146" s="0" t="n">
        <v>1749</v>
      </c>
      <c r="F2146" s="0" t="s">
        <v>268</v>
      </c>
      <c r="I2146" s="0" t="n">
        <v>2956</v>
      </c>
      <c r="J2146" s="0" t="n">
        <v>71834</v>
      </c>
      <c r="K2146" s="0" t="n">
        <v>7898361830069</v>
      </c>
      <c r="L2146" s="0" t="s">
        <v>2203</v>
      </c>
      <c r="N2146" s="0" t="n">
        <v>30</v>
      </c>
      <c r="O2146" s="60" t="n">
        <v>85.9</v>
      </c>
    </row>
    <row r="2147" customFormat="false" ht="15" hidden="false" customHeight="false" outlineLevel="0" collapsed="false">
      <c r="A2147" s="0" t="n">
        <v>3</v>
      </c>
      <c r="B2147" s="59" t="n">
        <v>46233</v>
      </c>
      <c r="C2147" s="0" t="n">
        <v>11</v>
      </c>
      <c r="D2147" s="0" t="s">
        <v>2126</v>
      </c>
      <c r="E2147" s="0" t="n">
        <v>1749</v>
      </c>
      <c r="F2147" s="0" t="s">
        <v>268</v>
      </c>
      <c r="I2147" s="0" t="n">
        <v>2956</v>
      </c>
      <c r="J2147" s="0" t="n">
        <v>72943</v>
      </c>
      <c r="K2147" s="0" t="n">
        <v>7898361830076</v>
      </c>
      <c r="L2147" s="0" t="s">
        <v>2204</v>
      </c>
      <c r="N2147" s="0" t="n">
        <v>180</v>
      </c>
      <c r="O2147" s="60" t="n">
        <v>321</v>
      </c>
    </row>
    <row r="2148" customFormat="false" ht="15" hidden="false" customHeight="false" outlineLevel="0" collapsed="false">
      <c r="A2148" s="0" t="n">
        <v>3</v>
      </c>
      <c r="B2148" s="59" t="n">
        <v>46233</v>
      </c>
      <c r="C2148" s="0" t="n">
        <v>11</v>
      </c>
      <c r="D2148" s="0" t="s">
        <v>2126</v>
      </c>
      <c r="E2148" s="0" t="n">
        <v>1457</v>
      </c>
      <c r="F2148" s="0" t="s">
        <v>180</v>
      </c>
      <c r="I2148" s="0" t="n">
        <v>13662</v>
      </c>
      <c r="J2148" s="0" t="n">
        <v>59521</v>
      </c>
      <c r="K2148" s="0" t="n">
        <v>7896862002664</v>
      </c>
      <c r="L2148" s="0" t="s">
        <v>2127</v>
      </c>
      <c r="N2148" s="0" t="n">
        <v>8</v>
      </c>
      <c r="O2148" s="60" t="n">
        <v>43.92</v>
      </c>
    </row>
    <row r="2149" customFormat="false" ht="15" hidden="false" customHeight="false" outlineLevel="0" collapsed="false">
      <c r="A2149" s="0" t="n">
        <v>3</v>
      </c>
      <c r="B2149" s="59" t="n">
        <v>46233</v>
      </c>
      <c r="C2149" s="0" t="n">
        <v>11</v>
      </c>
      <c r="D2149" s="0" t="s">
        <v>2126</v>
      </c>
      <c r="E2149" s="0" t="n">
        <v>1457</v>
      </c>
      <c r="F2149" s="0" t="s">
        <v>180</v>
      </c>
      <c r="I2149" s="0" t="n">
        <v>13662</v>
      </c>
      <c r="J2149" s="0" t="n">
        <v>59522</v>
      </c>
      <c r="K2149" s="0" t="n">
        <v>7896862002794</v>
      </c>
      <c r="L2149" s="0" t="s">
        <v>2128</v>
      </c>
      <c r="N2149" s="0" t="n">
        <v>8</v>
      </c>
      <c r="O2149" s="60" t="n">
        <v>43.92</v>
      </c>
    </row>
    <row r="2150" customFormat="false" ht="15" hidden="false" customHeight="false" outlineLevel="0" collapsed="false">
      <c r="A2150" s="0" t="n">
        <v>3</v>
      </c>
      <c r="B2150" s="59" t="n">
        <v>46233</v>
      </c>
      <c r="C2150" s="0" t="n">
        <v>11</v>
      </c>
      <c r="D2150" s="0" t="s">
        <v>2126</v>
      </c>
      <c r="E2150" s="0" t="n">
        <v>1457</v>
      </c>
      <c r="F2150" s="0" t="s">
        <v>180</v>
      </c>
      <c r="I2150" s="0" t="n">
        <v>13662</v>
      </c>
      <c r="J2150" s="0" t="n">
        <v>59699</v>
      </c>
      <c r="K2150" s="0" t="n">
        <v>7896862000202</v>
      </c>
      <c r="L2150" s="0" t="s">
        <v>3134</v>
      </c>
      <c r="N2150" s="0" t="n">
        <v>3</v>
      </c>
      <c r="O2150" s="60" t="n">
        <v>39.57</v>
      </c>
    </row>
    <row r="2151" customFormat="false" ht="15" hidden="false" customHeight="false" outlineLevel="0" collapsed="false">
      <c r="A2151" s="0" t="n">
        <v>3</v>
      </c>
      <c r="B2151" s="59" t="n">
        <v>46233</v>
      </c>
      <c r="C2151" s="0" t="n">
        <v>11</v>
      </c>
      <c r="D2151" s="0" t="s">
        <v>2126</v>
      </c>
      <c r="E2151" s="0" t="n">
        <v>1457</v>
      </c>
      <c r="F2151" s="0" t="s">
        <v>180</v>
      </c>
      <c r="I2151" s="0" t="n">
        <v>13662</v>
      </c>
      <c r="J2151" s="0" t="n">
        <v>59731</v>
      </c>
      <c r="K2151" s="0" t="n">
        <v>7896862002923</v>
      </c>
      <c r="L2151" s="0" t="s">
        <v>2134</v>
      </c>
      <c r="N2151" s="0" t="n">
        <v>3</v>
      </c>
      <c r="O2151" s="60" t="n">
        <v>21.75</v>
      </c>
    </row>
    <row r="2152" customFormat="false" ht="15" hidden="false" customHeight="false" outlineLevel="0" collapsed="false">
      <c r="A2152" s="0" t="n">
        <v>3</v>
      </c>
      <c r="B2152" s="59" t="n">
        <v>46233</v>
      </c>
      <c r="C2152" s="0" t="n">
        <v>11</v>
      </c>
      <c r="D2152" s="0" t="s">
        <v>2126</v>
      </c>
      <c r="E2152" s="0" t="n">
        <v>1457</v>
      </c>
      <c r="F2152" s="0" t="s">
        <v>180</v>
      </c>
      <c r="I2152" s="0" t="n">
        <v>13662</v>
      </c>
      <c r="J2152" s="0" t="n">
        <v>59736</v>
      </c>
      <c r="K2152" s="0" t="n">
        <v>7896862002657</v>
      </c>
      <c r="L2152" s="0" t="s">
        <v>2135</v>
      </c>
      <c r="N2152" s="0" t="n">
        <v>8</v>
      </c>
      <c r="O2152" s="60" t="n">
        <v>43.92</v>
      </c>
    </row>
    <row r="2153" customFormat="false" ht="15" hidden="false" customHeight="false" outlineLevel="0" collapsed="false">
      <c r="A2153" s="0" t="n">
        <v>3</v>
      </c>
      <c r="B2153" s="59" t="n">
        <v>46233</v>
      </c>
      <c r="C2153" s="0" t="n">
        <v>11</v>
      </c>
      <c r="D2153" s="0" t="s">
        <v>2126</v>
      </c>
      <c r="E2153" s="0" t="n">
        <v>1457</v>
      </c>
      <c r="F2153" s="0" t="s">
        <v>180</v>
      </c>
      <c r="I2153" s="0" t="n">
        <v>13662</v>
      </c>
      <c r="J2153" s="0" t="n">
        <v>64678</v>
      </c>
      <c r="K2153" s="0" t="n">
        <v>7896862002930</v>
      </c>
      <c r="L2153" s="0" t="s">
        <v>3135</v>
      </c>
      <c r="N2153" s="0" t="n">
        <v>54</v>
      </c>
      <c r="O2153" s="60" t="n">
        <v>130.14</v>
      </c>
    </row>
    <row r="2154" customFormat="false" ht="15" hidden="false" customHeight="false" outlineLevel="0" collapsed="false">
      <c r="A2154" s="0" t="n">
        <v>3</v>
      </c>
      <c r="B2154" s="59" t="n">
        <v>46233</v>
      </c>
      <c r="C2154" s="0" t="n">
        <v>11</v>
      </c>
      <c r="D2154" s="0" t="s">
        <v>2126</v>
      </c>
      <c r="E2154" s="0" t="n">
        <v>1457</v>
      </c>
      <c r="F2154" s="0" t="s">
        <v>180</v>
      </c>
      <c r="I2154" s="0" t="n">
        <v>13662</v>
      </c>
      <c r="J2154" s="0" t="n">
        <v>64679</v>
      </c>
      <c r="K2154" s="0" t="n">
        <v>7896862003050</v>
      </c>
      <c r="L2154" s="0" t="s">
        <v>3136</v>
      </c>
      <c r="N2154" s="0" t="n">
        <v>6</v>
      </c>
      <c r="O2154" s="60" t="n">
        <v>21.72</v>
      </c>
    </row>
    <row r="2155" customFormat="false" ht="15" hidden="false" customHeight="false" outlineLevel="0" collapsed="false">
      <c r="A2155" s="0" t="n">
        <v>3</v>
      </c>
      <c r="B2155" s="59" t="n">
        <v>46233</v>
      </c>
      <c r="C2155" s="0" t="n">
        <v>11</v>
      </c>
      <c r="D2155" s="0" t="s">
        <v>2126</v>
      </c>
      <c r="E2155" s="0" t="n">
        <v>1457</v>
      </c>
      <c r="F2155" s="0" t="s">
        <v>180</v>
      </c>
      <c r="I2155" s="0" t="n">
        <v>13662</v>
      </c>
      <c r="J2155" s="0" t="n">
        <v>64680</v>
      </c>
      <c r="K2155" s="0" t="n">
        <v>7896862003043</v>
      </c>
      <c r="L2155" s="0" t="s">
        <v>3136</v>
      </c>
      <c r="N2155" s="0" t="n">
        <v>6</v>
      </c>
      <c r="O2155" s="60" t="n">
        <v>21.72</v>
      </c>
    </row>
    <row r="2156" customFormat="false" ht="15" hidden="false" customHeight="false" outlineLevel="0" collapsed="false">
      <c r="A2156" s="0" t="n">
        <v>3</v>
      </c>
      <c r="B2156" s="59" t="n">
        <v>46233</v>
      </c>
      <c r="C2156" s="0" t="n">
        <v>11</v>
      </c>
      <c r="D2156" s="0" t="s">
        <v>2126</v>
      </c>
      <c r="E2156" s="0" t="n">
        <v>1457</v>
      </c>
      <c r="F2156" s="0" t="s">
        <v>180</v>
      </c>
      <c r="I2156" s="0" t="n">
        <v>13662</v>
      </c>
      <c r="J2156" s="0" t="n">
        <v>81492</v>
      </c>
      <c r="K2156" s="0" t="n">
        <v>7896862003470</v>
      </c>
      <c r="L2156" s="0" t="s">
        <v>2136</v>
      </c>
      <c r="N2156" s="0" t="n">
        <v>3</v>
      </c>
      <c r="O2156" s="60" t="n">
        <v>21.75</v>
      </c>
    </row>
    <row r="2157" customFormat="false" ht="15" hidden="false" customHeight="false" outlineLevel="0" collapsed="false">
      <c r="A2157" s="0" t="n">
        <v>3</v>
      </c>
      <c r="B2157" s="59" t="n">
        <v>46233</v>
      </c>
      <c r="C2157" s="0" t="n">
        <v>11</v>
      </c>
      <c r="D2157" s="0" t="s">
        <v>2126</v>
      </c>
      <c r="E2157" s="0" t="n">
        <v>1625</v>
      </c>
      <c r="F2157" s="0" t="s">
        <v>322</v>
      </c>
      <c r="I2157" s="0" t="n">
        <v>14880</v>
      </c>
      <c r="J2157" s="0" t="n">
        <v>29079</v>
      </c>
      <c r="K2157" s="0" t="n">
        <v>55515</v>
      </c>
      <c r="L2157" s="0" t="s">
        <v>2213</v>
      </c>
      <c r="N2157" s="0" t="n">
        <v>134.8</v>
      </c>
      <c r="O2157" s="60" t="n">
        <v>4313.6</v>
      </c>
    </row>
    <row r="2158" customFormat="false" ht="15" hidden="false" customHeight="false" outlineLevel="0" collapsed="false">
      <c r="A2158" s="0" t="n">
        <v>3</v>
      </c>
      <c r="B2158" s="59" t="n">
        <v>46233</v>
      </c>
      <c r="C2158" s="0" t="n">
        <v>11</v>
      </c>
      <c r="D2158" s="0" t="s">
        <v>2126</v>
      </c>
      <c r="E2158" s="0" t="n">
        <v>1625</v>
      </c>
      <c r="F2158" s="0" t="s">
        <v>322</v>
      </c>
      <c r="I2158" s="0" t="n">
        <v>14880</v>
      </c>
      <c r="J2158" s="0" t="n">
        <v>29080</v>
      </c>
      <c r="K2158" s="0" t="n">
        <v>55516</v>
      </c>
      <c r="L2158" s="0" t="s">
        <v>2137</v>
      </c>
      <c r="N2158" s="0" t="n">
        <v>55.8</v>
      </c>
      <c r="O2158" s="60" t="n">
        <v>1255.5</v>
      </c>
    </row>
    <row r="2159" customFormat="false" ht="15" hidden="false" customHeight="false" outlineLevel="0" collapsed="false">
      <c r="A2159" s="0" t="n">
        <v>3</v>
      </c>
      <c r="B2159" s="59" t="n">
        <v>46233</v>
      </c>
      <c r="C2159" s="0" t="n">
        <v>11</v>
      </c>
      <c r="D2159" s="0" t="s">
        <v>2126</v>
      </c>
      <c r="E2159" s="0" t="n">
        <v>1625</v>
      </c>
      <c r="F2159" s="0" t="s">
        <v>322</v>
      </c>
      <c r="I2159" s="0" t="n">
        <v>14880</v>
      </c>
      <c r="J2159" s="0" t="n">
        <v>78040</v>
      </c>
      <c r="K2159" s="0" t="n">
        <v>780414</v>
      </c>
      <c r="L2159" s="0" t="s">
        <v>2393</v>
      </c>
      <c r="N2159" s="0" t="n">
        <v>17</v>
      </c>
      <c r="O2159" s="60" t="n">
        <v>348.5</v>
      </c>
    </row>
    <row r="2160" customFormat="false" ht="15" hidden="false" customHeight="false" outlineLevel="0" collapsed="false">
      <c r="A2160" s="0" t="n">
        <v>3</v>
      </c>
      <c r="B2160" s="59" t="n">
        <v>46233</v>
      </c>
      <c r="C2160" s="0" t="n">
        <v>11</v>
      </c>
      <c r="D2160" s="0" t="s">
        <v>2126</v>
      </c>
      <c r="E2160" s="0" t="n">
        <v>1625</v>
      </c>
      <c r="F2160" s="0" t="s">
        <v>322</v>
      </c>
      <c r="I2160" s="0" t="n">
        <v>14880</v>
      </c>
      <c r="J2160" s="0" t="n">
        <v>78040</v>
      </c>
      <c r="K2160" s="0" t="n">
        <v>780414</v>
      </c>
      <c r="L2160" s="0" t="s">
        <v>2393</v>
      </c>
      <c r="N2160" s="0" t="n">
        <v>17.2</v>
      </c>
      <c r="O2160" s="60" t="n">
        <v>352.6</v>
      </c>
    </row>
    <row r="2161" customFormat="false" ht="15" hidden="false" customHeight="false" outlineLevel="0" collapsed="false">
      <c r="A2161" s="0" t="n">
        <v>3</v>
      </c>
      <c r="B2161" s="59" t="n">
        <v>46233</v>
      </c>
      <c r="C2161" s="0" t="n">
        <v>11</v>
      </c>
      <c r="D2161" s="0" t="s">
        <v>2126</v>
      </c>
      <c r="E2161" s="0" t="n">
        <v>1378</v>
      </c>
      <c r="F2161" s="0" t="s">
        <v>121</v>
      </c>
      <c r="I2161" s="0" t="n">
        <v>18423</v>
      </c>
      <c r="J2161" s="0" t="n">
        <v>74063</v>
      </c>
      <c r="K2161" s="0" t="n">
        <v>42882264262</v>
      </c>
      <c r="L2161" s="0" t="s">
        <v>2298</v>
      </c>
      <c r="N2161" s="0" t="n">
        <v>6</v>
      </c>
      <c r="O2161" s="60" t="n">
        <v>27</v>
      </c>
    </row>
    <row r="2162" customFormat="false" ht="15" hidden="false" customHeight="false" outlineLevel="0" collapsed="false">
      <c r="A2162" s="0" t="n">
        <v>3</v>
      </c>
      <c r="B2162" s="59" t="n">
        <v>46233</v>
      </c>
      <c r="C2162" s="0" t="n">
        <v>11</v>
      </c>
      <c r="D2162" s="0" t="s">
        <v>2126</v>
      </c>
      <c r="E2162" s="0" t="n">
        <v>1378</v>
      </c>
      <c r="F2162" s="0" t="s">
        <v>121</v>
      </c>
      <c r="I2162" s="0" t="n">
        <v>18423</v>
      </c>
      <c r="J2162" s="0" t="n">
        <v>74064</v>
      </c>
      <c r="K2162" s="0" t="n">
        <v>42882264279</v>
      </c>
      <c r="L2162" s="0" t="s">
        <v>2299</v>
      </c>
      <c r="N2162" s="0" t="n">
        <v>6</v>
      </c>
      <c r="O2162" s="60" t="n">
        <v>28.8</v>
      </c>
    </row>
    <row r="2163" customFormat="false" ht="15" hidden="false" customHeight="false" outlineLevel="0" collapsed="false">
      <c r="A2163" s="0" t="n">
        <v>3</v>
      </c>
      <c r="B2163" s="59" t="n">
        <v>46233</v>
      </c>
      <c r="C2163" s="0" t="n">
        <v>11</v>
      </c>
      <c r="D2163" s="0" t="s">
        <v>2126</v>
      </c>
      <c r="E2163" s="0" t="n">
        <v>1378</v>
      </c>
      <c r="F2163" s="0" t="s">
        <v>121</v>
      </c>
      <c r="I2163" s="0" t="n">
        <v>18423</v>
      </c>
      <c r="J2163" s="0" t="n">
        <v>74065</v>
      </c>
      <c r="K2163" s="0" t="n">
        <v>602883558090</v>
      </c>
      <c r="L2163" s="0" t="s">
        <v>2300</v>
      </c>
      <c r="N2163" s="0" t="n">
        <v>1</v>
      </c>
      <c r="O2163" s="60" t="n">
        <v>7.8</v>
      </c>
    </row>
    <row r="2164" customFormat="false" ht="15" hidden="false" customHeight="false" outlineLevel="0" collapsed="false">
      <c r="A2164" s="0" t="n">
        <v>3</v>
      </c>
      <c r="B2164" s="59" t="n">
        <v>46233</v>
      </c>
      <c r="C2164" s="0" t="n">
        <v>11</v>
      </c>
      <c r="D2164" s="0" t="s">
        <v>2126</v>
      </c>
      <c r="E2164" s="0" t="n">
        <v>1378</v>
      </c>
      <c r="F2164" s="0" t="s">
        <v>121</v>
      </c>
      <c r="I2164" s="0" t="n">
        <v>18423</v>
      </c>
      <c r="J2164" s="0" t="n">
        <v>77994</v>
      </c>
      <c r="K2164" s="0" t="n">
        <v>780117</v>
      </c>
      <c r="L2164" s="0" t="s">
        <v>2301</v>
      </c>
      <c r="N2164" s="0" t="n">
        <v>30</v>
      </c>
      <c r="O2164" s="60" t="n">
        <v>174</v>
      </c>
    </row>
    <row r="2165" customFormat="false" ht="15" hidden="false" customHeight="false" outlineLevel="0" collapsed="false">
      <c r="A2165" s="0" t="n">
        <v>3</v>
      </c>
      <c r="B2165" s="59" t="n">
        <v>46233</v>
      </c>
      <c r="C2165" s="0" t="n">
        <v>11</v>
      </c>
      <c r="D2165" s="0" t="s">
        <v>2126</v>
      </c>
      <c r="E2165" s="0" t="n">
        <v>1916</v>
      </c>
      <c r="F2165" s="0" t="s">
        <v>353</v>
      </c>
      <c r="I2165" s="0" t="n">
        <v>40074</v>
      </c>
      <c r="J2165" s="0" t="n">
        <v>43965</v>
      </c>
      <c r="K2165" s="0" t="n">
        <v>7898567710226</v>
      </c>
      <c r="L2165" s="0" t="s">
        <v>2257</v>
      </c>
      <c r="N2165" s="0" t="n">
        <v>25</v>
      </c>
      <c r="O2165" s="60" t="n">
        <v>137.5</v>
      </c>
    </row>
    <row r="2166" customFormat="false" ht="15" hidden="false" customHeight="false" outlineLevel="0" collapsed="false">
      <c r="A2166" s="0" t="n">
        <v>3</v>
      </c>
      <c r="B2166" s="59" t="n">
        <v>46233</v>
      </c>
      <c r="C2166" s="0" t="n">
        <v>11</v>
      </c>
      <c r="D2166" s="0" t="s">
        <v>2126</v>
      </c>
      <c r="E2166" s="0" t="n">
        <v>1916</v>
      </c>
      <c r="F2166" s="0" t="s">
        <v>353</v>
      </c>
      <c r="I2166" s="0" t="n">
        <v>40074</v>
      </c>
      <c r="J2166" s="0" t="n">
        <v>48436</v>
      </c>
      <c r="K2166" s="0" t="n">
        <v>7898592350251</v>
      </c>
      <c r="L2166" s="0" t="s">
        <v>2258</v>
      </c>
      <c r="N2166" s="0" t="n">
        <v>125</v>
      </c>
      <c r="O2166" s="60" t="n">
        <v>1250</v>
      </c>
    </row>
    <row r="2167" customFormat="false" ht="15" hidden="false" customHeight="false" outlineLevel="0" collapsed="false">
      <c r="A2167" s="0" t="n">
        <v>3</v>
      </c>
      <c r="B2167" s="59" t="n">
        <v>46233</v>
      </c>
      <c r="C2167" s="0" t="n">
        <v>11</v>
      </c>
      <c r="D2167" s="0" t="s">
        <v>2126</v>
      </c>
      <c r="E2167" s="0" t="n">
        <v>1665</v>
      </c>
      <c r="F2167" s="0" t="s">
        <v>940</v>
      </c>
      <c r="I2167" s="0" t="n">
        <v>135484</v>
      </c>
      <c r="J2167" s="0" t="n">
        <v>25716</v>
      </c>
      <c r="K2167" s="0" t="n">
        <v>7896353301184</v>
      </c>
      <c r="L2167" s="0" t="s">
        <v>3137</v>
      </c>
      <c r="N2167" s="0" t="n">
        <v>24</v>
      </c>
      <c r="O2167" s="60" t="n">
        <v>194.4</v>
      </c>
    </row>
    <row r="2168" customFormat="false" ht="15" hidden="false" customHeight="false" outlineLevel="0" collapsed="false">
      <c r="A2168" s="0" t="n">
        <v>3</v>
      </c>
      <c r="B2168" s="59" t="n">
        <v>46233</v>
      </c>
      <c r="C2168" s="0" t="n">
        <v>11</v>
      </c>
      <c r="D2168" s="0" t="s">
        <v>2126</v>
      </c>
      <c r="E2168" s="0" t="n">
        <v>1665</v>
      </c>
      <c r="F2168" s="0" t="s">
        <v>940</v>
      </c>
      <c r="I2168" s="0" t="n">
        <v>135484</v>
      </c>
      <c r="J2168" s="0" t="n">
        <v>25717</v>
      </c>
      <c r="K2168" s="0" t="n">
        <v>7896353301191</v>
      </c>
      <c r="L2168" s="0" t="s">
        <v>3138</v>
      </c>
      <c r="N2168" s="0" t="n">
        <v>6</v>
      </c>
      <c r="O2168" s="60" t="n">
        <v>48.6</v>
      </c>
    </row>
    <row r="2169" customFormat="false" ht="15" hidden="false" customHeight="false" outlineLevel="0" collapsed="false">
      <c r="A2169" s="0" t="n">
        <v>3</v>
      </c>
      <c r="B2169" s="59" t="n">
        <v>46233</v>
      </c>
      <c r="C2169" s="0" t="n">
        <v>11</v>
      </c>
      <c r="D2169" s="0" t="s">
        <v>2126</v>
      </c>
      <c r="E2169" s="0" t="n">
        <v>1723</v>
      </c>
      <c r="F2169" s="0" t="s">
        <v>77</v>
      </c>
      <c r="I2169" s="0" t="n">
        <v>173903</v>
      </c>
      <c r="J2169" s="0" t="n">
        <v>29079</v>
      </c>
      <c r="K2169" s="0" t="n">
        <v>55515</v>
      </c>
      <c r="L2169" s="0" t="s">
        <v>2213</v>
      </c>
      <c r="N2169" s="0" t="n">
        <v>61</v>
      </c>
      <c r="O2169" s="60" t="n">
        <v>1952</v>
      </c>
    </row>
    <row r="2170" customFormat="false" ht="15" hidden="false" customHeight="false" outlineLevel="0" collapsed="false">
      <c r="A2170" s="0" t="n">
        <v>3</v>
      </c>
      <c r="B2170" s="59" t="n">
        <v>46233</v>
      </c>
      <c r="C2170" s="0" t="n">
        <v>11</v>
      </c>
      <c r="D2170" s="0" t="s">
        <v>2126</v>
      </c>
      <c r="E2170" s="0" t="n">
        <v>1723</v>
      </c>
      <c r="F2170" s="0" t="s">
        <v>77</v>
      </c>
      <c r="I2170" s="0" t="n">
        <v>173903</v>
      </c>
      <c r="J2170" s="0" t="n">
        <v>29080</v>
      </c>
      <c r="K2170" s="0" t="n">
        <v>55516</v>
      </c>
      <c r="L2170" s="0" t="s">
        <v>2137</v>
      </c>
      <c r="N2170" s="0" t="n">
        <v>96.8</v>
      </c>
      <c r="O2170" s="60" t="n">
        <v>2129.6</v>
      </c>
    </row>
    <row r="2171" customFormat="false" ht="15" hidden="false" customHeight="false" outlineLevel="0" collapsed="false">
      <c r="A2171" s="0" t="n">
        <v>3</v>
      </c>
      <c r="B2171" s="59" t="n">
        <v>46233</v>
      </c>
      <c r="C2171" s="0" t="n">
        <v>11</v>
      </c>
      <c r="D2171" s="0" t="s">
        <v>2126</v>
      </c>
      <c r="E2171" s="0" t="n">
        <v>1734</v>
      </c>
      <c r="F2171" s="0" t="s">
        <v>126</v>
      </c>
      <c r="I2171" s="0" t="n">
        <v>256208</v>
      </c>
      <c r="J2171" s="0" t="n">
        <v>38208</v>
      </c>
      <c r="K2171" s="0" t="n">
        <v>7898055452126</v>
      </c>
      <c r="L2171" s="0" t="s">
        <v>2145</v>
      </c>
      <c r="N2171" s="0" t="n">
        <v>2</v>
      </c>
      <c r="O2171" s="60" t="n">
        <v>39.86</v>
      </c>
    </row>
    <row r="2172" customFormat="false" ht="15" hidden="false" customHeight="false" outlineLevel="0" collapsed="false">
      <c r="A2172" s="0" t="n">
        <v>3</v>
      </c>
      <c r="B2172" s="59" t="n">
        <v>46233</v>
      </c>
      <c r="C2172" s="0" t="n">
        <v>11</v>
      </c>
      <c r="D2172" s="0" t="s">
        <v>2126</v>
      </c>
      <c r="E2172" s="0" t="n">
        <v>1734</v>
      </c>
      <c r="F2172" s="0" t="s">
        <v>126</v>
      </c>
      <c r="I2172" s="0" t="n">
        <v>256208</v>
      </c>
      <c r="J2172" s="0" t="n">
        <v>38209</v>
      </c>
      <c r="K2172" s="0" t="n">
        <v>7898055451761</v>
      </c>
      <c r="L2172" s="0" t="s">
        <v>2533</v>
      </c>
      <c r="N2172" s="0" t="n">
        <v>2</v>
      </c>
      <c r="O2172" s="60" t="n">
        <v>39.86</v>
      </c>
    </row>
    <row r="2173" customFormat="false" ht="15" hidden="false" customHeight="false" outlineLevel="0" collapsed="false">
      <c r="A2173" s="0" t="n">
        <v>3</v>
      </c>
      <c r="B2173" s="59" t="n">
        <v>46233</v>
      </c>
      <c r="C2173" s="0" t="n">
        <v>11</v>
      </c>
      <c r="D2173" s="0" t="s">
        <v>2126</v>
      </c>
      <c r="E2173" s="0" t="n">
        <v>1734</v>
      </c>
      <c r="F2173" s="0" t="s">
        <v>126</v>
      </c>
      <c r="I2173" s="0" t="n">
        <v>256208</v>
      </c>
      <c r="J2173" s="0" t="n">
        <v>38210</v>
      </c>
      <c r="K2173" s="0" t="n">
        <v>7898055452119</v>
      </c>
      <c r="L2173" s="0" t="s">
        <v>2534</v>
      </c>
      <c r="N2173" s="0" t="n">
        <v>2</v>
      </c>
      <c r="O2173" s="60" t="n">
        <v>39.86</v>
      </c>
    </row>
    <row r="2174" customFormat="false" ht="15" hidden="false" customHeight="false" outlineLevel="0" collapsed="false">
      <c r="A2174" s="0" t="n">
        <v>3</v>
      </c>
      <c r="B2174" s="59" t="n">
        <v>46233</v>
      </c>
      <c r="C2174" s="0" t="n">
        <v>11</v>
      </c>
      <c r="D2174" s="0" t="s">
        <v>2126</v>
      </c>
      <c r="E2174" s="0" t="n">
        <v>1734</v>
      </c>
      <c r="F2174" s="0" t="s">
        <v>126</v>
      </c>
      <c r="I2174" s="0" t="n">
        <v>256208</v>
      </c>
      <c r="J2174" s="0" t="n">
        <v>38213</v>
      </c>
      <c r="K2174" s="0" t="n">
        <v>7898055450023</v>
      </c>
      <c r="L2174" s="0" t="s">
        <v>2144</v>
      </c>
      <c r="N2174" s="0" t="n">
        <v>4</v>
      </c>
      <c r="O2174" s="60" t="n">
        <v>79.72</v>
      </c>
    </row>
    <row r="2175" customFormat="false" ht="15" hidden="false" customHeight="false" outlineLevel="0" collapsed="false">
      <c r="A2175" s="0" t="n">
        <v>3</v>
      </c>
      <c r="B2175" s="59" t="n">
        <v>46233</v>
      </c>
      <c r="C2175" s="0" t="n">
        <v>11</v>
      </c>
      <c r="D2175" s="0" t="s">
        <v>2126</v>
      </c>
      <c r="E2175" s="0" t="n">
        <v>1734</v>
      </c>
      <c r="F2175" s="0" t="s">
        <v>126</v>
      </c>
      <c r="I2175" s="0" t="n">
        <v>256208</v>
      </c>
      <c r="J2175" s="0" t="n">
        <v>38214</v>
      </c>
      <c r="K2175" s="0" t="n">
        <v>7898055452249</v>
      </c>
      <c r="L2175" s="0" t="s">
        <v>2147</v>
      </c>
      <c r="N2175" s="0" t="n">
        <v>2</v>
      </c>
      <c r="O2175" s="60" t="n">
        <v>39.86</v>
      </c>
    </row>
    <row r="2176" customFormat="false" ht="15" hidden="false" customHeight="false" outlineLevel="0" collapsed="false">
      <c r="A2176" s="0" t="n">
        <v>3</v>
      </c>
      <c r="B2176" s="59" t="n">
        <v>46233</v>
      </c>
      <c r="C2176" s="0" t="n">
        <v>11</v>
      </c>
      <c r="D2176" s="0" t="s">
        <v>2126</v>
      </c>
      <c r="E2176" s="0" t="n">
        <v>1734</v>
      </c>
      <c r="F2176" s="0" t="s">
        <v>126</v>
      </c>
      <c r="I2176" s="0" t="n">
        <v>256208</v>
      </c>
      <c r="J2176" s="0" t="n">
        <v>38216</v>
      </c>
      <c r="K2176" s="0" t="n">
        <v>7898055454281</v>
      </c>
      <c r="L2176" s="0" t="s">
        <v>2148</v>
      </c>
      <c r="N2176" s="0" t="n">
        <v>4</v>
      </c>
      <c r="O2176" s="60" t="n">
        <v>50.35</v>
      </c>
    </row>
    <row r="2177" customFormat="false" ht="15" hidden="false" customHeight="false" outlineLevel="0" collapsed="false">
      <c r="A2177" s="0" t="n">
        <v>3</v>
      </c>
      <c r="B2177" s="59" t="n">
        <v>46233</v>
      </c>
      <c r="C2177" s="0" t="n">
        <v>11</v>
      </c>
      <c r="D2177" s="0" t="s">
        <v>2126</v>
      </c>
      <c r="E2177" s="0" t="n">
        <v>1734</v>
      </c>
      <c r="F2177" s="0" t="s">
        <v>126</v>
      </c>
      <c r="I2177" s="0" t="n">
        <v>256208</v>
      </c>
      <c r="J2177" s="0" t="n">
        <v>38218</v>
      </c>
      <c r="K2177" s="0" t="n">
        <v>7898055454298</v>
      </c>
      <c r="L2177" s="0" t="s">
        <v>2535</v>
      </c>
      <c r="N2177" s="0" t="n">
        <v>4</v>
      </c>
      <c r="O2177" s="60" t="n">
        <v>50.35</v>
      </c>
    </row>
    <row r="2178" customFormat="false" ht="15" hidden="false" customHeight="false" outlineLevel="0" collapsed="false">
      <c r="A2178" s="0" t="n">
        <v>3</v>
      </c>
      <c r="B2178" s="59" t="n">
        <v>46233</v>
      </c>
      <c r="C2178" s="0" t="n">
        <v>11</v>
      </c>
      <c r="D2178" s="0" t="s">
        <v>2126</v>
      </c>
      <c r="E2178" s="0" t="n">
        <v>1734</v>
      </c>
      <c r="F2178" s="0" t="s">
        <v>126</v>
      </c>
      <c r="I2178" s="0" t="n">
        <v>256208</v>
      </c>
      <c r="J2178" s="0" t="n">
        <v>38220</v>
      </c>
      <c r="K2178" s="0" t="n">
        <v>7898055452355</v>
      </c>
      <c r="L2178" s="0" t="s">
        <v>2144</v>
      </c>
      <c r="N2178" s="0" t="n">
        <v>2</v>
      </c>
      <c r="O2178" s="60" t="n">
        <v>39.86</v>
      </c>
    </row>
    <row r="2179" customFormat="false" ht="15" hidden="false" customHeight="false" outlineLevel="0" collapsed="false">
      <c r="A2179" s="0" t="n">
        <v>3</v>
      </c>
      <c r="B2179" s="59" t="n">
        <v>46233</v>
      </c>
      <c r="C2179" s="0" t="n">
        <v>11</v>
      </c>
      <c r="D2179" s="0" t="s">
        <v>2126</v>
      </c>
      <c r="E2179" s="0" t="n">
        <v>1734</v>
      </c>
      <c r="F2179" s="0" t="s">
        <v>126</v>
      </c>
      <c r="I2179" s="0" t="n">
        <v>256208</v>
      </c>
      <c r="J2179" s="0" t="n">
        <v>38221</v>
      </c>
      <c r="K2179" s="0" t="n">
        <v>7898055452102</v>
      </c>
      <c r="L2179" s="0" t="s">
        <v>2150</v>
      </c>
      <c r="N2179" s="0" t="n">
        <v>4</v>
      </c>
      <c r="O2179" s="60" t="n">
        <v>50.35</v>
      </c>
    </row>
    <row r="2180" customFormat="false" ht="15" hidden="false" customHeight="false" outlineLevel="0" collapsed="false">
      <c r="A2180" s="0" t="n">
        <v>3</v>
      </c>
      <c r="B2180" s="59" t="n">
        <v>46233</v>
      </c>
      <c r="C2180" s="0" t="n">
        <v>11</v>
      </c>
      <c r="D2180" s="0" t="s">
        <v>2126</v>
      </c>
      <c r="E2180" s="0" t="n">
        <v>1734</v>
      </c>
      <c r="F2180" s="0" t="s">
        <v>126</v>
      </c>
      <c r="I2180" s="0" t="n">
        <v>256208</v>
      </c>
      <c r="J2180" s="0" t="n">
        <v>39252</v>
      </c>
      <c r="K2180" s="0" t="n">
        <v>7898055450993</v>
      </c>
      <c r="L2180" s="0" t="s">
        <v>2151</v>
      </c>
      <c r="N2180" s="0" t="n">
        <v>4</v>
      </c>
      <c r="O2180" s="60" t="n">
        <v>50.35</v>
      </c>
    </row>
    <row r="2181" customFormat="false" ht="15" hidden="false" customHeight="false" outlineLevel="0" collapsed="false">
      <c r="A2181" s="0" t="n">
        <v>3</v>
      </c>
      <c r="B2181" s="59" t="n">
        <v>46233</v>
      </c>
      <c r="C2181" s="0" t="n">
        <v>11</v>
      </c>
      <c r="D2181" s="0" t="s">
        <v>2126</v>
      </c>
      <c r="E2181" s="0" t="n">
        <v>1734</v>
      </c>
      <c r="F2181" s="0" t="s">
        <v>126</v>
      </c>
      <c r="I2181" s="0" t="n">
        <v>256208</v>
      </c>
      <c r="J2181" s="0" t="n">
        <v>39443</v>
      </c>
      <c r="K2181" s="0" t="n">
        <v>7898055451648</v>
      </c>
      <c r="L2181" s="0" t="s">
        <v>2537</v>
      </c>
      <c r="N2181" s="0" t="n">
        <v>4</v>
      </c>
      <c r="O2181" s="60" t="n">
        <v>50.35</v>
      </c>
    </row>
    <row r="2182" customFormat="false" ht="15" hidden="false" customHeight="false" outlineLevel="0" collapsed="false">
      <c r="A2182" s="0" t="n">
        <v>3</v>
      </c>
      <c r="B2182" s="59" t="n">
        <v>46233</v>
      </c>
      <c r="C2182" s="0" t="n">
        <v>11</v>
      </c>
      <c r="D2182" s="0" t="s">
        <v>2126</v>
      </c>
      <c r="E2182" s="0" t="n">
        <v>1734</v>
      </c>
      <c r="F2182" s="0" t="s">
        <v>126</v>
      </c>
      <c r="I2182" s="0" t="n">
        <v>256208</v>
      </c>
      <c r="J2182" s="0" t="n">
        <v>39450</v>
      </c>
      <c r="K2182" s="0" t="n">
        <v>7898055450030</v>
      </c>
      <c r="L2182" s="0" t="s">
        <v>3139</v>
      </c>
      <c r="N2182" s="0" t="n">
        <v>2</v>
      </c>
      <c r="O2182" s="60" t="n">
        <v>39.86</v>
      </c>
    </row>
    <row r="2183" customFormat="false" ht="15" hidden="false" customHeight="false" outlineLevel="0" collapsed="false">
      <c r="A2183" s="0" t="n">
        <v>3</v>
      </c>
      <c r="B2183" s="59" t="n">
        <v>46233</v>
      </c>
      <c r="C2183" s="0" t="n">
        <v>11</v>
      </c>
      <c r="D2183" s="0" t="s">
        <v>2126</v>
      </c>
      <c r="E2183" s="0" t="n">
        <v>1734</v>
      </c>
      <c r="F2183" s="0" t="s">
        <v>126</v>
      </c>
      <c r="I2183" s="0" t="n">
        <v>256208</v>
      </c>
      <c r="J2183" s="0" t="n">
        <v>40840</v>
      </c>
      <c r="K2183" s="0" t="n">
        <v>7898055451655</v>
      </c>
      <c r="L2183" s="0" t="s">
        <v>3140</v>
      </c>
      <c r="N2183" s="0" t="n">
        <v>4</v>
      </c>
      <c r="O2183" s="60" t="n">
        <v>50.35</v>
      </c>
    </row>
    <row r="2184" customFormat="false" ht="15" hidden="false" customHeight="false" outlineLevel="0" collapsed="false">
      <c r="A2184" s="0" t="n">
        <v>3</v>
      </c>
      <c r="B2184" s="59" t="n">
        <v>46233</v>
      </c>
      <c r="C2184" s="0" t="n">
        <v>11</v>
      </c>
      <c r="D2184" s="0" t="s">
        <v>2126</v>
      </c>
      <c r="E2184" s="0" t="n">
        <v>1734</v>
      </c>
      <c r="F2184" s="0" t="s">
        <v>126</v>
      </c>
      <c r="I2184" s="0" t="n">
        <v>256208</v>
      </c>
      <c r="J2184" s="0" t="n">
        <v>56815</v>
      </c>
      <c r="K2184" s="0" t="n">
        <v>7898055455165</v>
      </c>
      <c r="L2184" s="0" t="s">
        <v>2155</v>
      </c>
      <c r="N2184" s="0" t="n">
        <v>4</v>
      </c>
      <c r="O2184" s="60" t="n">
        <v>79.72</v>
      </c>
    </row>
    <row r="2185" customFormat="false" ht="15" hidden="false" customHeight="false" outlineLevel="0" collapsed="false">
      <c r="A2185" s="0" t="n">
        <v>3</v>
      </c>
      <c r="B2185" s="59" t="n">
        <v>46233</v>
      </c>
      <c r="C2185" s="0" t="n">
        <v>11</v>
      </c>
      <c r="D2185" s="0" t="s">
        <v>2126</v>
      </c>
      <c r="E2185" s="0" t="n">
        <v>1734</v>
      </c>
      <c r="F2185" s="0" t="s">
        <v>126</v>
      </c>
      <c r="I2185" s="0" t="n">
        <v>256208</v>
      </c>
      <c r="J2185" s="0" t="n">
        <v>57021</v>
      </c>
      <c r="K2185" s="0" t="n">
        <v>7898055455189</v>
      </c>
      <c r="L2185" s="0" t="s">
        <v>2156</v>
      </c>
      <c r="N2185" s="0" t="n">
        <v>4</v>
      </c>
      <c r="O2185" s="60" t="n">
        <v>79.72</v>
      </c>
    </row>
    <row r="2186" customFormat="false" ht="15" hidden="false" customHeight="false" outlineLevel="0" collapsed="false">
      <c r="A2186" s="0" t="n">
        <v>3</v>
      </c>
      <c r="B2186" s="59" t="n">
        <v>46233</v>
      </c>
      <c r="C2186" s="0" t="n">
        <v>11</v>
      </c>
      <c r="D2186" s="0" t="s">
        <v>2126</v>
      </c>
      <c r="E2186" s="0" t="n">
        <v>1734</v>
      </c>
      <c r="F2186" s="0" t="s">
        <v>126</v>
      </c>
      <c r="I2186" s="0" t="n">
        <v>256208</v>
      </c>
      <c r="J2186" s="0" t="n">
        <v>78071</v>
      </c>
      <c r="K2186" s="0" t="n">
        <v>7898055455622</v>
      </c>
      <c r="L2186" s="0" t="s">
        <v>2157</v>
      </c>
      <c r="N2186" s="0" t="n">
        <v>4</v>
      </c>
      <c r="O2186" s="60" t="n">
        <v>79.72</v>
      </c>
    </row>
    <row r="2187" customFormat="false" ht="15" hidden="false" customHeight="false" outlineLevel="0" collapsed="false">
      <c r="A2187" s="0" t="n">
        <v>3</v>
      </c>
      <c r="B2187" s="59" t="n">
        <v>46233</v>
      </c>
      <c r="C2187" s="0" t="n">
        <v>11</v>
      </c>
      <c r="D2187" s="0" t="s">
        <v>2126</v>
      </c>
      <c r="E2187" s="0" t="n">
        <v>1718</v>
      </c>
      <c r="F2187" s="0" t="s">
        <v>410</v>
      </c>
      <c r="I2187" s="0" t="n">
        <v>685877</v>
      </c>
      <c r="J2187" s="0" t="n">
        <v>102980</v>
      </c>
      <c r="K2187" s="0" t="n">
        <v>7895800201503</v>
      </c>
      <c r="L2187" s="0" t="s">
        <v>3141</v>
      </c>
      <c r="N2187" s="0" t="n">
        <v>21</v>
      </c>
      <c r="O2187" s="60" t="n">
        <v>37.99</v>
      </c>
    </row>
    <row r="2188" customFormat="false" ht="15" hidden="false" customHeight="false" outlineLevel="0" collapsed="false">
      <c r="A2188" s="0" t="n">
        <v>3</v>
      </c>
      <c r="B2188" s="59" t="n">
        <v>46233</v>
      </c>
      <c r="C2188" s="0" t="n">
        <v>11</v>
      </c>
      <c r="D2188" s="0" t="s">
        <v>2126</v>
      </c>
      <c r="E2188" s="0" t="n">
        <v>1718</v>
      </c>
      <c r="F2188" s="0" t="s">
        <v>410</v>
      </c>
      <c r="I2188" s="0" t="n">
        <v>685877</v>
      </c>
      <c r="J2188" s="0" t="n">
        <v>16772</v>
      </c>
      <c r="K2188" s="0" t="n">
        <v>7895800309780</v>
      </c>
      <c r="L2188" s="0" t="s">
        <v>3142</v>
      </c>
      <c r="N2188" s="0" t="n">
        <v>21</v>
      </c>
      <c r="O2188" s="60" t="n">
        <v>37.99</v>
      </c>
    </row>
    <row r="2189" customFormat="false" ht="15" hidden="false" customHeight="false" outlineLevel="0" collapsed="false">
      <c r="A2189" s="0" t="n">
        <v>3</v>
      </c>
      <c r="B2189" s="59" t="n">
        <v>46233</v>
      </c>
      <c r="C2189" s="0" t="n">
        <v>11</v>
      </c>
      <c r="D2189" s="0" t="s">
        <v>2126</v>
      </c>
      <c r="E2189" s="0" t="n">
        <v>1718</v>
      </c>
      <c r="F2189" s="0" t="s">
        <v>410</v>
      </c>
      <c r="I2189" s="0" t="n">
        <v>685877</v>
      </c>
      <c r="J2189" s="0" t="n">
        <v>16778</v>
      </c>
      <c r="K2189" s="0" t="n">
        <v>7895800304228</v>
      </c>
      <c r="L2189" s="0" t="s">
        <v>3143</v>
      </c>
      <c r="N2189" s="0" t="n">
        <v>42</v>
      </c>
      <c r="O2189" s="60" t="n">
        <v>75.98</v>
      </c>
    </row>
    <row r="2190" customFormat="false" ht="15" hidden="false" customHeight="false" outlineLevel="0" collapsed="false">
      <c r="A2190" s="0" t="n">
        <v>3</v>
      </c>
      <c r="B2190" s="59" t="n">
        <v>46233</v>
      </c>
      <c r="C2190" s="0" t="n">
        <v>11</v>
      </c>
      <c r="D2190" s="0" t="s">
        <v>2126</v>
      </c>
      <c r="E2190" s="0" t="n">
        <v>1718</v>
      </c>
      <c r="F2190" s="0" t="s">
        <v>410</v>
      </c>
      <c r="I2190" s="0" t="n">
        <v>685877</v>
      </c>
      <c r="J2190" s="0" t="n">
        <v>16776</v>
      </c>
      <c r="K2190" s="0" t="n">
        <v>7895800304211</v>
      </c>
      <c r="L2190" s="0" t="s">
        <v>3144</v>
      </c>
      <c r="N2190" s="0" t="n">
        <v>42</v>
      </c>
      <c r="O2190" s="60" t="n">
        <v>75.98</v>
      </c>
    </row>
    <row r="2191" customFormat="false" ht="15" hidden="false" customHeight="false" outlineLevel="0" collapsed="false">
      <c r="A2191" s="0" t="n">
        <v>3</v>
      </c>
      <c r="B2191" s="59" t="n">
        <v>46233</v>
      </c>
      <c r="C2191" s="0" t="n">
        <v>11</v>
      </c>
      <c r="D2191" s="0" t="s">
        <v>2126</v>
      </c>
      <c r="E2191" s="0" t="n">
        <v>1718</v>
      </c>
      <c r="F2191" s="0" t="s">
        <v>410</v>
      </c>
      <c r="I2191" s="0" t="n">
        <v>685877</v>
      </c>
      <c r="J2191" s="0" t="n">
        <v>21274</v>
      </c>
      <c r="K2191" s="0" t="n">
        <v>7622300830083</v>
      </c>
      <c r="L2191" s="0" t="s">
        <v>3145</v>
      </c>
      <c r="N2191" s="0" t="n">
        <v>16</v>
      </c>
      <c r="O2191" s="60" t="n">
        <v>27.54</v>
      </c>
    </row>
    <row r="2192" customFormat="false" ht="15" hidden="false" customHeight="false" outlineLevel="0" collapsed="false">
      <c r="A2192" s="0" t="n">
        <v>3</v>
      </c>
      <c r="B2192" s="59" t="n">
        <v>46233</v>
      </c>
      <c r="C2192" s="0" t="n">
        <v>11</v>
      </c>
      <c r="D2192" s="0" t="s">
        <v>2126</v>
      </c>
      <c r="E2192" s="0" t="n">
        <v>1718</v>
      </c>
      <c r="F2192" s="0" t="s">
        <v>410</v>
      </c>
      <c r="I2192" s="0" t="n">
        <v>685877</v>
      </c>
      <c r="J2192" s="0" t="n">
        <v>21275</v>
      </c>
      <c r="K2192" s="0" t="n">
        <v>7622300830151</v>
      </c>
      <c r="L2192" s="0" t="s">
        <v>3146</v>
      </c>
      <c r="N2192" s="0" t="n">
        <v>48</v>
      </c>
      <c r="O2192" s="60" t="n">
        <v>168.96</v>
      </c>
    </row>
    <row r="2193" customFormat="false" ht="15" hidden="false" customHeight="false" outlineLevel="0" collapsed="false">
      <c r="A2193" s="0" t="n">
        <v>3</v>
      </c>
      <c r="B2193" s="59" t="n">
        <v>46233</v>
      </c>
      <c r="C2193" s="0" t="n">
        <v>11</v>
      </c>
      <c r="D2193" s="0" t="s">
        <v>2126</v>
      </c>
      <c r="E2193" s="0" t="n">
        <v>1718</v>
      </c>
      <c r="F2193" s="0" t="s">
        <v>410</v>
      </c>
      <c r="I2193" s="0" t="n">
        <v>685877</v>
      </c>
      <c r="J2193" s="0" t="n">
        <v>22427</v>
      </c>
      <c r="K2193" s="0" t="n">
        <v>7622300873455</v>
      </c>
      <c r="L2193" s="0" t="s">
        <v>3147</v>
      </c>
      <c r="N2193" s="0" t="n">
        <v>16</v>
      </c>
      <c r="O2193" s="60" t="n">
        <v>27.54</v>
      </c>
    </row>
    <row r="2194" customFormat="false" ht="15" hidden="false" customHeight="false" outlineLevel="0" collapsed="false">
      <c r="A2194" s="0" t="n">
        <v>3</v>
      </c>
      <c r="B2194" s="59" t="n">
        <v>46233</v>
      </c>
      <c r="C2194" s="0" t="n">
        <v>11</v>
      </c>
      <c r="D2194" s="0" t="s">
        <v>2126</v>
      </c>
      <c r="E2194" s="0" t="n">
        <v>1718</v>
      </c>
      <c r="F2194" s="0" t="s">
        <v>410</v>
      </c>
      <c r="I2194" s="0" t="n">
        <v>685877</v>
      </c>
      <c r="J2194" s="0" t="n">
        <v>22869</v>
      </c>
      <c r="K2194" s="0" t="n">
        <v>7622300873554</v>
      </c>
      <c r="L2194" s="0" t="s">
        <v>3148</v>
      </c>
      <c r="N2194" s="0" t="n">
        <v>24</v>
      </c>
      <c r="O2194" s="60" t="n">
        <v>84.48</v>
      </c>
    </row>
    <row r="2195" customFormat="false" ht="15" hidden="false" customHeight="false" outlineLevel="0" collapsed="false">
      <c r="A2195" s="0" t="n">
        <v>3</v>
      </c>
      <c r="B2195" s="59" t="n">
        <v>46233</v>
      </c>
      <c r="C2195" s="0" t="n">
        <v>11</v>
      </c>
      <c r="D2195" s="0" t="s">
        <v>2126</v>
      </c>
      <c r="E2195" s="0" t="n">
        <v>1718</v>
      </c>
      <c r="F2195" s="0" t="s">
        <v>410</v>
      </c>
      <c r="I2195" s="0" t="n">
        <v>685877</v>
      </c>
      <c r="J2195" s="0" t="n">
        <v>23714</v>
      </c>
      <c r="K2195" s="0" t="n">
        <v>7622300988470</v>
      </c>
      <c r="L2195" s="0" t="s">
        <v>3149</v>
      </c>
      <c r="N2195" s="0" t="n">
        <v>24</v>
      </c>
      <c r="O2195" s="60" t="n">
        <v>93</v>
      </c>
    </row>
    <row r="2196" customFormat="false" ht="15" hidden="false" customHeight="false" outlineLevel="0" collapsed="false">
      <c r="A2196" s="0" t="n">
        <v>3</v>
      </c>
      <c r="B2196" s="59" t="n">
        <v>46233</v>
      </c>
      <c r="C2196" s="0" t="n">
        <v>11</v>
      </c>
      <c r="D2196" s="0" t="s">
        <v>2126</v>
      </c>
      <c r="E2196" s="0" t="n">
        <v>1718</v>
      </c>
      <c r="F2196" s="0" t="s">
        <v>410</v>
      </c>
      <c r="I2196" s="0" t="n">
        <v>685877</v>
      </c>
      <c r="J2196" s="0" t="n">
        <v>24049</v>
      </c>
      <c r="K2196" s="0" t="n">
        <v>7622300990701</v>
      </c>
      <c r="L2196" s="0" t="s">
        <v>3150</v>
      </c>
      <c r="N2196" s="0" t="n">
        <v>24</v>
      </c>
      <c r="O2196" s="60" t="n">
        <v>120.48</v>
      </c>
    </row>
    <row r="2197" customFormat="false" ht="15" hidden="false" customHeight="false" outlineLevel="0" collapsed="false">
      <c r="A2197" s="0" t="n">
        <v>3</v>
      </c>
      <c r="B2197" s="59" t="n">
        <v>46233</v>
      </c>
      <c r="C2197" s="0" t="n">
        <v>11</v>
      </c>
      <c r="D2197" s="0" t="s">
        <v>2126</v>
      </c>
      <c r="E2197" s="0" t="n">
        <v>1718</v>
      </c>
      <c r="F2197" s="0" t="s">
        <v>410</v>
      </c>
      <c r="I2197" s="0" t="n">
        <v>685877</v>
      </c>
      <c r="J2197" s="0" t="n">
        <v>24066</v>
      </c>
      <c r="K2197" s="0" t="n">
        <v>7622300989408</v>
      </c>
      <c r="L2197" s="0" t="s">
        <v>3151</v>
      </c>
      <c r="N2197" s="0" t="n">
        <v>24</v>
      </c>
      <c r="O2197" s="60" t="n">
        <v>84.48</v>
      </c>
    </row>
    <row r="2198" customFormat="false" ht="15" hidden="false" customHeight="false" outlineLevel="0" collapsed="false">
      <c r="A2198" s="0" t="n">
        <v>3</v>
      </c>
      <c r="B2198" s="59" t="n">
        <v>46233</v>
      </c>
      <c r="C2198" s="0" t="n">
        <v>11</v>
      </c>
      <c r="D2198" s="0" t="s">
        <v>2126</v>
      </c>
      <c r="E2198" s="0" t="n">
        <v>1718</v>
      </c>
      <c r="F2198" s="0" t="s">
        <v>410</v>
      </c>
      <c r="I2198" s="0" t="n">
        <v>685877</v>
      </c>
      <c r="J2198" s="0" t="n">
        <v>24226</v>
      </c>
      <c r="K2198" s="0" t="n">
        <v>7622210641632</v>
      </c>
      <c r="L2198" s="0" t="s">
        <v>3150</v>
      </c>
      <c r="N2198" s="0" t="n">
        <v>10</v>
      </c>
      <c r="O2198" s="60" t="n">
        <v>50.2</v>
      </c>
    </row>
    <row r="2199" customFormat="false" ht="15" hidden="false" customHeight="false" outlineLevel="0" collapsed="false">
      <c r="A2199" s="0" t="n">
        <v>3</v>
      </c>
      <c r="B2199" s="59" t="n">
        <v>46233</v>
      </c>
      <c r="C2199" s="0" t="n">
        <v>11</v>
      </c>
      <c r="D2199" s="0" t="s">
        <v>2126</v>
      </c>
      <c r="E2199" s="0" t="n">
        <v>1718</v>
      </c>
      <c r="F2199" s="0" t="s">
        <v>410</v>
      </c>
      <c r="I2199" s="0" t="n">
        <v>685877</v>
      </c>
      <c r="J2199" s="0" t="n">
        <v>24231</v>
      </c>
      <c r="K2199" s="0" t="n">
        <v>7622210641151</v>
      </c>
      <c r="L2199" s="0" t="s">
        <v>3152</v>
      </c>
      <c r="N2199" s="0" t="n">
        <v>10</v>
      </c>
      <c r="O2199" s="60" t="n">
        <v>50.2</v>
      </c>
    </row>
    <row r="2200" customFormat="false" ht="15" hidden="false" customHeight="false" outlineLevel="0" collapsed="false">
      <c r="A2200" s="0" t="n">
        <v>3</v>
      </c>
      <c r="B2200" s="59" t="n">
        <v>46233</v>
      </c>
      <c r="C2200" s="0" t="n">
        <v>11</v>
      </c>
      <c r="D2200" s="0" t="s">
        <v>2126</v>
      </c>
      <c r="E2200" s="0" t="n">
        <v>1718</v>
      </c>
      <c r="F2200" s="0" t="s">
        <v>410</v>
      </c>
      <c r="I2200" s="0" t="n">
        <v>685877</v>
      </c>
      <c r="J2200" s="0" t="n">
        <v>24526</v>
      </c>
      <c r="K2200" s="0" t="n">
        <v>7622210644534</v>
      </c>
      <c r="L2200" s="0" t="s">
        <v>3153</v>
      </c>
      <c r="N2200" s="0" t="n">
        <v>10</v>
      </c>
      <c r="O2200" s="60" t="n">
        <v>50.2</v>
      </c>
    </row>
    <row r="2201" customFormat="false" ht="15" hidden="false" customHeight="false" outlineLevel="0" collapsed="false">
      <c r="A2201" s="0" t="n">
        <v>3</v>
      </c>
      <c r="B2201" s="59" t="n">
        <v>46233</v>
      </c>
      <c r="C2201" s="0" t="n">
        <v>11</v>
      </c>
      <c r="D2201" s="0" t="s">
        <v>2126</v>
      </c>
      <c r="E2201" s="0" t="n">
        <v>1718</v>
      </c>
      <c r="F2201" s="0" t="s">
        <v>410</v>
      </c>
      <c r="I2201" s="0" t="n">
        <v>685877</v>
      </c>
      <c r="J2201" s="0" t="n">
        <v>25387</v>
      </c>
      <c r="K2201" s="0" t="n">
        <v>7622210411501</v>
      </c>
      <c r="L2201" s="0" t="s">
        <v>3154</v>
      </c>
      <c r="N2201" s="0" t="n">
        <v>18</v>
      </c>
      <c r="O2201" s="60" t="n">
        <v>63.5</v>
      </c>
    </row>
    <row r="2202" customFormat="false" ht="15" hidden="false" customHeight="false" outlineLevel="0" collapsed="false">
      <c r="A2202" s="0" t="n">
        <v>3</v>
      </c>
      <c r="B2202" s="59" t="n">
        <v>46233</v>
      </c>
      <c r="C2202" s="0" t="n">
        <v>11</v>
      </c>
      <c r="D2202" s="0" t="s">
        <v>2126</v>
      </c>
      <c r="E2202" s="0" t="n">
        <v>1718</v>
      </c>
      <c r="F2202" s="0" t="s">
        <v>410</v>
      </c>
      <c r="I2202" s="0" t="n">
        <v>685877</v>
      </c>
      <c r="J2202" s="0" t="n">
        <v>25460</v>
      </c>
      <c r="K2202" s="0" t="n">
        <v>7622210661609</v>
      </c>
      <c r="L2202" s="0" t="s">
        <v>3155</v>
      </c>
      <c r="N2202" s="0" t="n">
        <v>12</v>
      </c>
      <c r="O2202" s="60" t="n">
        <v>60.24</v>
      </c>
    </row>
    <row r="2203" customFormat="false" ht="15" hidden="false" customHeight="false" outlineLevel="0" collapsed="false">
      <c r="A2203" s="0" t="n">
        <v>3</v>
      </c>
      <c r="B2203" s="59" t="n">
        <v>46233</v>
      </c>
      <c r="C2203" s="0" t="n">
        <v>11</v>
      </c>
      <c r="D2203" s="0" t="s">
        <v>2126</v>
      </c>
      <c r="E2203" s="0" t="n">
        <v>1718</v>
      </c>
      <c r="F2203" s="0" t="s">
        <v>410</v>
      </c>
      <c r="I2203" s="0" t="n">
        <v>685877</v>
      </c>
      <c r="J2203" s="0" t="n">
        <v>26009</v>
      </c>
      <c r="K2203" s="0" t="n">
        <v>7622210661661</v>
      </c>
      <c r="L2203" s="0" t="s">
        <v>3156</v>
      </c>
      <c r="N2203" s="0" t="n">
        <v>12</v>
      </c>
      <c r="O2203" s="60" t="n">
        <v>60.24</v>
      </c>
    </row>
    <row r="2204" customFormat="false" ht="15" hidden="false" customHeight="false" outlineLevel="0" collapsed="false">
      <c r="A2204" s="0" t="n">
        <v>3</v>
      </c>
      <c r="B2204" s="59" t="n">
        <v>46233</v>
      </c>
      <c r="C2204" s="0" t="n">
        <v>11</v>
      </c>
      <c r="D2204" s="0" t="s">
        <v>2126</v>
      </c>
      <c r="E2204" s="0" t="n">
        <v>1718</v>
      </c>
      <c r="F2204" s="0" t="s">
        <v>410</v>
      </c>
      <c r="I2204" s="0" t="n">
        <v>685877</v>
      </c>
      <c r="J2204" s="0" t="n">
        <v>28595</v>
      </c>
      <c r="K2204" s="0" t="n">
        <v>78939318</v>
      </c>
      <c r="L2204" s="0" t="s">
        <v>3157</v>
      </c>
      <c r="N2204" s="0" t="n">
        <v>100</v>
      </c>
      <c r="O2204" s="60" t="n">
        <v>123</v>
      </c>
    </row>
    <row r="2205" customFormat="false" ht="15" hidden="false" customHeight="false" outlineLevel="0" collapsed="false">
      <c r="A2205" s="0" t="n">
        <v>3</v>
      </c>
      <c r="B2205" s="59" t="n">
        <v>46233</v>
      </c>
      <c r="C2205" s="0" t="n">
        <v>11</v>
      </c>
      <c r="D2205" s="0" t="s">
        <v>2126</v>
      </c>
      <c r="E2205" s="0" t="n">
        <v>1718</v>
      </c>
      <c r="F2205" s="0" t="s">
        <v>410</v>
      </c>
      <c r="I2205" s="0" t="n">
        <v>685877</v>
      </c>
      <c r="J2205" s="0" t="n">
        <v>29150</v>
      </c>
      <c r="K2205" s="0" t="n">
        <v>78938816</v>
      </c>
      <c r="L2205" s="0" t="s">
        <v>3158</v>
      </c>
      <c r="N2205" s="0" t="n">
        <v>84</v>
      </c>
      <c r="O2205" s="60" t="n">
        <v>94</v>
      </c>
    </row>
    <row r="2206" customFormat="false" ht="15" hidden="false" customHeight="false" outlineLevel="0" collapsed="false">
      <c r="A2206" s="0" t="n">
        <v>3</v>
      </c>
      <c r="B2206" s="59" t="n">
        <v>46233</v>
      </c>
      <c r="C2206" s="0" t="n">
        <v>11</v>
      </c>
      <c r="D2206" s="0" t="s">
        <v>2126</v>
      </c>
      <c r="E2206" s="0" t="n">
        <v>1718</v>
      </c>
      <c r="F2206" s="0" t="s">
        <v>410</v>
      </c>
      <c r="I2206" s="0" t="n">
        <v>685877</v>
      </c>
      <c r="J2206" s="0" t="n">
        <v>29151</v>
      </c>
      <c r="K2206" s="0" t="n">
        <v>78938823</v>
      </c>
      <c r="L2206" s="0" t="s">
        <v>3159</v>
      </c>
      <c r="N2206" s="0" t="n">
        <v>63</v>
      </c>
      <c r="O2206" s="60" t="n">
        <v>70.5</v>
      </c>
    </row>
    <row r="2207" customFormat="false" ht="15" hidden="false" customHeight="false" outlineLevel="0" collapsed="false">
      <c r="A2207" s="0" t="n">
        <v>3</v>
      </c>
      <c r="B2207" s="59" t="n">
        <v>46233</v>
      </c>
      <c r="C2207" s="0" t="n">
        <v>11</v>
      </c>
      <c r="D2207" s="0" t="s">
        <v>2126</v>
      </c>
      <c r="E2207" s="0" t="n">
        <v>1718</v>
      </c>
      <c r="F2207" s="0" t="s">
        <v>410</v>
      </c>
      <c r="I2207" s="0" t="n">
        <v>685877</v>
      </c>
      <c r="J2207" s="0" t="n">
        <v>29152</v>
      </c>
      <c r="K2207" s="0" t="n">
        <v>78938847</v>
      </c>
      <c r="L2207" s="0" t="s">
        <v>3160</v>
      </c>
      <c r="N2207" s="0" t="n">
        <v>42</v>
      </c>
      <c r="O2207" s="60" t="n">
        <v>47</v>
      </c>
    </row>
    <row r="2208" customFormat="false" ht="15" hidden="false" customHeight="false" outlineLevel="0" collapsed="false">
      <c r="A2208" s="0" t="n">
        <v>3</v>
      </c>
      <c r="B2208" s="59" t="n">
        <v>46233</v>
      </c>
      <c r="C2208" s="0" t="n">
        <v>11</v>
      </c>
      <c r="D2208" s="0" t="s">
        <v>2126</v>
      </c>
      <c r="E2208" s="0" t="n">
        <v>1718</v>
      </c>
      <c r="F2208" s="0" t="s">
        <v>410</v>
      </c>
      <c r="I2208" s="0" t="n">
        <v>685877</v>
      </c>
      <c r="J2208" s="0" t="n">
        <v>36309</v>
      </c>
      <c r="K2208" s="0" t="n">
        <v>78938830</v>
      </c>
      <c r="L2208" s="0" t="s">
        <v>3161</v>
      </c>
      <c r="N2208" s="0" t="n">
        <v>63</v>
      </c>
      <c r="O2208" s="60" t="n">
        <v>70.5</v>
      </c>
    </row>
    <row r="2209" customFormat="false" ht="15" hidden="false" customHeight="false" outlineLevel="0" collapsed="false">
      <c r="A2209" s="0" t="n">
        <v>3</v>
      </c>
      <c r="B2209" s="59" t="n">
        <v>46233</v>
      </c>
      <c r="C2209" s="0" t="n">
        <v>11</v>
      </c>
      <c r="D2209" s="0" t="s">
        <v>2126</v>
      </c>
      <c r="E2209" s="0" t="n">
        <v>1718</v>
      </c>
      <c r="F2209" s="0" t="s">
        <v>410</v>
      </c>
      <c r="I2209" s="0" t="n">
        <v>685877</v>
      </c>
      <c r="J2209" s="0" t="n">
        <v>37772</v>
      </c>
      <c r="K2209" s="0" t="n">
        <v>78939301</v>
      </c>
      <c r="L2209" s="0" t="s">
        <v>3162</v>
      </c>
      <c r="N2209" s="0" t="n">
        <v>100</v>
      </c>
      <c r="O2209" s="60" t="n">
        <v>123</v>
      </c>
    </row>
    <row r="2210" customFormat="false" ht="15" hidden="false" customHeight="false" outlineLevel="0" collapsed="false">
      <c r="A2210" s="0" t="n">
        <v>3</v>
      </c>
      <c r="B2210" s="59" t="n">
        <v>46233</v>
      </c>
      <c r="C2210" s="0" t="n">
        <v>11</v>
      </c>
      <c r="D2210" s="0" t="s">
        <v>2126</v>
      </c>
      <c r="E2210" s="0" t="n">
        <v>1718</v>
      </c>
      <c r="F2210" s="0" t="s">
        <v>410</v>
      </c>
      <c r="I2210" s="0" t="n">
        <v>685877</v>
      </c>
      <c r="J2210" s="0" t="n">
        <v>38441</v>
      </c>
      <c r="K2210" s="0" t="n">
        <v>7622210566409</v>
      </c>
      <c r="L2210" s="0" t="s">
        <v>3163</v>
      </c>
      <c r="N2210" s="0" t="n">
        <v>24</v>
      </c>
      <c r="O2210" s="60" t="n">
        <v>93</v>
      </c>
    </row>
    <row r="2211" customFormat="false" ht="15" hidden="false" customHeight="false" outlineLevel="0" collapsed="false">
      <c r="A2211" s="0" t="n">
        <v>3</v>
      </c>
      <c r="B2211" s="59" t="n">
        <v>46233</v>
      </c>
      <c r="C2211" s="0" t="n">
        <v>11</v>
      </c>
      <c r="D2211" s="0" t="s">
        <v>2126</v>
      </c>
      <c r="E2211" s="0" t="n">
        <v>1718</v>
      </c>
      <c r="F2211" s="0" t="s">
        <v>410</v>
      </c>
      <c r="I2211" s="0" t="n">
        <v>685877</v>
      </c>
      <c r="J2211" s="0" t="n">
        <v>38564</v>
      </c>
      <c r="K2211" s="0" t="n">
        <v>7622210564290</v>
      </c>
      <c r="L2211" s="0" t="s">
        <v>3164</v>
      </c>
      <c r="N2211" s="0" t="n">
        <v>42</v>
      </c>
      <c r="O2211" s="60" t="n">
        <v>75.98</v>
      </c>
    </row>
    <row r="2212" customFormat="false" ht="15" hidden="false" customHeight="false" outlineLevel="0" collapsed="false">
      <c r="A2212" s="0" t="n">
        <v>3</v>
      </c>
      <c r="B2212" s="59" t="n">
        <v>46233</v>
      </c>
      <c r="C2212" s="0" t="n">
        <v>11</v>
      </c>
      <c r="D2212" s="0" t="s">
        <v>2126</v>
      </c>
      <c r="E2212" s="0" t="n">
        <v>1718</v>
      </c>
      <c r="F2212" s="0" t="s">
        <v>410</v>
      </c>
      <c r="I2212" s="0" t="n">
        <v>685877</v>
      </c>
      <c r="J2212" s="0" t="n">
        <v>39155</v>
      </c>
      <c r="K2212" s="0" t="n">
        <v>7622210933454</v>
      </c>
      <c r="L2212" s="0" t="s">
        <v>3165</v>
      </c>
      <c r="N2212" s="0" t="n">
        <v>20</v>
      </c>
      <c r="O2212" s="60" t="n">
        <v>53.48</v>
      </c>
    </row>
    <row r="2213" customFormat="false" ht="15" hidden="false" customHeight="false" outlineLevel="0" collapsed="false">
      <c r="A2213" s="0" t="n">
        <v>3</v>
      </c>
      <c r="B2213" s="59" t="n">
        <v>46233</v>
      </c>
      <c r="C2213" s="0" t="n">
        <v>11</v>
      </c>
      <c r="D2213" s="0" t="s">
        <v>2126</v>
      </c>
      <c r="E2213" s="0" t="n">
        <v>1718</v>
      </c>
      <c r="F2213" s="0" t="s">
        <v>410</v>
      </c>
      <c r="I2213" s="0" t="n">
        <v>685877</v>
      </c>
      <c r="J2213" s="0" t="n">
        <v>45647</v>
      </c>
      <c r="K2213" s="0" t="n">
        <v>7622210566331</v>
      </c>
      <c r="L2213" s="0" t="s">
        <v>3166</v>
      </c>
      <c r="N2213" s="0" t="n">
        <v>24</v>
      </c>
      <c r="O2213" s="60" t="n">
        <v>93</v>
      </c>
    </row>
    <row r="2214" customFormat="false" ht="15" hidden="false" customHeight="false" outlineLevel="0" collapsed="false">
      <c r="A2214" s="0" t="n">
        <v>3</v>
      </c>
      <c r="B2214" s="59" t="n">
        <v>46233</v>
      </c>
      <c r="C2214" s="0" t="n">
        <v>11</v>
      </c>
      <c r="D2214" s="0" t="s">
        <v>2126</v>
      </c>
      <c r="E2214" s="0" t="n">
        <v>1718</v>
      </c>
      <c r="F2214" s="0" t="s">
        <v>410</v>
      </c>
      <c r="I2214" s="0" t="n">
        <v>685877</v>
      </c>
      <c r="J2214" s="0" t="n">
        <v>52731</v>
      </c>
      <c r="K2214" s="0" t="n">
        <v>7622210674050</v>
      </c>
      <c r="L2214" s="0" t="s">
        <v>3167</v>
      </c>
      <c r="N2214" s="0" t="n">
        <v>17</v>
      </c>
      <c r="O2214" s="60" t="n">
        <v>145</v>
      </c>
    </row>
    <row r="2215" customFormat="false" ht="15" hidden="false" customHeight="false" outlineLevel="0" collapsed="false">
      <c r="A2215" s="0" t="n">
        <v>3</v>
      </c>
      <c r="B2215" s="59" t="n">
        <v>46233</v>
      </c>
      <c r="C2215" s="0" t="n">
        <v>11</v>
      </c>
      <c r="D2215" s="0" t="s">
        <v>2126</v>
      </c>
      <c r="E2215" s="0" t="n">
        <v>1718</v>
      </c>
      <c r="F2215" s="0" t="s">
        <v>410</v>
      </c>
      <c r="I2215" s="0" t="n">
        <v>685877</v>
      </c>
      <c r="J2215" s="0" t="n">
        <v>52732</v>
      </c>
      <c r="K2215" s="0" t="n">
        <v>7622210673831</v>
      </c>
      <c r="L2215" s="0" t="s">
        <v>3168</v>
      </c>
      <c r="N2215" s="0" t="n">
        <v>17</v>
      </c>
      <c r="O2215" s="60" t="n">
        <v>145</v>
      </c>
    </row>
    <row r="2216" customFormat="false" ht="15" hidden="false" customHeight="false" outlineLevel="0" collapsed="false">
      <c r="A2216" s="0" t="n">
        <v>3</v>
      </c>
      <c r="B2216" s="59" t="n">
        <v>46233</v>
      </c>
      <c r="C2216" s="0" t="n">
        <v>11</v>
      </c>
      <c r="D2216" s="0" t="s">
        <v>2126</v>
      </c>
      <c r="E2216" s="0" t="n">
        <v>1718</v>
      </c>
      <c r="F2216" s="0" t="s">
        <v>410</v>
      </c>
      <c r="I2216" s="0" t="n">
        <v>685877</v>
      </c>
      <c r="J2216" s="0" t="n">
        <v>53290</v>
      </c>
      <c r="K2216" s="0" t="n">
        <v>7622210674319</v>
      </c>
      <c r="L2216" s="0" t="s">
        <v>3169</v>
      </c>
      <c r="N2216" s="0" t="n">
        <v>17</v>
      </c>
      <c r="O2216" s="60" t="n">
        <v>145</v>
      </c>
    </row>
    <row r="2217" customFormat="false" ht="15" hidden="false" customHeight="false" outlineLevel="0" collapsed="false">
      <c r="A2217" s="0" t="n">
        <v>3</v>
      </c>
      <c r="B2217" s="59" t="n">
        <v>46233</v>
      </c>
      <c r="C2217" s="0" t="n">
        <v>11</v>
      </c>
      <c r="D2217" s="0" t="s">
        <v>2126</v>
      </c>
      <c r="E2217" s="0" t="n">
        <v>1718</v>
      </c>
      <c r="F2217" s="0" t="s">
        <v>410</v>
      </c>
      <c r="I2217" s="0" t="n">
        <v>685877</v>
      </c>
      <c r="J2217" s="0" t="n">
        <v>54107</v>
      </c>
      <c r="K2217" s="0" t="n">
        <v>7622210674432</v>
      </c>
      <c r="L2217" s="0" t="s">
        <v>3170</v>
      </c>
      <c r="N2217" s="0" t="n">
        <v>17</v>
      </c>
      <c r="O2217" s="60" t="n">
        <v>145</v>
      </c>
    </row>
    <row r="2218" customFormat="false" ht="15" hidden="false" customHeight="false" outlineLevel="0" collapsed="false">
      <c r="A2218" s="0" t="n">
        <v>3</v>
      </c>
      <c r="B2218" s="59" t="n">
        <v>46233</v>
      </c>
      <c r="C2218" s="0" t="n">
        <v>11</v>
      </c>
      <c r="D2218" s="0" t="s">
        <v>2126</v>
      </c>
      <c r="E2218" s="0" t="n">
        <v>1718</v>
      </c>
      <c r="F2218" s="0" t="s">
        <v>410</v>
      </c>
      <c r="I2218" s="0" t="n">
        <v>685877</v>
      </c>
      <c r="J2218" s="0" t="n">
        <v>71600</v>
      </c>
      <c r="K2218" s="0" t="n">
        <v>7622210534576</v>
      </c>
      <c r="L2218" s="0" t="s">
        <v>3171</v>
      </c>
      <c r="N2218" s="0" t="n">
        <v>24</v>
      </c>
      <c r="O2218" s="60" t="n">
        <v>93</v>
      </c>
    </row>
    <row r="2219" customFormat="false" ht="15" hidden="false" customHeight="false" outlineLevel="0" collapsed="false">
      <c r="A2219" s="0" t="n">
        <v>3</v>
      </c>
      <c r="B2219" s="59" t="n">
        <v>46233</v>
      </c>
      <c r="C2219" s="0" t="n">
        <v>11</v>
      </c>
      <c r="D2219" s="0" t="s">
        <v>2126</v>
      </c>
      <c r="E2219" s="0" t="n">
        <v>1718</v>
      </c>
      <c r="F2219" s="0" t="s">
        <v>410</v>
      </c>
      <c r="I2219" s="0" t="n">
        <v>685877</v>
      </c>
      <c r="J2219" s="0" t="n">
        <v>72980</v>
      </c>
      <c r="K2219" s="0" t="n">
        <v>7622202280665</v>
      </c>
      <c r="L2219" s="0" t="s">
        <v>3172</v>
      </c>
      <c r="N2219" s="0" t="n">
        <v>30</v>
      </c>
      <c r="O2219" s="60" t="n">
        <v>105</v>
      </c>
    </row>
    <row r="2220" customFormat="false" ht="15" hidden="false" customHeight="false" outlineLevel="0" collapsed="false">
      <c r="A2220" s="0" t="n">
        <v>3</v>
      </c>
      <c r="B2220" s="59" t="n">
        <v>46233</v>
      </c>
      <c r="C2220" s="0" t="n">
        <v>11</v>
      </c>
      <c r="D2220" s="0" t="s">
        <v>2126</v>
      </c>
      <c r="E2220" s="0" t="n">
        <v>1718</v>
      </c>
      <c r="F2220" s="0" t="s">
        <v>410</v>
      </c>
      <c r="I2220" s="0" t="n">
        <v>685877</v>
      </c>
      <c r="J2220" s="0" t="n">
        <v>72983</v>
      </c>
      <c r="K2220" s="0" t="n">
        <v>7622202280689</v>
      </c>
      <c r="L2220" s="0" t="s">
        <v>3173</v>
      </c>
      <c r="N2220" s="0" t="n">
        <v>20</v>
      </c>
      <c r="O2220" s="60" t="n">
        <v>70</v>
      </c>
    </row>
    <row r="2221" customFormat="false" ht="15" hidden="false" customHeight="false" outlineLevel="0" collapsed="false">
      <c r="A2221" s="0" t="n">
        <v>3</v>
      </c>
      <c r="B2221" s="59" t="n">
        <v>46233</v>
      </c>
      <c r="C2221" s="0" t="n">
        <v>11</v>
      </c>
      <c r="D2221" s="0" t="s">
        <v>2126</v>
      </c>
      <c r="E2221" s="0" t="n">
        <v>1718</v>
      </c>
      <c r="F2221" s="0" t="s">
        <v>410</v>
      </c>
      <c r="I2221" s="0" t="n">
        <v>685877</v>
      </c>
      <c r="J2221" s="0" t="n">
        <v>75083</v>
      </c>
      <c r="K2221" s="0" t="n">
        <v>7622202256691</v>
      </c>
      <c r="L2221" s="0" t="s">
        <v>3174</v>
      </c>
      <c r="N2221" s="0" t="n">
        <v>12</v>
      </c>
      <c r="O2221" s="60" t="n">
        <v>46.98</v>
      </c>
    </row>
    <row r="2222" customFormat="false" ht="15" hidden="false" customHeight="false" outlineLevel="0" collapsed="false">
      <c r="A2222" s="0" t="n">
        <v>3</v>
      </c>
      <c r="B2222" s="59" t="n">
        <v>46233</v>
      </c>
      <c r="C2222" s="0" t="n">
        <v>11</v>
      </c>
      <c r="D2222" s="0" t="s">
        <v>2126</v>
      </c>
      <c r="E2222" s="0" t="n">
        <v>1718</v>
      </c>
      <c r="F2222" s="0" t="s">
        <v>410</v>
      </c>
      <c r="I2222" s="0" t="n">
        <v>685877</v>
      </c>
      <c r="J2222" s="0" t="n">
        <v>75086</v>
      </c>
      <c r="K2222" s="0" t="n">
        <v>7622202256721</v>
      </c>
      <c r="L2222" s="0" t="s">
        <v>3175</v>
      </c>
      <c r="N2222" s="0" t="n">
        <v>12</v>
      </c>
      <c r="O2222" s="60" t="n">
        <v>46.98</v>
      </c>
    </row>
    <row r="2223" customFormat="false" ht="15" hidden="false" customHeight="false" outlineLevel="0" collapsed="false">
      <c r="A2223" s="0" t="n">
        <v>3</v>
      </c>
      <c r="B2223" s="59" t="n">
        <v>46233</v>
      </c>
      <c r="C2223" s="0" t="n">
        <v>11</v>
      </c>
      <c r="D2223" s="0" t="s">
        <v>2126</v>
      </c>
      <c r="E2223" s="0" t="n">
        <v>1718</v>
      </c>
      <c r="F2223" s="0" t="s">
        <v>410</v>
      </c>
      <c r="I2223" s="0" t="n">
        <v>685877</v>
      </c>
      <c r="J2223" s="0" t="n">
        <v>75087</v>
      </c>
      <c r="K2223" s="0" t="n">
        <v>7622202258459</v>
      </c>
      <c r="L2223" s="0" t="s">
        <v>3176</v>
      </c>
      <c r="N2223" s="0" t="n">
        <v>12</v>
      </c>
      <c r="O2223" s="60" t="n">
        <v>46.98</v>
      </c>
    </row>
    <row r="2224" customFormat="false" ht="15" hidden="false" customHeight="false" outlineLevel="0" collapsed="false">
      <c r="A2224" s="0" t="n">
        <v>3</v>
      </c>
      <c r="B2224" s="59" t="n">
        <v>46233</v>
      </c>
      <c r="C2224" s="0" t="n">
        <v>11</v>
      </c>
      <c r="D2224" s="0" t="s">
        <v>2126</v>
      </c>
      <c r="E2224" s="0" t="n">
        <v>1642</v>
      </c>
      <c r="F2224" s="0" t="s">
        <v>276</v>
      </c>
      <c r="I2224" s="0" t="n">
        <v>1034336</v>
      </c>
      <c r="J2224" s="0" t="n">
        <v>105780</v>
      </c>
      <c r="K2224" s="0" t="n">
        <v>7896289210017</v>
      </c>
      <c r="L2224" s="0" t="s">
        <v>2186</v>
      </c>
      <c r="N2224" s="0" t="n">
        <v>10</v>
      </c>
      <c r="O2224" s="60" t="n">
        <v>106.7</v>
      </c>
    </row>
    <row r="2225" customFormat="false" ht="15" hidden="false" customHeight="false" outlineLevel="0" collapsed="false">
      <c r="A2225" s="0" t="n">
        <v>3</v>
      </c>
      <c r="B2225" s="59" t="n">
        <v>46233</v>
      </c>
      <c r="C2225" s="0" t="n">
        <v>11</v>
      </c>
      <c r="D2225" s="0" t="s">
        <v>2126</v>
      </c>
      <c r="E2225" s="0" t="n">
        <v>1642</v>
      </c>
      <c r="F2225" s="0" t="s">
        <v>276</v>
      </c>
      <c r="I2225" s="0" t="n">
        <v>1034336</v>
      </c>
      <c r="J2225" s="0" t="n">
        <v>105782</v>
      </c>
      <c r="K2225" s="0" t="n">
        <v>7896289210352</v>
      </c>
      <c r="L2225" s="0" t="s">
        <v>2187</v>
      </c>
      <c r="N2225" s="0" t="n">
        <v>8</v>
      </c>
      <c r="O2225" s="60" t="n">
        <v>54.88</v>
      </c>
    </row>
    <row r="2226" customFormat="false" ht="15" hidden="false" customHeight="false" outlineLevel="0" collapsed="false">
      <c r="A2226" s="0" t="n">
        <v>3</v>
      </c>
      <c r="B2226" s="59" t="n">
        <v>46233</v>
      </c>
      <c r="C2226" s="0" t="n">
        <v>11</v>
      </c>
      <c r="D2226" s="0" t="s">
        <v>2126</v>
      </c>
      <c r="E2226" s="0" t="n">
        <v>1642</v>
      </c>
      <c r="F2226" s="0" t="s">
        <v>276</v>
      </c>
      <c r="I2226" s="0" t="n">
        <v>1034336</v>
      </c>
      <c r="J2226" s="0" t="n">
        <v>106079</v>
      </c>
      <c r="K2226" s="0" t="n">
        <v>7896289210130</v>
      </c>
      <c r="L2226" s="0" t="s">
        <v>2188</v>
      </c>
      <c r="N2226" s="0" t="n">
        <v>6</v>
      </c>
      <c r="O2226" s="60" t="n">
        <v>82.2</v>
      </c>
    </row>
    <row r="2227" customFormat="false" ht="15" hidden="false" customHeight="false" outlineLevel="0" collapsed="false">
      <c r="A2227" s="0" t="n">
        <v>3</v>
      </c>
      <c r="B2227" s="59" t="n">
        <v>46233</v>
      </c>
      <c r="C2227" s="0" t="n">
        <v>11</v>
      </c>
      <c r="D2227" s="0" t="s">
        <v>2126</v>
      </c>
      <c r="E2227" s="0" t="n">
        <v>1642</v>
      </c>
      <c r="F2227" s="0" t="s">
        <v>276</v>
      </c>
      <c r="I2227" s="0" t="n">
        <v>1034336</v>
      </c>
      <c r="J2227" s="0" t="n">
        <v>106274</v>
      </c>
      <c r="K2227" s="0" t="n">
        <v>7896289210086</v>
      </c>
      <c r="L2227" s="0" t="s">
        <v>2189</v>
      </c>
      <c r="N2227" s="0" t="n">
        <v>6</v>
      </c>
      <c r="O2227" s="60" t="n">
        <v>75.36</v>
      </c>
    </row>
    <row r="2228" customFormat="false" ht="15" hidden="false" customHeight="false" outlineLevel="0" collapsed="false">
      <c r="A2228" s="0" t="n">
        <v>3</v>
      </c>
      <c r="B2228" s="59" t="n">
        <v>46233</v>
      </c>
      <c r="C2228" s="0" t="n">
        <v>11</v>
      </c>
      <c r="D2228" s="0" t="s">
        <v>2126</v>
      </c>
      <c r="E2228" s="0" t="n">
        <v>1642</v>
      </c>
      <c r="F2228" s="0" t="s">
        <v>276</v>
      </c>
      <c r="I2228" s="0" t="n">
        <v>1034336</v>
      </c>
      <c r="J2228" s="0" t="n">
        <v>106280</v>
      </c>
      <c r="K2228" s="0" t="n">
        <v>7896289210062</v>
      </c>
      <c r="L2228" s="0" t="s">
        <v>2190</v>
      </c>
      <c r="N2228" s="0" t="n">
        <v>6</v>
      </c>
      <c r="O2228" s="60" t="n">
        <v>75.36</v>
      </c>
    </row>
    <row r="2229" customFormat="false" ht="15" hidden="false" customHeight="false" outlineLevel="0" collapsed="false">
      <c r="A2229" s="0" t="n">
        <v>3</v>
      </c>
      <c r="B2229" s="59" t="n">
        <v>46233</v>
      </c>
      <c r="C2229" s="0" t="n">
        <v>11</v>
      </c>
      <c r="D2229" s="0" t="s">
        <v>2126</v>
      </c>
      <c r="E2229" s="0" t="n">
        <v>1642</v>
      </c>
      <c r="F2229" s="0" t="s">
        <v>276</v>
      </c>
      <c r="I2229" s="0" t="n">
        <v>1034336</v>
      </c>
      <c r="J2229" s="0" t="n">
        <v>106407</v>
      </c>
      <c r="K2229" s="0" t="n">
        <v>7896289210031</v>
      </c>
      <c r="L2229" s="0" t="s">
        <v>2191</v>
      </c>
      <c r="N2229" s="0" t="n">
        <v>10</v>
      </c>
      <c r="O2229" s="60" t="n">
        <v>116.4</v>
      </c>
    </row>
    <row r="2230" customFormat="false" ht="15" hidden="false" customHeight="false" outlineLevel="0" collapsed="false">
      <c r="A2230" s="0" t="n">
        <v>3</v>
      </c>
      <c r="B2230" s="59" t="n">
        <v>46233</v>
      </c>
      <c r="C2230" s="0" t="n">
        <v>11</v>
      </c>
      <c r="D2230" s="0" t="s">
        <v>2126</v>
      </c>
      <c r="E2230" s="0" t="n">
        <v>1672</v>
      </c>
      <c r="F2230" s="0" t="s">
        <v>68</v>
      </c>
      <c r="I2230" s="0" t="n">
        <v>1407139</v>
      </c>
      <c r="J2230" s="0" t="n">
        <v>101308</v>
      </c>
      <c r="K2230" s="0" t="n">
        <v>7896579330098</v>
      </c>
      <c r="L2230" s="0" t="s">
        <v>2471</v>
      </c>
      <c r="N2230" s="0" t="n">
        <v>50</v>
      </c>
      <c r="O2230" s="60" t="n">
        <v>375</v>
      </c>
    </row>
    <row r="2231" customFormat="false" ht="15" hidden="false" customHeight="false" outlineLevel="0" collapsed="false">
      <c r="A2231" s="0" t="n">
        <v>3</v>
      </c>
      <c r="B2231" s="59" t="n">
        <v>46233</v>
      </c>
      <c r="C2231" s="0" t="n">
        <v>11</v>
      </c>
      <c r="D2231" s="0" t="s">
        <v>2126</v>
      </c>
      <c r="E2231" s="0" t="n">
        <v>1672</v>
      </c>
      <c r="F2231" s="0" t="s">
        <v>68</v>
      </c>
      <c r="I2231" s="0" t="n">
        <v>1407139</v>
      </c>
      <c r="J2231" s="0" t="n">
        <v>37507</v>
      </c>
      <c r="K2231" s="0" t="n">
        <v>7896579310854</v>
      </c>
      <c r="L2231" s="0" t="s">
        <v>2472</v>
      </c>
      <c r="N2231" s="0" t="n">
        <v>100</v>
      </c>
      <c r="O2231" s="60" t="n">
        <v>700</v>
      </c>
    </row>
    <row r="2232" customFormat="false" ht="15" hidden="false" customHeight="false" outlineLevel="0" collapsed="false">
      <c r="A2232" s="0" t="n">
        <v>3</v>
      </c>
      <c r="B2232" s="59" t="n">
        <v>46233</v>
      </c>
      <c r="C2232" s="0" t="n">
        <v>22</v>
      </c>
      <c r="D2232" s="0" t="s">
        <v>2172</v>
      </c>
      <c r="E2232" s="0" t="n">
        <v>42</v>
      </c>
      <c r="F2232" s="0" t="s">
        <v>81</v>
      </c>
      <c r="I2232" s="0" t="n">
        <v>4442</v>
      </c>
      <c r="J2232" s="0" t="n">
        <v>100000</v>
      </c>
      <c r="K2232" s="0" t="n">
        <v>1</v>
      </c>
      <c r="L2232" s="0" t="s">
        <v>2173</v>
      </c>
      <c r="N2232" s="0" t="n">
        <v>1.936</v>
      </c>
      <c r="O2232" s="60" t="n">
        <v>42.15</v>
      </c>
    </row>
    <row r="2233" customFormat="false" ht="15" hidden="false" customHeight="false" outlineLevel="0" collapsed="false">
      <c r="A2233" s="0" t="n">
        <v>3</v>
      </c>
      <c r="B2233" s="59" t="n">
        <v>46233</v>
      </c>
      <c r="C2233" s="0" t="n">
        <v>22</v>
      </c>
      <c r="D2233" s="0" t="s">
        <v>2172</v>
      </c>
      <c r="E2233" s="0" t="n">
        <v>42</v>
      </c>
      <c r="F2233" s="0" t="s">
        <v>81</v>
      </c>
      <c r="I2233" s="0" t="n">
        <v>4442</v>
      </c>
      <c r="J2233" s="0" t="n">
        <v>100001</v>
      </c>
      <c r="K2233" s="0" t="n">
        <v>2</v>
      </c>
      <c r="L2233" s="0" t="s">
        <v>2174</v>
      </c>
      <c r="N2233" s="0" t="n">
        <v>16.385</v>
      </c>
      <c r="O2233" s="60" t="n">
        <v>381.31</v>
      </c>
    </row>
    <row r="2234" customFormat="false" ht="15" hidden="false" customHeight="false" outlineLevel="0" collapsed="false">
      <c r="A2234" s="0" t="n">
        <v>3</v>
      </c>
      <c r="B2234" s="59" t="n">
        <v>46233</v>
      </c>
      <c r="C2234" s="0" t="n">
        <v>22</v>
      </c>
      <c r="D2234" s="0" t="s">
        <v>2172</v>
      </c>
      <c r="E2234" s="0" t="n">
        <v>42</v>
      </c>
      <c r="F2234" s="0" t="s">
        <v>81</v>
      </c>
      <c r="I2234" s="0" t="n">
        <v>4442</v>
      </c>
      <c r="J2234" s="0" t="n">
        <v>100002</v>
      </c>
      <c r="K2234" s="0" t="n">
        <v>3</v>
      </c>
      <c r="L2234" s="0" t="s">
        <v>2175</v>
      </c>
      <c r="N2234" s="0" t="n">
        <v>31.305</v>
      </c>
      <c r="O2234" s="60" t="n">
        <v>752.03</v>
      </c>
    </row>
    <row r="2235" customFormat="false" ht="15" hidden="false" customHeight="false" outlineLevel="0" collapsed="false">
      <c r="A2235" s="0" t="n">
        <v>3</v>
      </c>
      <c r="B2235" s="59" t="n">
        <v>46233</v>
      </c>
      <c r="C2235" s="0" t="n">
        <v>22</v>
      </c>
      <c r="D2235" s="0" t="s">
        <v>2172</v>
      </c>
      <c r="E2235" s="0" t="n">
        <v>42</v>
      </c>
      <c r="F2235" s="0" t="s">
        <v>81</v>
      </c>
      <c r="I2235" s="0" t="n">
        <v>4442</v>
      </c>
      <c r="J2235" s="0" t="n">
        <v>100003</v>
      </c>
      <c r="K2235" s="0" t="n">
        <v>4</v>
      </c>
      <c r="L2235" s="0" t="s">
        <v>2176</v>
      </c>
      <c r="N2235" s="0" t="n">
        <v>26.196</v>
      </c>
      <c r="O2235" s="60" t="n">
        <v>688.32</v>
      </c>
    </row>
    <row r="2236" customFormat="false" ht="15" hidden="false" customHeight="false" outlineLevel="0" collapsed="false">
      <c r="A2236" s="0" t="n">
        <v>3</v>
      </c>
      <c r="B2236" s="59" t="n">
        <v>46233</v>
      </c>
      <c r="C2236" s="0" t="n">
        <v>22</v>
      </c>
      <c r="D2236" s="0" t="s">
        <v>2172</v>
      </c>
      <c r="E2236" s="0" t="n">
        <v>42</v>
      </c>
      <c r="F2236" s="0" t="s">
        <v>81</v>
      </c>
      <c r="I2236" s="0" t="n">
        <v>4442</v>
      </c>
      <c r="J2236" s="0" t="n">
        <v>100006</v>
      </c>
      <c r="K2236" s="0" t="n">
        <v>7</v>
      </c>
      <c r="L2236" s="0" t="s">
        <v>2228</v>
      </c>
      <c r="N2236" s="0" t="n">
        <v>6.314</v>
      </c>
      <c r="O2236" s="60" t="n">
        <v>202.88</v>
      </c>
    </row>
    <row r="2237" customFormat="false" ht="15" hidden="false" customHeight="false" outlineLevel="0" collapsed="false">
      <c r="A2237" s="0" t="n">
        <v>3</v>
      </c>
      <c r="B2237" s="59" t="n">
        <v>46233</v>
      </c>
      <c r="C2237" s="0" t="n">
        <v>22</v>
      </c>
      <c r="D2237" s="0" t="s">
        <v>2172</v>
      </c>
      <c r="E2237" s="0" t="n">
        <v>42</v>
      </c>
      <c r="F2237" s="0" t="s">
        <v>81</v>
      </c>
      <c r="I2237" s="0" t="n">
        <v>4442</v>
      </c>
      <c r="J2237" s="0" t="n">
        <v>100007</v>
      </c>
      <c r="K2237" s="0" t="n">
        <v>8</v>
      </c>
      <c r="L2237" s="0" t="s">
        <v>2177</v>
      </c>
      <c r="N2237" s="0" t="n">
        <v>9.635</v>
      </c>
      <c r="O2237" s="60" t="n">
        <v>245.93</v>
      </c>
    </row>
    <row r="2238" customFormat="false" ht="15" hidden="false" customHeight="false" outlineLevel="0" collapsed="false">
      <c r="A2238" s="0" t="n">
        <v>3</v>
      </c>
      <c r="B2238" s="59" t="n">
        <v>46233</v>
      </c>
      <c r="C2238" s="0" t="n">
        <v>22</v>
      </c>
      <c r="D2238" s="0" t="s">
        <v>2172</v>
      </c>
      <c r="E2238" s="0" t="n">
        <v>42</v>
      </c>
      <c r="F2238" s="0" t="s">
        <v>81</v>
      </c>
      <c r="I2238" s="0" t="n">
        <v>4442</v>
      </c>
      <c r="J2238" s="0" t="n">
        <v>100008</v>
      </c>
      <c r="K2238" s="0" t="n">
        <v>9</v>
      </c>
      <c r="L2238" s="0" t="s">
        <v>2229</v>
      </c>
      <c r="N2238" s="0" t="n">
        <v>13.011</v>
      </c>
      <c r="O2238" s="60" t="n">
        <v>428.52</v>
      </c>
    </row>
    <row r="2239" customFormat="false" ht="15" hidden="false" customHeight="false" outlineLevel="0" collapsed="false">
      <c r="A2239" s="0" t="n">
        <v>3</v>
      </c>
      <c r="B2239" s="59" t="n">
        <v>46233</v>
      </c>
      <c r="C2239" s="0" t="n">
        <v>22</v>
      </c>
      <c r="D2239" s="0" t="s">
        <v>2172</v>
      </c>
      <c r="E2239" s="0" t="n">
        <v>42</v>
      </c>
      <c r="F2239" s="0" t="s">
        <v>81</v>
      </c>
      <c r="I2239" s="0" t="n">
        <v>4442</v>
      </c>
      <c r="J2239" s="0" t="n">
        <v>100010</v>
      </c>
      <c r="K2239" s="0" t="n">
        <v>11</v>
      </c>
      <c r="L2239" s="0" t="s">
        <v>2230</v>
      </c>
      <c r="N2239" s="0" t="n">
        <v>2.538</v>
      </c>
      <c r="O2239" s="60" t="n">
        <v>95.83</v>
      </c>
    </row>
    <row r="2240" customFormat="false" ht="15" hidden="false" customHeight="false" outlineLevel="0" collapsed="false">
      <c r="A2240" s="0" t="n">
        <v>3</v>
      </c>
      <c r="B2240" s="59" t="n">
        <v>46233</v>
      </c>
      <c r="C2240" s="0" t="n">
        <v>22</v>
      </c>
      <c r="D2240" s="0" t="s">
        <v>2172</v>
      </c>
      <c r="E2240" s="0" t="n">
        <v>42</v>
      </c>
      <c r="F2240" s="0" t="s">
        <v>81</v>
      </c>
      <c r="I2240" s="0" t="n">
        <v>4442</v>
      </c>
      <c r="J2240" s="0" t="n">
        <v>100011</v>
      </c>
      <c r="K2240" s="0" t="n">
        <v>12</v>
      </c>
      <c r="L2240" s="0" t="s">
        <v>2231</v>
      </c>
      <c r="N2240" s="0" t="n">
        <v>5.184</v>
      </c>
      <c r="O2240" s="60" t="n">
        <v>195.73</v>
      </c>
    </row>
    <row r="2241" customFormat="false" ht="15" hidden="false" customHeight="false" outlineLevel="0" collapsed="false">
      <c r="A2241" s="0" t="n">
        <v>3</v>
      </c>
      <c r="B2241" s="59" t="n">
        <v>46233</v>
      </c>
      <c r="C2241" s="0" t="n">
        <v>22</v>
      </c>
      <c r="D2241" s="0" t="s">
        <v>2172</v>
      </c>
      <c r="E2241" s="0" t="n">
        <v>42</v>
      </c>
      <c r="F2241" s="0" t="s">
        <v>81</v>
      </c>
      <c r="I2241" s="0" t="n">
        <v>4442</v>
      </c>
      <c r="J2241" s="0" t="n">
        <v>100012</v>
      </c>
      <c r="K2241" s="0" t="n">
        <v>13</v>
      </c>
      <c r="L2241" s="0" t="s">
        <v>2232</v>
      </c>
      <c r="N2241" s="0" t="n">
        <v>4.734</v>
      </c>
      <c r="O2241" s="60" t="n">
        <v>193.95</v>
      </c>
    </row>
    <row r="2242" customFormat="false" ht="15" hidden="false" customHeight="false" outlineLevel="0" collapsed="false">
      <c r="A2242" s="0" t="n">
        <v>3</v>
      </c>
      <c r="B2242" s="59" t="n">
        <v>46233</v>
      </c>
      <c r="C2242" s="0" t="n">
        <v>22</v>
      </c>
      <c r="D2242" s="0" t="s">
        <v>2172</v>
      </c>
      <c r="E2242" s="0" t="n">
        <v>42</v>
      </c>
      <c r="F2242" s="0" t="s">
        <v>81</v>
      </c>
      <c r="I2242" s="0" t="n">
        <v>4442</v>
      </c>
      <c r="J2242" s="0" t="n">
        <v>100013</v>
      </c>
      <c r="K2242" s="0" t="n">
        <v>14</v>
      </c>
      <c r="L2242" s="0" t="s">
        <v>2233</v>
      </c>
      <c r="N2242" s="0" t="n">
        <v>9.075</v>
      </c>
      <c r="O2242" s="60" t="n">
        <v>400.97</v>
      </c>
    </row>
    <row r="2243" customFormat="false" ht="15" hidden="false" customHeight="false" outlineLevel="0" collapsed="false">
      <c r="A2243" s="0" t="n">
        <v>3</v>
      </c>
      <c r="B2243" s="59" t="n">
        <v>46233</v>
      </c>
      <c r="C2243" s="0" t="n">
        <v>22</v>
      </c>
      <c r="D2243" s="0" t="s">
        <v>2172</v>
      </c>
      <c r="E2243" s="0" t="n">
        <v>42</v>
      </c>
      <c r="F2243" s="0" t="s">
        <v>81</v>
      </c>
      <c r="I2243" s="0" t="n">
        <v>4442</v>
      </c>
      <c r="J2243" s="0" t="n">
        <v>100014</v>
      </c>
      <c r="K2243" s="0" t="n">
        <v>15</v>
      </c>
      <c r="L2243" s="0" t="s">
        <v>2234</v>
      </c>
      <c r="N2243" s="0" t="n">
        <v>3.362</v>
      </c>
      <c r="O2243" s="60" t="n">
        <v>151.25</v>
      </c>
    </row>
    <row r="2244" customFormat="false" ht="15" hidden="false" customHeight="false" outlineLevel="0" collapsed="false">
      <c r="A2244" s="0" t="n">
        <v>3</v>
      </c>
      <c r="B2244" s="59" t="n">
        <v>46233</v>
      </c>
      <c r="C2244" s="0" t="n">
        <v>22</v>
      </c>
      <c r="D2244" s="0" t="s">
        <v>2172</v>
      </c>
      <c r="E2244" s="0" t="n">
        <v>42</v>
      </c>
      <c r="F2244" s="0" t="s">
        <v>81</v>
      </c>
      <c r="I2244" s="0" t="n">
        <v>4442</v>
      </c>
      <c r="J2244" s="0" t="n">
        <v>100015</v>
      </c>
      <c r="K2244" s="0" t="n">
        <v>16</v>
      </c>
      <c r="L2244" s="0" t="s">
        <v>2235</v>
      </c>
      <c r="N2244" s="0" t="n">
        <v>1.654</v>
      </c>
      <c r="O2244" s="60" t="n">
        <v>67.77</v>
      </c>
    </row>
    <row r="2245" customFormat="false" ht="15" hidden="false" customHeight="false" outlineLevel="0" collapsed="false">
      <c r="A2245" s="0" t="n">
        <v>3</v>
      </c>
      <c r="B2245" s="59" t="n">
        <v>46233</v>
      </c>
      <c r="C2245" s="0" t="n">
        <v>22</v>
      </c>
      <c r="D2245" s="0" t="s">
        <v>2172</v>
      </c>
      <c r="E2245" s="0" t="n">
        <v>42</v>
      </c>
      <c r="F2245" s="0" t="s">
        <v>81</v>
      </c>
      <c r="I2245" s="0" t="n">
        <v>4442</v>
      </c>
      <c r="J2245" s="0" t="n">
        <v>100016</v>
      </c>
      <c r="K2245" s="0" t="n">
        <v>17</v>
      </c>
      <c r="L2245" s="0" t="s">
        <v>2236</v>
      </c>
      <c r="N2245" s="0" t="n">
        <v>1.308</v>
      </c>
      <c r="O2245" s="60" t="n">
        <v>57.79</v>
      </c>
    </row>
    <row r="2246" customFormat="false" ht="15" hidden="false" customHeight="false" outlineLevel="0" collapsed="false">
      <c r="A2246" s="0" t="n">
        <v>3</v>
      </c>
      <c r="B2246" s="59" t="n">
        <v>46233</v>
      </c>
      <c r="C2246" s="0" t="n">
        <v>22</v>
      </c>
      <c r="D2246" s="0" t="s">
        <v>2172</v>
      </c>
      <c r="E2246" s="0" t="n">
        <v>42</v>
      </c>
      <c r="F2246" s="0" t="s">
        <v>81</v>
      </c>
      <c r="I2246" s="0" t="n">
        <v>4442</v>
      </c>
      <c r="J2246" s="0" t="n">
        <v>100017</v>
      </c>
      <c r="K2246" s="0" t="n">
        <v>18</v>
      </c>
      <c r="L2246" s="0" t="s">
        <v>2237</v>
      </c>
      <c r="N2246" s="0" t="n">
        <v>1.444</v>
      </c>
      <c r="O2246" s="60" t="n">
        <v>75.41</v>
      </c>
    </row>
    <row r="2247" customFormat="false" ht="15" hidden="false" customHeight="false" outlineLevel="0" collapsed="false">
      <c r="A2247" s="0" t="n">
        <v>3</v>
      </c>
      <c r="B2247" s="59" t="n">
        <v>46233</v>
      </c>
      <c r="C2247" s="0" t="n">
        <v>22</v>
      </c>
      <c r="D2247" s="0" t="s">
        <v>2172</v>
      </c>
      <c r="E2247" s="0" t="n">
        <v>42</v>
      </c>
      <c r="F2247" s="0" t="s">
        <v>81</v>
      </c>
      <c r="I2247" s="0" t="n">
        <v>4442</v>
      </c>
      <c r="J2247" s="0" t="n">
        <v>100053</v>
      </c>
      <c r="K2247" s="0" t="n">
        <v>54</v>
      </c>
      <c r="L2247" s="0" t="s">
        <v>2238</v>
      </c>
      <c r="N2247" s="0" t="n">
        <v>1.6</v>
      </c>
      <c r="O2247" s="60" t="n">
        <v>57.84</v>
      </c>
    </row>
    <row r="2248" customFormat="false" ht="15" hidden="false" customHeight="false" outlineLevel="0" collapsed="false">
      <c r="A2248" s="0" t="n">
        <v>3</v>
      </c>
      <c r="B2248" s="59" t="n">
        <v>46233</v>
      </c>
      <c r="C2248" s="0" t="n">
        <v>22</v>
      </c>
      <c r="D2248" s="0" t="s">
        <v>2172</v>
      </c>
      <c r="E2248" s="0" t="n">
        <v>42</v>
      </c>
      <c r="F2248" s="0" t="s">
        <v>81</v>
      </c>
      <c r="I2248" s="0" t="n">
        <v>4442</v>
      </c>
      <c r="J2248" s="0" t="n">
        <v>100638</v>
      </c>
      <c r="K2248" s="0" t="n">
        <v>508</v>
      </c>
      <c r="L2248" s="0" t="s">
        <v>2178</v>
      </c>
      <c r="N2248" s="0" t="n">
        <v>2.132</v>
      </c>
      <c r="O2248" s="60" t="n">
        <v>3.41</v>
      </c>
    </row>
    <row r="2249" customFormat="false" ht="15" hidden="false" customHeight="false" outlineLevel="0" collapsed="false">
      <c r="A2249" s="0" t="n">
        <v>3</v>
      </c>
      <c r="B2249" s="59" t="n">
        <v>46233</v>
      </c>
      <c r="C2249" s="0" t="n">
        <v>22</v>
      </c>
      <c r="D2249" s="0" t="s">
        <v>2172</v>
      </c>
      <c r="E2249" s="0" t="n">
        <v>42</v>
      </c>
      <c r="F2249" s="0" t="s">
        <v>81</v>
      </c>
      <c r="I2249" s="0" t="n">
        <v>4442</v>
      </c>
      <c r="J2249" s="0" t="n">
        <v>100638</v>
      </c>
      <c r="K2249" s="0" t="n">
        <v>508</v>
      </c>
      <c r="L2249" s="0" t="s">
        <v>2178</v>
      </c>
      <c r="N2249" s="0" t="n">
        <v>3.726</v>
      </c>
      <c r="O2249" s="60" t="n">
        <v>5.57</v>
      </c>
    </row>
    <row r="2250" customFormat="false" ht="15" hidden="false" customHeight="false" outlineLevel="0" collapsed="false">
      <c r="A2250" s="0" t="n">
        <v>3</v>
      </c>
      <c r="B2250" s="59" t="n">
        <v>46233</v>
      </c>
      <c r="C2250" s="0" t="n">
        <v>22</v>
      </c>
      <c r="D2250" s="0" t="s">
        <v>2172</v>
      </c>
      <c r="E2250" s="0" t="n">
        <v>42</v>
      </c>
      <c r="F2250" s="0" t="s">
        <v>81</v>
      </c>
      <c r="I2250" s="0" t="n">
        <v>4442</v>
      </c>
      <c r="J2250" s="0" t="n">
        <v>100520</v>
      </c>
      <c r="K2250" s="0" t="n">
        <v>507</v>
      </c>
      <c r="L2250" s="0" t="s">
        <v>2179</v>
      </c>
      <c r="N2250" s="0" t="n">
        <v>8.594</v>
      </c>
      <c r="O2250" s="60" t="n">
        <v>20.65</v>
      </c>
    </row>
    <row r="2251" customFormat="false" ht="15" hidden="false" customHeight="false" outlineLevel="0" collapsed="false">
      <c r="A2251" s="0" t="n">
        <v>3</v>
      </c>
      <c r="B2251" s="59" t="n">
        <v>46233</v>
      </c>
      <c r="C2251" s="0" t="n">
        <v>22</v>
      </c>
      <c r="D2251" s="0" t="s">
        <v>2172</v>
      </c>
      <c r="E2251" s="0" t="n">
        <v>42</v>
      </c>
      <c r="F2251" s="0" t="s">
        <v>81</v>
      </c>
      <c r="I2251" s="0" t="n">
        <v>4442</v>
      </c>
      <c r="J2251" s="0" t="n">
        <v>100520</v>
      </c>
      <c r="K2251" s="0" t="n">
        <v>507</v>
      </c>
      <c r="L2251" s="0" t="s">
        <v>2179</v>
      </c>
      <c r="N2251" s="0" t="n">
        <v>6.366</v>
      </c>
      <c r="O2251" s="60" t="n">
        <v>14.29</v>
      </c>
    </row>
    <row r="2252" customFormat="false" ht="15" hidden="false" customHeight="false" outlineLevel="0" collapsed="false">
      <c r="A2252" s="0" t="n">
        <v>3</v>
      </c>
      <c r="B2252" s="59" t="n">
        <v>46233</v>
      </c>
      <c r="C2252" s="0" t="n">
        <v>22</v>
      </c>
      <c r="D2252" s="0" t="s">
        <v>2172</v>
      </c>
      <c r="E2252" s="0" t="n">
        <v>42</v>
      </c>
      <c r="F2252" s="0" t="s">
        <v>81</v>
      </c>
      <c r="I2252" s="0" t="n">
        <v>4442</v>
      </c>
      <c r="J2252" s="0" t="n">
        <v>110455</v>
      </c>
      <c r="K2252" s="0" t="n">
        <v>53212</v>
      </c>
      <c r="L2252" s="0" t="s">
        <v>2180</v>
      </c>
      <c r="N2252" s="0" t="n">
        <v>1.251</v>
      </c>
      <c r="O2252" s="60" t="n">
        <v>0</v>
      </c>
    </row>
    <row r="2253" customFormat="false" ht="15" hidden="false" customHeight="false" outlineLevel="0" collapsed="false">
      <c r="A2253" s="0" t="n">
        <v>3</v>
      </c>
      <c r="B2253" s="59" t="n">
        <v>46233</v>
      </c>
      <c r="C2253" s="0" t="n">
        <v>22</v>
      </c>
      <c r="D2253" s="0" t="s">
        <v>2172</v>
      </c>
      <c r="E2253" s="0" t="n">
        <v>42</v>
      </c>
      <c r="F2253" s="0" t="s">
        <v>81</v>
      </c>
      <c r="I2253" s="0" t="n">
        <v>4442</v>
      </c>
      <c r="J2253" s="0" t="n">
        <v>110455</v>
      </c>
      <c r="K2253" s="0" t="n">
        <v>53212</v>
      </c>
      <c r="L2253" s="0" t="s">
        <v>2180</v>
      </c>
      <c r="N2253" s="0" t="n">
        <v>0.05</v>
      </c>
      <c r="O2253" s="60" t="n">
        <v>0</v>
      </c>
    </row>
    <row r="2254" customFormat="false" ht="15" hidden="false" customHeight="false" outlineLevel="0" collapsed="false">
      <c r="A2254" s="0" t="n">
        <v>3</v>
      </c>
      <c r="B2254" s="59" t="n">
        <v>46233</v>
      </c>
      <c r="C2254" s="0" t="n">
        <v>22</v>
      </c>
      <c r="D2254" s="0" t="s">
        <v>2172</v>
      </c>
      <c r="E2254" s="0" t="n">
        <v>42</v>
      </c>
      <c r="F2254" s="0" t="s">
        <v>81</v>
      </c>
      <c r="I2254" s="0" t="n">
        <v>4444</v>
      </c>
      <c r="J2254" s="0" t="n">
        <v>100000</v>
      </c>
      <c r="K2254" s="0" t="n">
        <v>1</v>
      </c>
      <c r="L2254" s="0" t="s">
        <v>2173</v>
      </c>
      <c r="N2254" s="0" t="n">
        <v>2.546</v>
      </c>
      <c r="O2254" s="60" t="n">
        <v>55.98</v>
      </c>
    </row>
    <row r="2255" customFormat="false" ht="15" hidden="false" customHeight="false" outlineLevel="0" collapsed="false">
      <c r="A2255" s="0" t="n">
        <v>3</v>
      </c>
      <c r="B2255" s="59" t="n">
        <v>46233</v>
      </c>
      <c r="C2255" s="0" t="n">
        <v>22</v>
      </c>
      <c r="D2255" s="0" t="s">
        <v>2172</v>
      </c>
      <c r="E2255" s="0" t="n">
        <v>42</v>
      </c>
      <c r="F2255" s="0" t="s">
        <v>81</v>
      </c>
      <c r="I2255" s="0" t="n">
        <v>4444</v>
      </c>
      <c r="J2255" s="0" t="n">
        <v>100000</v>
      </c>
      <c r="K2255" s="0" t="n">
        <v>1</v>
      </c>
      <c r="L2255" s="0" t="s">
        <v>2173</v>
      </c>
      <c r="N2255" s="0" t="n">
        <v>2.626</v>
      </c>
      <c r="O2255" s="60" t="n">
        <v>63.4</v>
      </c>
    </row>
    <row r="2256" customFormat="false" ht="15" hidden="false" customHeight="false" outlineLevel="0" collapsed="false">
      <c r="A2256" s="0" t="n">
        <v>3</v>
      </c>
      <c r="B2256" s="59" t="n">
        <v>46233</v>
      </c>
      <c r="C2256" s="0" t="n">
        <v>22</v>
      </c>
      <c r="D2256" s="0" t="s">
        <v>2172</v>
      </c>
      <c r="E2256" s="0" t="n">
        <v>42</v>
      </c>
      <c r="F2256" s="0" t="s">
        <v>81</v>
      </c>
      <c r="I2256" s="0" t="n">
        <v>4444</v>
      </c>
      <c r="J2256" s="0" t="n">
        <v>100001</v>
      </c>
      <c r="K2256" s="0" t="n">
        <v>2</v>
      </c>
      <c r="L2256" s="0" t="s">
        <v>2174</v>
      </c>
      <c r="N2256" s="0" t="n">
        <v>10.225</v>
      </c>
      <c r="O2256" s="60" t="n">
        <v>240.35</v>
      </c>
    </row>
    <row r="2257" customFormat="false" ht="15" hidden="false" customHeight="false" outlineLevel="0" collapsed="false">
      <c r="A2257" s="0" t="n">
        <v>3</v>
      </c>
      <c r="B2257" s="59" t="n">
        <v>46233</v>
      </c>
      <c r="C2257" s="0" t="n">
        <v>22</v>
      </c>
      <c r="D2257" s="0" t="s">
        <v>2172</v>
      </c>
      <c r="E2257" s="0" t="n">
        <v>42</v>
      </c>
      <c r="F2257" s="0" t="s">
        <v>81</v>
      </c>
      <c r="I2257" s="0" t="n">
        <v>4444</v>
      </c>
      <c r="J2257" s="0" t="n">
        <v>100002</v>
      </c>
      <c r="K2257" s="0" t="n">
        <v>3</v>
      </c>
      <c r="L2257" s="0" t="s">
        <v>2175</v>
      </c>
      <c r="N2257" s="0" t="n">
        <v>16.145</v>
      </c>
      <c r="O2257" s="60" t="n">
        <v>391.75</v>
      </c>
    </row>
    <row r="2258" customFormat="false" ht="15" hidden="false" customHeight="false" outlineLevel="0" collapsed="false">
      <c r="A2258" s="0" t="n">
        <v>3</v>
      </c>
      <c r="B2258" s="59" t="n">
        <v>46233</v>
      </c>
      <c r="C2258" s="0" t="n">
        <v>22</v>
      </c>
      <c r="D2258" s="0" t="s">
        <v>2172</v>
      </c>
      <c r="E2258" s="0" t="n">
        <v>42</v>
      </c>
      <c r="F2258" s="0" t="s">
        <v>81</v>
      </c>
      <c r="I2258" s="0" t="n">
        <v>4444</v>
      </c>
      <c r="J2258" s="0" t="n">
        <v>100003</v>
      </c>
      <c r="K2258" s="0" t="n">
        <v>4</v>
      </c>
      <c r="L2258" s="0" t="s">
        <v>2176</v>
      </c>
      <c r="N2258" s="0" t="n">
        <v>15.489</v>
      </c>
      <c r="O2258" s="60" t="n">
        <v>411.08</v>
      </c>
    </row>
    <row r="2259" customFormat="false" ht="15" hidden="false" customHeight="false" outlineLevel="0" collapsed="false">
      <c r="A2259" s="0" t="n">
        <v>3</v>
      </c>
      <c r="B2259" s="59" t="n">
        <v>46233</v>
      </c>
      <c r="C2259" s="0" t="n">
        <v>22</v>
      </c>
      <c r="D2259" s="0" t="s">
        <v>2172</v>
      </c>
      <c r="E2259" s="0" t="n">
        <v>42</v>
      </c>
      <c r="F2259" s="0" t="s">
        <v>81</v>
      </c>
      <c r="I2259" s="0" t="n">
        <v>4444</v>
      </c>
      <c r="J2259" s="0" t="n">
        <v>100004</v>
      </c>
      <c r="K2259" s="0" t="n">
        <v>5</v>
      </c>
      <c r="L2259" s="0" t="s">
        <v>2411</v>
      </c>
      <c r="N2259" s="0" t="n">
        <v>28.138</v>
      </c>
      <c r="O2259" s="60" t="n">
        <v>558.96</v>
      </c>
    </row>
    <row r="2260" customFormat="false" ht="15" hidden="false" customHeight="false" outlineLevel="0" collapsed="false">
      <c r="A2260" s="0" t="n">
        <v>3</v>
      </c>
      <c r="B2260" s="59" t="n">
        <v>46233</v>
      </c>
      <c r="C2260" s="0" t="n">
        <v>22</v>
      </c>
      <c r="D2260" s="0" t="s">
        <v>2172</v>
      </c>
      <c r="E2260" s="0" t="n">
        <v>42</v>
      </c>
      <c r="F2260" s="0" t="s">
        <v>81</v>
      </c>
      <c r="I2260" s="0" t="n">
        <v>4444</v>
      </c>
      <c r="J2260" s="0" t="n">
        <v>100006</v>
      </c>
      <c r="K2260" s="0" t="n">
        <v>7</v>
      </c>
      <c r="L2260" s="0" t="s">
        <v>2228</v>
      </c>
      <c r="N2260" s="0" t="n">
        <v>6.952</v>
      </c>
      <c r="O2260" s="60" t="n">
        <v>231.52</v>
      </c>
    </row>
    <row r="2261" customFormat="false" ht="15" hidden="false" customHeight="false" outlineLevel="0" collapsed="false">
      <c r="A2261" s="0" t="n">
        <v>3</v>
      </c>
      <c r="B2261" s="59" t="n">
        <v>46233</v>
      </c>
      <c r="C2261" s="0" t="n">
        <v>22</v>
      </c>
      <c r="D2261" s="0" t="s">
        <v>2172</v>
      </c>
      <c r="E2261" s="0" t="n">
        <v>42</v>
      </c>
      <c r="F2261" s="0" t="s">
        <v>81</v>
      </c>
      <c r="I2261" s="0" t="n">
        <v>4444</v>
      </c>
      <c r="J2261" s="0" t="n">
        <v>100007</v>
      </c>
      <c r="K2261" s="0" t="n">
        <v>8</v>
      </c>
      <c r="L2261" s="0" t="s">
        <v>2177</v>
      </c>
      <c r="N2261" s="0" t="n">
        <v>5.614</v>
      </c>
      <c r="O2261" s="60" t="n">
        <v>144.74</v>
      </c>
    </row>
    <row r="2262" customFormat="false" ht="15" hidden="false" customHeight="false" outlineLevel="0" collapsed="false">
      <c r="A2262" s="0" t="n">
        <v>3</v>
      </c>
      <c r="B2262" s="59" t="n">
        <v>46233</v>
      </c>
      <c r="C2262" s="0" t="n">
        <v>22</v>
      </c>
      <c r="D2262" s="0" t="s">
        <v>2172</v>
      </c>
      <c r="E2262" s="0" t="n">
        <v>42</v>
      </c>
      <c r="F2262" s="0" t="s">
        <v>81</v>
      </c>
      <c r="I2262" s="0" t="n">
        <v>4444</v>
      </c>
      <c r="J2262" s="0" t="n">
        <v>100008</v>
      </c>
      <c r="K2262" s="0" t="n">
        <v>9</v>
      </c>
      <c r="L2262" s="0" t="s">
        <v>2229</v>
      </c>
      <c r="N2262" s="0" t="n">
        <v>27.11</v>
      </c>
      <c r="O2262" s="60" t="n">
        <v>925.43</v>
      </c>
    </row>
    <row r="2263" customFormat="false" ht="15" hidden="false" customHeight="false" outlineLevel="0" collapsed="false">
      <c r="A2263" s="0" t="n">
        <v>3</v>
      </c>
      <c r="B2263" s="59" t="n">
        <v>46233</v>
      </c>
      <c r="C2263" s="0" t="n">
        <v>22</v>
      </c>
      <c r="D2263" s="0" t="s">
        <v>2172</v>
      </c>
      <c r="E2263" s="0" t="n">
        <v>42</v>
      </c>
      <c r="F2263" s="0" t="s">
        <v>81</v>
      </c>
      <c r="I2263" s="0" t="n">
        <v>4444</v>
      </c>
      <c r="J2263" s="0" t="n">
        <v>100010</v>
      </c>
      <c r="K2263" s="0" t="n">
        <v>11</v>
      </c>
      <c r="L2263" s="0" t="s">
        <v>2230</v>
      </c>
      <c r="N2263" s="0" t="n">
        <v>4.752</v>
      </c>
      <c r="O2263" s="60" t="n">
        <v>185.96</v>
      </c>
    </row>
    <row r="2264" customFormat="false" ht="15" hidden="false" customHeight="false" outlineLevel="0" collapsed="false">
      <c r="A2264" s="0" t="n">
        <v>3</v>
      </c>
      <c r="B2264" s="59" t="n">
        <v>46233</v>
      </c>
      <c r="C2264" s="0" t="n">
        <v>22</v>
      </c>
      <c r="D2264" s="0" t="s">
        <v>2172</v>
      </c>
      <c r="E2264" s="0" t="n">
        <v>42</v>
      </c>
      <c r="F2264" s="0" t="s">
        <v>81</v>
      </c>
      <c r="I2264" s="0" t="n">
        <v>4444</v>
      </c>
      <c r="J2264" s="0" t="n">
        <v>100011</v>
      </c>
      <c r="K2264" s="0" t="n">
        <v>12</v>
      </c>
      <c r="L2264" s="0" t="s">
        <v>2231</v>
      </c>
      <c r="N2264" s="0" t="n">
        <v>10.304</v>
      </c>
      <c r="O2264" s="60" t="n">
        <v>403.22</v>
      </c>
    </row>
    <row r="2265" customFormat="false" ht="15" hidden="false" customHeight="false" outlineLevel="0" collapsed="false">
      <c r="A2265" s="0" t="n">
        <v>3</v>
      </c>
      <c r="B2265" s="59" t="n">
        <v>46233</v>
      </c>
      <c r="C2265" s="0" t="n">
        <v>22</v>
      </c>
      <c r="D2265" s="0" t="s">
        <v>2172</v>
      </c>
      <c r="E2265" s="0" t="n">
        <v>42</v>
      </c>
      <c r="F2265" s="0" t="s">
        <v>81</v>
      </c>
      <c r="I2265" s="0" t="n">
        <v>4444</v>
      </c>
      <c r="J2265" s="0" t="n">
        <v>100012</v>
      </c>
      <c r="K2265" s="0" t="n">
        <v>13</v>
      </c>
      <c r="L2265" s="0" t="s">
        <v>2232</v>
      </c>
      <c r="N2265" s="0" t="n">
        <v>10.37</v>
      </c>
      <c r="O2265" s="60" t="n">
        <v>440.35</v>
      </c>
    </row>
    <row r="2266" customFormat="false" ht="15" hidden="false" customHeight="false" outlineLevel="0" collapsed="false">
      <c r="A2266" s="0" t="n">
        <v>3</v>
      </c>
      <c r="B2266" s="59" t="n">
        <v>46233</v>
      </c>
      <c r="C2266" s="0" t="n">
        <v>22</v>
      </c>
      <c r="D2266" s="0" t="s">
        <v>2172</v>
      </c>
      <c r="E2266" s="0" t="n">
        <v>42</v>
      </c>
      <c r="F2266" s="0" t="s">
        <v>81</v>
      </c>
      <c r="I2266" s="0" t="n">
        <v>4444</v>
      </c>
      <c r="J2266" s="0" t="n">
        <v>100013</v>
      </c>
      <c r="K2266" s="0" t="n">
        <v>14</v>
      </c>
      <c r="L2266" s="0" t="s">
        <v>2233</v>
      </c>
      <c r="N2266" s="0" t="n">
        <v>18.406</v>
      </c>
      <c r="O2266" s="60" t="n">
        <v>842.9</v>
      </c>
    </row>
    <row r="2267" customFormat="false" ht="15" hidden="false" customHeight="false" outlineLevel="0" collapsed="false">
      <c r="A2267" s="0" t="n">
        <v>3</v>
      </c>
      <c r="B2267" s="59" t="n">
        <v>46233</v>
      </c>
      <c r="C2267" s="0" t="n">
        <v>22</v>
      </c>
      <c r="D2267" s="0" t="s">
        <v>2172</v>
      </c>
      <c r="E2267" s="0" t="n">
        <v>42</v>
      </c>
      <c r="F2267" s="0" t="s">
        <v>81</v>
      </c>
      <c r="I2267" s="0" t="n">
        <v>4444</v>
      </c>
      <c r="J2267" s="0" t="n">
        <v>100014</v>
      </c>
      <c r="K2267" s="0" t="n">
        <v>15</v>
      </c>
      <c r="L2267" s="0" t="s">
        <v>2234</v>
      </c>
      <c r="N2267" s="0" t="n">
        <v>8.474</v>
      </c>
      <c r="O2267" s="60" t="n">
        <v>395.12</v>
      </c>
    </row>
    <row r="2268" customFormat="false" ht="15" hidden="false" customHeight="false" outlineLevel="0" collapsed="false">
      <c r="A2268" s="0" t="n">
        <v>3</v>
      </c>
      <c r="B2268" s="59" t="n">
        <v>46233</v>
      </c>
      <c r="C2268" s="0" t="n">
        <v>22</v>
      </c>
      <c r="D2268" s="0" t="s">
        <v>2172</v>
      </c>
      <c r="E2268" s="0" t="n">
        <v>42</v>
      </c>
      <c r="F2268" s="0" t="s">
        <v>81</v>
      </c>
      <c r="I2268" s="0" t="n">
        <v>4444</v>
      </c>
      <c r="J2268" s="0" t="n">
        <v>100015</v>
      </c>
      <c r="K2268" s="0" t="n">
        <v>16</v>
      </c>
      <c r="L2268" s="0" t="s">
        <v>2235</v>
      </c>
      <c r="N2268" s="0" t="n">
        <v>2.708</v>
      </c>
      <c r="O2268" s="60" t="n">
        <v>114.99</v>
      </c>
    </row>
    <row r="2269" customFormat="false" ht="15" hidden="false" customHeight="false" outlineLevel="0" collapsed="false">
      <c r="A2269" s="0" t="n">
        <v>3</v>
      </c>
      <c r="B2269" s="59" t="n">
        <v>46233</v>
      </c>
      <c r="C2269" s="0" t="n">
        <v>22</v>
      </c>
      <c r="D2269" s="0" t="s">
        <v>2172</v>
      </c>
      <c r="E2269" s="0" t="n">
        <v>42</v>
      </c>
      <c r="F2269" s="0" t="s">
        <v>81</v>
      </c>
      <c r="I2269" s="0" t="n">
        <v>4444</v>
      </c>
      <c r="J2269" s="0" t="n">
        <v>100016</v>
      </c>
      <c r="K2269" s="0" t="n">
        <v>17</v>
      </c>
      <c r="L2269" s="0" t="s">
        <v>2236</v>
      </c>
      <c r="N2269" s="0" t="n">
        <v>3.242</v>
      </c>
      <c r="O2269" s="60" t="n">
        <v>148.47</v>
      </c>
    </row>
    <row r="2270" customFormat="false" ht="15" hidden="false" customHeight="false" outlineLevel="0" collapsed="false">
      <c r="A2270" s="0" t="n">
        <v>3</v>
      </c>
      <c r="B2270" s="59" t="n">
        <v>46233</v>
      </c>
      <c r="C2270" s="0" t="n">
        <v>22</v>
      </c>
      <c r="D2270" s="0" t="s">
        <v>2172</v>
      </c>
      <c r="E2270" s="0" t="n">
        <v>42</v>
      </c>
      <c r="F2270" s="0" t="s">
        <v>81</v>
      </c>
      <c r="I2270" s="0" t="n">
        <v>4444</v>
      </c>
      <c r="J2270" s="0" t="n">
        <v>100017</v>
      </c>
      <c r="K2270" s="0" t="n">
        <v>18</v>
      </c>
      <c r="L2270" s="0" t="s">
        <v>2237</v>
      </c>
      <c r="N2270" s="0" t="n">
        <v>3.444</v>
      </c>
      <c r="O2270" s="60" t="n">
        <v>186.4</v>
      </c>
    </row>
    <row r="2271" customFormat="false" ht="15" hidden="false" customHeight="false" outlineLevel="0" collapsed="false">
      <c r="A2271" s="0" t="n">
        <v>3</v>
      </c>
      <c r="B2271" s="59" t="n">
        <v>46233</v>
      </c>
      <c r="C2271" s="0" t="n">
        <v>22</v>
      </c>
      <c r="D2271" s="0" t="s">
        <v>2172</v>
      </c>
      <c r="E2271" s="0" t="n">
        <v>42</v>
      </c>
      <c r="F2271" s="0" t="s">
        <v>81</v>
      </c>
      <c r="I2271" s="0" t="n">
        <v>4444</v>
      </c>
      <c r="J2271" s="0" t="n">
        <v>100019</v>
      </c>
      <c r="K2271" s="0" t="n">
        <v>20</v>
      </c>
      <c r="L2271" s="0" t="s">
        <v>2795</v>
      </c>
      <c r="N2271" s="0" t="n">
        <v>4.816</v>
      </c>
      <c r="O2271" s="60" t="n">
        <v>172.42</v>
      </c>
    </row>
    <row r="2272" customFormat="false" ht="15" hidden="false" customHeight="false" outlineLevel="0" collapsed="false">
      <c r="A2272" s="0" t="n">
        <v>3</v>
      </c>
      <c r="B2272" s="59" t="n">
        <v>46233</v>
      </c>
      <c r="C2272" s="0" t="n">
        <v>22</v>
      </c>
      <c r="D2272" s="0" t="s">
        <v>2172</v>
      </c>
      <c r="E2272" s="0" t="n">
        <v>42</v>
      </c>
      <c r="F2272" s="0" t="s">
        <v>81</v>
      </c>
      <c r="I2272" s="0" t="n">
        <v>4444</v>
      </c>
      <c r="J2272" s="0" t="n">
        <v>100020</v>
      </c>
      <c r="K2272" s="0" t="n">
        <v>21</v>
      </c>
      <c r="L2272" s="0" t="s">
        <v>2337</v>
      </c>
      <c r="N2272" s="0" t="n">
        <v>3.952</v>
      </c>
      <c r="O2272" s="60" t="n">
        <v>139.98</v>
      </c>
    </row>
    <row r="2273" customFormat="false" ht="15" hidden="false" customHeight="false" outlineLevel="0" collapsed="false">
      <c r="A2273" s="0" t="n">
        <v>3</v>
      </c>
      <c r="B2273" s="59" t="n">
        <v>46233</v>
      </c>
      <c r="C2273" s="0" t="n">
        <v>22</v>
      </c>
      <c r="D2273" s="0" t="s">
        <v>2172</v>
      </c>
      <c r="E2273" s="0" t="n">
        <v>42</v>
      </c>
      <c r="F2273" s="0" t="s">
        <v>81</v>
      </c>
      <c r="I2273" s="0" t="n">
        <v>4444</v>
      </c>
      <c r="J2273" s="0" t="n">
        <v>100053</v>
      </c>
      <c r="K2273" s="0" t="n">
        <v>54</v>
      </c>
      <c r="L2273" s="0" t="s">
        <v>2238</v>
      </c>
      <c r="N2273" s="0" t="n">
        <v>3.799</v>
      </c>
      <c r="O2273" s="60" t="n">
        <v>142.34</v>
      </c>
    </row>
    <row r="2274" customFormat="false" ht="15" hidden="false" customHeight="false" outlineLevel="0" collapsed="false">
      <c r="A2274" s="0" t="n">
        <v>3</v>
      </c>
      <c r="B2274" s="59" t="n">
        <v>46233</v>
      </c>
      <c r="C2274" s="0" t="n">
        <v>22</v>
      </c>
      <c r="D2274" s="0" t="s">
        <v>2172</v>
      </c>
      <c r="E2274" s="0" t="n">
        <v>42</v>
      </c>
      <c r="F2274" s="0" t="s">
        <v>81</v>
      </c>
      <c r="I2274" s="0" t="n">
        <v>4444</v>
      </c>
      <c r="J2274" s="0" t="n">
        <v>100638</v>
      </c>
      <c r="K2274" s="0" t="n">
        <v>508</v>
      </c>
      <c r="L2274" s="0" t="s">
        <v>2178</v>
      </c>
      <c r="N2274" s="0" t="n">
        <v>3.681</v>
      </c>
      <c r="O2274" s="60" t="n">
        <v>6.1</v>
      </c>
    </row>
    <row r="2275" customFormat="false" ht="15" hidden="false" customHeight="false" outlineLevel="0" collapsed="false">
      <c r="A2275" s="0" t="n">
        <v>3</v>
      </c>
      <c r="B2275" s="59" t="n">
        <v>46233</v>
      </c>
      <c r="C2275" s="0" t="n">
        <v>22</v>
      </c>
      <c r="D2275" s="0" t="s">
        <v>2172</v>
      </c>
      <c r="E2275" s="0" t="n">
        <v>42</v>
      </c>
      <c r="F2275" s="0" t="s">
        <v>81</v>
      </c>
      <c r="I2275" s="0" t="n">
        <v>4444</v>
      </c>
      <c r="J2275" s="0" t="n">
        <v>100638</v>
      </c>
      <c r="K2275" s="0" t="n">
        <v>508</v>
      </c>
      <c r="L2275" s="0" t="s">
        <v>2178</v>
      </c>
      <c r="N2275" s="0" t="n">
        <v>1.812</v>
      </c>
      <c r="O2275" s="60" t="n">
        <v>2.74</v>
      </c>
    </row>
    <row r="2276" customFormat="false" ht="15" hidden="false" customHeight="false" outlineLevel="0" collapsed="false">
      <c r="A2276" s="0" t="n">
        <v>3</v>
      </c>
      <c r="B2276" s="59" t="n">
        <v>46233</v>
      </c>
      <c r="C2276" s="0" t="n">
        <v>22</v>
      </c>
      <c r="D2276" s="0" t="s">
        <v>2172</v>
      </c>
      <c r="E2276" s="0" t="n">
        <v>42</v>
      </c>
      <c r="F2276" s="0" t="s">
        <v>81</v>
      </c>
      <c r="I2276" s="0" t="n">
        <v>4444</v>
      </c>
      <c r="J2276" s="0" t="n">
        <v>100638</v>
      </c>
      <c r="K2276" s="0" t="n">
        <v>508</v>
      </c>
      <c r="L2276" s="0" t="s">
        <v>2178</v>
      </c>
      <c r="N2276" s="0" t="n">
        <v>1.262</v>
      </c>
      <c r="O2276" s="60" t="n">
        <v>2.17</v>
      </c>
    </row>
    <row r="2277" customFormat="false" ht="15" hidden="false" customHeight="false" outlineLevel="0" collapsed="false">
      <c r="A2277" s="0" t="n">
        <v>3</v>
      </c>
      <c r="B2277" s="59" t="n">
        <v>46233</v>
      </c>
      <c r="C2277" s="0" t="n">
        <v>22</v>
      </c>
      <c r="D2277" s="0" t="s">
        <v>2172</v>
      </c>
      <c r="E2277" s="0" t="n">
        <v>42</v>
      </c>
      <c r="F2277" s="0" t="s">
        <v>81</v>
      </c>
      <c r="I2277" s="0" t="n">
        <v>4444</v>
      </c>
      <c r="J2277" s="0" t="n">
        <v>100520</v>
      </c>
      <c r="K2277" s="0" t="n">
        <v>507</v>
      </c>
      <c r="L2277" s="0" t="s">
        <v>2179</v>
      </c>
      <c r="N2277" s="0" t="n">
        <v>22.078</v>
      </c>
      <c r="O2277" s="60" t="n">
        <v>54.98</v>
      </c>
    </row>
    <row r="2278" customFormat="false" ht="15" hidden="false" customHeight="false" outlineLevel="0" collapsed="false">
      <c r="A2278" s="0" t="n">
        <v>3</v>
      </c>
      <c r="B2278" s="59" t="n">
        <v>46233</v>
      </c>
      <c r="C2278" s="0" t="n">
        <v>22</v>
      </c>
      <c r="D2278" s="0" t="s">
        <v>2172</v>
      </c>
      <c r="E2278" s="0" t="n">
        <v>42</v>
      </c>
      <c r="F2278" s="0" t="s">
        <v>81</v>
      </c>
      <c r="I2278" s="0" t="n">
        <v>4444</v>
      </c>
      <c r="J2278" s="0" t="n">
        <v>100520</v>
      </c>
      <c r="K2278" s="0" t="n">
        <v>507</v>
      </c>
      <c r="L2278" s="0" t="s">
        <v>2179</v>
      </c>
      <c r="N2278" s="0" t="n">
        <v>3.906</v>
      </c>
      <c r="O2278" s="60" t="n">
        <v>8.86</v>
      </c>
    </row>
    <row r="2279" customFormat="false" ht="15" hidden="false" customHeight="false" outlineLevel="0" collapsed="false">
      <c r="A2279" s="0" t="n">
        <v>3</v>
      </c>
      <c r="B2279" s="59" t="n">
        <v>46233</v>
      </c>
      <c r="C2279" s="0" t="n">
        <v>22</v>
      </c>
      <c r="D2279" s="0" t="s">
        <v>2172</v>
      </c>
      <c r="E2279" s="0" t="n">
        <v>42</v>
      </c>
      <c r="F2279" s="0" t="s">
        <v>81</v>
      </c>
      <c r="I2279" s="0" t="n">
        <v>4444</v>
      </c>
      <c r="J2279" s="0" t="n">
        <v>110455</v>
      </c>
      <c r="K2279" s="0" t="n">
        <v>53212</v>
      </c>
      <c r="L2279" s="0" t="s">
        <v>2180</v>
      </c>
      <c r="N2279" s="0" t="n">
        <v>0.848</v>
      </c>
      <c r="O2279" s="60" t="n">
        <v>0</v>
      </c>
    </row>
    <row r="2280" customFormat="false" ht="15" hidden="false" customHeight="false" outlineLevel="0" collapsed="false">
      <c r="A2280" s="0" t="n">
        <v>3</v>
      </c>
      <c r="B2280" s="59" t="n">
        <v>46233</v>
      </c>
      <c r="C2280" s="0" t="n">
        <v>22</v>
      </c>
      <c r="D2280" s="0" t="s">
        <v>2172</v>
      </c>
      <c r="E2280" s="0" t="n">
        <v>42</v>
      </c>
      <c r="F2280" s="0" t="s">
        <v>81</v>
      </c>
      <c r="I2280" s="0" t="n">
        <v>4444</v>
      </c>
      <c r="J2280" s="0" t="n">
        <v>110455</v>
      </c>
      <c r="K2280" s="0" t="n">
        <v>53212</v>
      </c>
      <c r="L2280" s="0" t="s">
        <v>2180</v>
      </c>
      <c r="N2280" s="0" t="n">
        <v>2.038</v>
      </c>
      <c r="O2280" s="60" t="n">
        <v>0</v>
      </c>
    </row>
    <row r="2281" customFormat="false" ht="15" hidden="false" customHeight="false" outlineLevel="0" collapsed="false">
      <c r="A2281" s="0" t="n">
        <v>3</v>
      </c>
      <c r="B2281" s="59" t="n">
        <v>46233</v>
      </c>
      <c r="C2281" s="0" t="n">
        <v>22</v>
      </c>
      <c r="D2281" s="0" t="s">
        <v>2172</v>
      </c>
      <c r="E2281" s="0" t="n">
        <v>42</v>
      </c>
      <c r="F2281" s="0" t="s">
        <v>81</v>
      </c>
      <c r="I2281" s="0" t="n">
        <v>4444</v>
      </c>
      <c r="J2281" s="0" t="n">
        <v>110455</v>
      </c>
      <c r="K2281" s="0" t="n">
        <v>53212</v>
      </c>
      <c r="L2281" s="0" t="s">
        <v>2180</v>
      </c>
      <c r="N2281" s="0" t="n">
        <v>0.063</v>
      </c>
      <c r="O2281" s="60" t="n">
        <v>0</v>
      </c>
    </row>
    <row r="2282" customFormat="false" ht="15" hidden="false" customHeight="false" outlineLevel="0" collapsed="false">
      <c r="A2282" s="0" t="n">
        <v>3</v>
      </c>
      <c r="B2282" s="59" t="n">
        <v>46233</v>
      </c>
      <c r="C2282" s="0" t="n">
        <v>39</v>
      </c>
      <c r="D2282" s="0" t="s">
        <v>2239</v>
      </c>
      <c r="E2282" s="0" t="n">
        <v>1354</v>
      </c>
      <c r="F2282" s="0" t="s">
        <v>1565</v>
      </c>
      <c r="I2282" s="0" t="n">
        <v>1339</v>
      </c>
      <c r="J2282" s="0" t="n">
        <v>81926</v>
      </c>
      <c r="K2282" s="0" t="n">
        <v>819275</v>
      </c>
      <c r="L2282" s="0" t="s">
        <v>3177</v>
      </c>
      <c r="N2282" s="0" t="n">
        <v>1</v>
      </c>
      <c r="O2282" s="60" t="n">
        <v>100</v>
      </c>
    </row>
    <row r="2283" customFormat="false" ht="15" hidden="false" customHeight="false" outlineLevel="0" collapsed="false">
      <c r="A2283" s="0" t="n">
        <v>3</v>
      </c>
      <c r="B2283" s="59" t="n">
        <v>46233</v>
      </c>
      <c r="C2283" s="0" t="n">
        <v>39</v>
      </c>
      <c r="D2283" s="0" t="s">
        <v>2239</v>
      </c>
      <c r="E2283" s="0" t="n">
        <v>1354</v>
      </c>
      <c r="F2283" s="0" t="s">
        <v>1565</v>
      </c>
      <c r="I2283" s="0" t="n">
        <v>1339</v>
      </c>
      <c r="J2283" s="0" t="n">
        <v>81928</v>
      </c>
      <c r="K2283" s="0" t="n">
        <v>7893858404679</v>
      </c>
      <c r="L2283" s="0" t="s">
        <v>3178</v>
      </c>
      <c r="N2283" s="0" t="n">
        <v>1</v>
      </c>
      <c r="O2283" s="60" t="n">
        <v>50</v>
      </c>
    </row>
    <row r="2284" customFormat="false" ht="15" hidden="false" customHeight="false" outlineLevel="0" collapsed="false">
      <c r="A2284" s="0" t="n">
        <v>3</v>
      </c>
      <c r="B2284" s="59" t="n">
        <v>46233</v>
      </c>
      <c r="C2284" s="0" t="n">
        <v>39</v>
      </c>
      <c r="D2284" s="0" t="s">
        <v>2239</v>
      </c>
      <c r="E2284" s="0" t="n">
        <v>1354</v>
      </c>
      <c r="F2284" s="0" t="s">
        <v>1565</v>
      </c>
      <c r="I2284" s="0" t="n">
        <v>1339</v>
      </c>
      <c r="J2284" s="0" t="n">
        <v>81929</v>
      </c>
      <c r="K2284" s="0" t="n">
        <v>7896155827707</v>
      </c>
      <c r="L2284" s="0" t="s">
        <v>3179</v>
      </c>
      <c r="N2284" s="0" t="n">
        <v>1</v>
      </c>
      <c r="O2284" s="60" t="n">
        <v>20</v>
      </c>
    </row>
    <row r="2285" customFormat="false" ht="15" hidden="false" customHeight="false" outlineLevel="0" collapsed="false">
      <c r="A2285" s="0" t="n">
        <v>3</v>
      </c>
      <c r="B2285" s="59" t="n">
        <v>46233</v>
      </c>
      <c r="C2285" s="0" t="n">
        <v>39</v>
      </c>
      <c r="D2285" s="0" t="s">
        <v>2239</v>
      </c>
      <c r="E2285" s="0" t="n">
        <v>1354</v>
      </c>
      <c r="F2285" s="0" t="s">
        <v>1565</v>
      </c>
      <c r="I2285" s="0" t="n">
        <v>1339</v>
      </c>
      <c r="J2285" s="0" t="n">
        <v>81930</v>
      </c>
      <c r="K2285" s="0" t="n">
        <v>7898472253993</v>
      </c>
      <c r="L2285" s="0" t="s">
        <v>3180</v>
      </c>
      <c r="N2285" s="0" t="n">
        <v>1</v>
      </c>
      <c r="O2285" s="60" t="n">
        <v>35</v>
      </c>
    </row>
    <row r="2286" customFormat="false" ht="15" hidden="false" customHeight="false" outlineLevel="0" collapsed="false">
      <c r="A2286" s="0" t="n">
        <v>3</v>
      </c>
      <c r="B2286" s="59" t="n">
        <v>46233</v>
      </c>
      <c r="C2286" s="0" t="n">
        <v>39</v>
      </c>
      <c r="D2286" s="0" t="s">
        <v>2239</v>
      </c>
      <c r="E2286" s="0" t="n">
        <v>1354</v>
      </c>
      <c r="F2286" s="0" t="s">
        <v>1565</v>
      </c>
      <c r="I2286" s="0" t="n">
        <v>1339</v>
      </c>
      <c r="J2286" s="0" t="n">
        <v>81931</v>
      </c>
      <c r="K2286" s="0" t="n">
        <v>819329</v>
      </c>
      <c r="L2286" s="0" t="s">
        <v>3181</v>
      </c>
      <c r="N2286" s="0" t="n">
        <v>1</v>
      </c>
      <c r="O2286" s="60" t="n">
        <v>160</v>
      </c>
    </row>
    <row r="2287" customFormat="false" ht="15" hidden="false" customHeight="false" outlineLevel="0" collapsed="false">
      <c r="A2287" s="0" t="n">
        <v>3</v>
      </c>
      <c r="B2287" s="59" t="n">
        <v>46233</v>
      </c>
      <c r="C2287" s="0" t="n">
        <v>39</v>
      </c>
      <c r="D2287" s="0" t="s">
        <v>2239</v>
      </c>
      <c r="E2287" s="0" t="n">
        <v>794</v>
      </c>
      <c r="F2287" s="0" t="s">
        <v>153</v>
      </c>
      <c r="I2287" s="0" t="n">
        <v>8514</v>
      </c>
      <c r="J2287" s="0" t="n">
        <v>107452</v>
      </c>
      <c r="K2287" s="0" t="n">
        <v>7898560800221</v>
      </c>
      <c r="L2287" s="0" t="s">
        <v>2240</v>
      </c>
      <c r="N2287" s="0" t="n">
        <v>100</v>
      </c>
      <c r="O2287" s="60" t="n">
        <v>460</v>
      </c>
    </row>
    <row r="2288" customFormat="false" ht="15" hidden="false" customHeight="false" outlineLevel="0" collapsed="false">
      <c r="A2288" s="0" t="n">
        <v>3</v>
      </c>
      <c r="B2288" s="59" t="n">
        <v>46233</v>
      </c>
      <c r="C2288" s="0" t="n">
        <v>39</v>
      </c>
      <c r="D2288" s="0" t="s">
        <v>2239</v>
      </c>
      <c r="E2288" s="0" t="n">
        <v>794</v>
      </c>
      <c r="F2288" s="0" t="s">
        <v>153</v>
      </c>
      <c r="I2288" s="0" t="n">
        <v>8514</v>
      </c>
      <c r="J2288" s="0" t="n">
        <v>67465</v>
      </c>
      <c r="K2288" s="0" t="n">
        <v>7898560800184</v>
      </c>
      <c r="L2288" s="0" t="s">
        <v>2241</v>
      </c>
      <c r="N2288" s="0" t="n">
        <v>100</v>
      </c>
      <c r="O2288" s="60" t="n">
        <v>529.8</v>
      </c>
    </row>
    <row r="2289" customFormat="false" ht="15" hidden="false" customHeight="false" outlineLevel="0" collapsed="false">
      <c r="A2289" s="0" t="n">
        <v>3</v>
      </c>
      <c r="B2289" s="59" t="n">
        <v>46233</v>
      </c>
      <c r="C2289" s="0" t="n">
        <v>39</v>
      </c>
      <c r="D2289" s="0" t="s">
        <v>2239</v>
      </c>
      <c r="E2289" s="0" t="n">
        <v>794</v>
      </c>
      <c r="F2289" s="0" t="s">
        <v>153</v>
      </c>
      <c r="I2289" s="0" t="n">
        <v>8514</v>
      </c>
      <c r="J2289" s="0" t="n">
        <v>67471</v>
      </c>
      <c r="K2289" s="0" t="n">
        <v>7898560800177</v>
      </c>
      <c r="L2289" s="0" t="s">
        <v>2242</v>
      </c>
      <c r="N2289" s="0" t="n">
        <v>120</v>
      </c>
      <c r="O2289" s="60" t="n">
        <v>954.6</v>
      </c>
    </row>
    <row r="2290" customFormat="false" ht="15" hidden="false" customHeight="false" outlineLevel="0" collapsed="false">
      <c r="A2290" s="0" t="n">
        <v>3</v>
      </c>
      <c r="B2290" s="59" t="n">
        <v>46233</v>
      </c>
      <c r="C2290" s="0" t="n">
        <v>100</v>
      </c>
      <c r="D2290" s="0" t="s">
        <v>2181</v>
      </c>
      <c r="E2290" s="0" t="n">
        <v>42</v>
      </c>
      <c r="F2290" s="0" t="s">
        <v>81</v>
      </c>
      <c r="I2290" s="0" t="n">
        <v>1473949</v>
      </c>
      <c r="J2290" s="0" t="n">
        <v>100000</v>
      </c>
      <c r="K2290" s="0" t="n">
        <v>1</v>
      </c>
      <c r="L2290" s="0" t="s">
        <v>2173</v>
      </c>
      <c r="N2290" s="0" t="n">
        <v>1.936</v>
      </c>
      <c r="O2290" s="60" t="n">
        <v>42.15</v>
      </c>
    </row>
    <row r="2291" customFormat="false" ht="15" hidden="false" customHeight="false" outlineLevel="0" collapsed="false">
      <c r="A2291" s="0" t="n">
        <v>3</v>
      </c>
      <c r="B2291" s="59" t="n">
        <v>46233</v>
      </c>
      <c r="C2291" s="0" t="n">
        <v>100</v>
      </c>
      <c r="D2291" s="0" t="s">
        <v>2181</v>
      </c>
      <c r="E2291" s="0" t="n">
        <v>42</v>
      </c>
      <c r="F2291" s="0" t="s">
        <v>81</v>
      </c>
      <c r="I2291" s="0" t="n">
        <v>1473949</v>
      </c>
      <c r="J2291" s="0" t="n">
        <v>100001</v>
      </c>
      <c r="K2291" s="0" t="n">
        <v>2</v>
      </c>
      <c r="L2291" s="0" t="s">
        <v>2174</v>
      </c>
      <c r="N2291" s="0" t="n">
        <v>16.385</v>
      </c>
      <c r="O2291" s="60" t="n">
        <v>381.31</v>
      </c>
    </row>
    <row r="2292" customFormat="false" ht="15" hidden="false" customHeight="false" outlineLevel="0" collapsed="false">
      <c r="A2292" s="0" t="n">
        <v>3</v>
      </c>
      <c r="B2292" s="59" t="n">
        <v>46233</v>
      </c>
      <c r="C2292" s="0" t="n">
        <v>100</v>
      </c>
      <c r="D2292" s="0" t="s">
        <v>2181</v>
      </c>
      <c r="E2292" s="0" t="n">
        <v>42</v>
      </c>
      <c r="F2292" s="0" t="s">
        <v>81</v>
      </c>
      <c r="I2292" s="0" t="n">
        <v>1473949</v>
      </c>
      <c r="J2292" s="0" t="n">
        <v>100002</v>
      </c>
      <c r="K2292" s="0" t="n">
        <v>3</v>
      </c>
      <c r="L2292" s="0" t="s">
        <v>2175</v>
      </c>
      <c r="N2292" s="0" t="n">
        <v>31.305</v>
      </c>
      <c r="O2292" s="60" t="n">
        <v>752.03</v>
      </c>
    </row>
    <row r="2293" customFormat="false" ht="15" hidden="false" customHeight="false" outlineLevel="0" collapsed="false">
      <c r="A2293" s="0" t="n">
        <v>3</v>
      </c>
      <c r="B2293" s="59" t="n">
        <v>46233</v>
      </c>
      <c r="C2293" s="0" t="n">
        <v>100</v>
      </c>
      <c r="D2293" s="0" t="s">
        <v>2181</v>
      </c>
      <c r="E2293" s="0" t="n">
        <v>42</v>
      </c>
      <c r="F2293" s="0" t="s">
        <v>81</v>
      </c>
      <c r="I2293" s="0" t="n">
        <v>1473949</v>
      </c>
      <c r="J2293" s="0" t="n">
        <v>100003</v>
      </c>
      <c r="K2293" s="0" t="n">
        <v>4</v>
      </c>
      <c r="L2293" s="0" t="s">
        <v>2176</v>
      </c>
      <c r="N2293" s="0" t="n">
        <v>26.196</v>
      </c>
      <c r="O2293" s="60" t="n">
        <v>688.32</v>
      </c>
    </row>
    <row r="2294" customFormat="false" ht="15" hidden="false" customHeight="false" outlineLevel="0" collapsed="false">
      <c r="A2294" s="0" t="n">
        <v>3</v>
      </c>
      <c r="B2294" s="59" t="n">
        <v>46233</v>
      </c>
      <c r="C2294" s="0" t="n">
        <v>100</v>
      </c>
      <c r="D2294" s="0" t="s">
        <v>2181</v>
      </c>
      <c r="E2294" s="0" t="n">
        <v>42</v>
      </c>
      <c r="F2294" s="0" t="s">
        <v>81</v>
      </c>
      <c r="I2294" s="0" t="n">
        <v>1473949</v>
      </c>
      <c r="J2294" s="0" t="n">
        <v>100007</v>
      </c>
      <c r="K2294" s="0" t="n">
        <v>8</v>
      </c>
      <c r="L2294" s="0" t="s">
        <v>2177</v>
      </c>
      <c r="N2294" s="0" t="n">
        <v>9.635</v>
      </c>
      <c r="O2294" s="60" t="n">
        <v>245.93</v>
      </c>
    </row>
    <row r="2295" customFormat="false" ht="15" hidden="false" customHeight="false" outlineLevel="0" collapsed="false">
      <c r="A2295" s="0" t="n">
        <v>3</v>
      </c>
      <c r="B2295" s="59" t="n">
        <v>46233</v>
      </c>
      <c r="C2295" s="0" t="n">
        <v>100</v>
      </c>
      <c r="D2295" s="0" t="s">
        <v>2181</v>
      </c>
      <c r="E2295" s="0" t="n">
        <v>42</v>
      </c>
      <c r="F2295" s="0" t="s">
        <v>81</v>
      </c>
      <c r="I2295" s="0" t="n">
        <v>1473949</v>
      </c>
      <c r="J2295" s="0" t="n">
        <v>100638</v>
      </c>
      <c r="K2295" s="0" t="n">
        <v>508</v>
      </c>
      <c r="L2295" s="0" t="s">
        <v>2178</v>
      </c>
      <c r="N2295" s="0" t="n">
        <v>3.726</v>
      </c>
      <c r="O2295" s="60" t="n">
        <v>5.57</v>
      </c>
    </row>
    <row r="2296" customFormat="false" ht="15" hidden="false" customHeight="false" outlineLevel="0" collapsed="false">
      <c r="A2296" s="0" t="n">
        <v>3</v>
      </c>
      <c r="B2296" s="59" t="n">
        <v>46233</v>
      </c>
      <c r="C2296" s="0" t="n">
        <v>100</v>
      </c>
      <c r="D2296" s="0" t="s">
        <v>2181</v>
      </c>
      <c r="E2296" s="0" t="n">
        <v>42</v>
      </c>
      <c r="F2296" s="0" t="s">
        <v>81</v>
      </c>
      <c r="I2296" s="0" t="n">
        <v>1473949</v>
      </c>
      <c r="J2296" s="0" t="n">
        <v>100520</v>
      </c>
      <c r="K2296" s="0" t="n">
        <v>507</v>
      </c>
      <c r="L2296" s="0" t="s">
        <v>2179</v>
      </c>
      <c r="N2296" s="0" t="n">
        <v>6.366</v>
      </c>
      <c r="O2296" s="60" t="n">
        <v>14.29</v>
      </c>
    </row>
    <row r="2297" customFormat="false" ht="15" hidden="false" customHeight="false" outlineLevel="0" collapsed="false">
      <c r="A2297" s="0" t="n">
        <v>3</v>
      </c>
      <c r="B2297" s="59" t="n">
        <v>46233</v>
      </c>
      <c r="C2297" s="0" t="n">
        <v>100</v>
      </c>
      <c r="D2297" s="0" t="s">
        <v>2181</v>
      </c>
      <c r="E2297" s="0" t="n">
        <v>42</v>
      </c>
      <c r="F2297" s="0" t="s">
        <v>81</v>
      </c>
      <c r="I2297" s="0" t="n">
        <v>1473949</v>
      </c>
      <c r="J2297" s="0" t="n">
        <v>110455</v>
      </c>
      <c r="K2297" s="0" t="n">
        <v>53212</v>
      </c>
      <c r="L2297" s="0" t="s">
        <v>2180</v>
      </c>
      <c r="N2297" s="0" t="n">
        <v>1.251</v>
      </c>
      <c r="O2297" s="60" t="n">
        <v>0</v>
      </c>
    </row>
    <row r="2298" customFormat="false" ht="15" hidden="false" customHeight="false" outlineLevel="0" collapsed="false">
      <c r="A2298" s="0" t="n">
        <v>3</v>
      </c>
      <c r="B2298" s="59" t="n">
        <v>46233</v>
      </c>
      <c r="C2298" s="0" t="n">
        <v>100</v>
      </c>
      <c r="D2298" s="0" t="s">
        <v>2181</v>
      </c>
      <c r="E2298" s="0" t="n">
        <v>42</v>
      </c>
      <c r="F2298" s="0" t="s">
        <v>81</v>
      </c>
      <c r="I2298" s="0" t="n">
        <v>1473953</v>
      </c>
      <c r="J2298" s="0" t="n">
        <v>100006</v>
      </c>
      <c r="K2298" s="0" t="n">
        <v>7</v>
      </c>
      <c r="L2298" s="0" t="s">
        <v>2228</v>
      </c>
      <c r="N2298" s="0" t="n">
        <v>6.314</v>
      </c>
      <c r="O2298" s="60" t="n">
        <v>202.88</v>
      </c>
    </row>
    <row r="2299" customFormat="false" ht="15" hidden="false" customHeight="false" outlineLevel="0" collapsed="false">
      <c r="A2299" s="0" t="n">
        <v>3</v>
      </c>
      <c r="B2299" s="59" t="n">
        <v>46233</v>
      </c>
      <c r="C2299" s="0" t="n">
        <v>100</v>
      </c>
      <c r="D2299" s="0" t="s">
        <v>2181</v>
      </c>
      <c r="E2299" s="0" t="n">
        <v>42</v>
      </c>
      <c r="F2299" s="0" t="s">
        <v>81</v>
      </c>
      <c r="I2299" s="0" t="n">
        <v>1473953</v>
      </c>
      <c r="J2299" s="0" t="n">
        <v>100008</v>
      </c>
      <c r="K2299" s="0" t="n">
        <v>9</v>
      </c>
      <c r="L2299" s="0" t="s">
        <v>2229</v>
      </c>
      <c r="N2299" s="0" t="n">
        <v>13.011</v>
      </c>
      <c r="O2299" s="60" t="n">
        <v>428.52</v>
      </c>
    </row>
    <row r="2300" customFormat="false" ht="15" hidden="false" customHeight="false" outlineLevel="0" collapsed="false">
      <c r="A2300" s="0" t="n">
        <v>3</v>
      </c>
      <c r="B2300" s="59" t="n">
        <v>46233</v>
      </c>
      <c r="C2300" s="0" t="n">
        <v>100</v>
      </c>
      <c r="D2300" s="0" t="s">
        <v>2181</v>
      </c>
      <c r="E2300" s="0" t="n">
        <v>42</v>
      </c>
      <c r="F2300" s="0" t="s">
        <v>81</v>
      </c>
      <c r="I2300" s="0" t="n">
        <v>1473953</v>
      </c>
      <c r="J2300" s="0" t="n">
        <v>100010</v>
      </c>
      <c r="K2300" s="0" t="n">
        <v>11</v>
      </c>
      <c r="L2300" s="0" t="s">
        <v>2230</v>
      </c>
      <c r="N2300" s="0" t="n">
        <v>2.538</v>
      </c>
      <c r="O2300" s="60" t="n">
        <v>95.83</v>
      </c>
    </row>
    <row r="2301" customFormat="false" ht="15" hidden="false" customHeight="false" outlineLevel="0" collapsed="false">
      <c r="A2301" s="0" t="n">
        <v>3</v>
      </c>
      <c r="B2301" s="59" t="n">
        <v>46233</v>
      </c>
      <c r="C2301" s="0" t="n">
        <v>100</v>
      </c>
      <c r="D2301" s="0" t="s">
        <v>2181</v>
      </c>
      <c r="E2301" s="0" t="n">
        <v>42</v>
      </c>
      <c r="F2301" s="0" t="s">
        <v>81</v>
      </c>
      <c r="I2301" s="0" t="n">
        <v>1473953</v>
      </c>
      <c r="J2301" s="0" t="n">
        <v>100011</v>
      </c>
      <c r="K2301" s="0" t="n">
        <v>12</v>
      </c>
      <c r="L2301" s="0" t="s">
        <v>2231</v>
      </c>
      <c r="N2301" s="0" t="n">
        <v>5.184</v>
      </c>
      <c r="O2301" s="60" t="n">
        <v>195.73</v>
      </c>
    </row>
    <row r="2302" customFormat="false" ht="15" hidden="false" customHeight="false" outlineLevel="0" collapsed="false">
      <c r="A2302" s="0" t="n">
        <v>3</v>
      </c>
      <c r="B2302" s="59" t="n">
        <v>46233</v>
      </c>
      <c r="C2302" s="0" t="n">
        <v>100</v>
      </c>
      <c r="D2302" s="0" t="s">
        <v>2181</v>
      </c>
      <c r="E2302" s="0" t="n">
        <v>42</v>
      </c>
      <c r="F2302" s="0" t="s">
        <v>81</v>
      </c>
      <c r="I2302" s="0" t="n">
        <v>1473953</v>
      </c>
      <c r="J2302" s="0" t="n">
        <v>100012</v>
      </c>
      <c r="K2302" s="0" t="n">
        <v>13</v>
      </c>
      <c r="L2302" s="0" t="s">
        <v>2232</v>
      </c>
      <c r="N2302" s="0" t="n">
        <v>4.734</v>
      </c>
      <c r="O2302" s="60" t="n">
        <v>193.95</v>
      </c>
    </row>
    <row r="2303" customFormat="false" ht="15" hidden="false" customHeight="false" outlineLevel="0" collapsed="false">
      <c r="A2303" s="0" t="n">
        <v>3</v>
      </c>
      <c r="B2303" s="59" t="n">
        <v>46233</v>
      </c>
      <c r="C2303" s="0" t="n">
        <v>100</v>
      </c>
      <c r="D2303" s="0" t="s">
        <v>2181</v>
      </c>
      <c r="E2303" s="0" t="n">
        <v>42</v>
      </c>
      <c r="F2303" s="0" t="s">
        <v>81</v>
      </c>
      <c r="I2303" s="0" t="n">
        <v>1473953</v>
      </c>
      <c r="J2303" s="0" t="n">
        <v>100013</v>
      </c>
      <c r="K2303" s="0" t="n">
        <v>14</v>
      </c>
      <c r="L2303" s="0" t="s">
        <v>2233</v>
      </c>
      <c r="N2303" s="0" t="n">
        <v>9.075</v>
      </c>
      <c r="O2303" s="60" t="n">
        <v>400.97</v>
      </c>
    </row>
    <row r="2304" customFormat="false" ht="15" hidden="false" customHeight="false" outlineLevel="0" collapsed="false">
      <c r="A2304" s="0" t="n">
        <v>3</v>
      </c>
      <c r="B2304" s="59" t="n">
        <v>46233</v>
      </c>
      <c r="C2304" s="0" t="n">
        <v>100</v>
      </c>
      <c r="D2304" s="0" t="s">
        <v>2181</v>
      </c>
      <c r="E2304" s="0" t="n">
        <v>42</v>
      </c>
      <c r="F2304" s="0" t="s">
        <v>81</v>
      </c>
      <c r="I2304" s="0" t="n">
        <v>1473953</v>
      </c>
      <c r="J2304" s="0" t="n">
        <v>100014</v>
      </c>
      <c r="K2304" s="0" t="n">
        <v>15</v>
      </c>
      <c r="L2304" s="0" t="s">
        <v>2234</v>
      </c>
      <c r="N2304" s="0" t="n">
        <v>3.362</v>
      </c>
      <c r="O2304" s="60" t="n">
        <v>151.25</v>
      </c>
    </row>
    <row r="2305" customFormat="false" ht="15" hidden="false" customHeight="false" outlineLevel="0" collapsed="false">
      <c r="A2305" s="0" t="n">
        <v>3</v>
      </c>
      <c r="B2305" s="59" t="n">
        <v>46233</v>
      </c>
      <c r="C2305" s="0" t="n">
        <v>100</v>
      </c>
      <c r="D2305" s="0" t="s">
        <v>2181</v>
      </c>
      <c r="E2305" s="0" t="n">
        <v>42</v>
      </c>
      <c r="F2305" s="0" t="s">
        <v>81</v>
      </c>
      <c r="I2305" s="0" t="n">
        <v>1473953</v>
      </c>
      <c r="J2305" s="0" t="n">
        <v>100015</v>
      </c>
      <c r="K2305" s="0" t="n">
        <v>16</v>
      </c>
      <c r="L2305" s="0" t="s">
        <v>2235</v>
      </c>
      <c r="N2305" s="0" t="n">
        <v>1.654</v>
      </c>
      <c r="O2305" s="60" t="n">
        <v>67.77</v>
      </c>
    </row>
    <row r="2306" customFormat="false" ht="15" hidden="false" customHeight="false" outlineLevel="0" collapsed="false">
      <c r="A2306" s="0" t="n">
        <v>3</v>
      </c>
      <c r="B2306" s="59" t="n">
        <v>46233</v>
      </c>
      <c r="C2306" s="0" t="n">
        <v>100</v>
      </c>
      <c r="D2306" s="0" t="s">
        <v>2181</v>
      </c>
      <c r="E2306" s="0" t="n">
        <v>42</v>
      </c>
      <c r="F2306" s="0" t="s">
        <v>81</v>
      </c>
      <c r="I2306" s="0" t="n">
        <v>1473953</v>
      </c>
      <c r="J2306" s="0" t="n">
        <v>100016</v>
      </c>
      <c r="K2306" s="0" t="n">
        <v>17</v>
      </c>
      <c r="L2306" s="0" t="s">
        <v>2236</v>
      </c>
      <c r="N2306" s="0" t="n">
        <v>1.308</v>
      </c>
      <c r="O2306" s="60" t="n">
        <v>57.79</v>
      </c>
    </row>
    <row r="2307" customFormat="false" ht="15" hidden="false" customHeight="false" outlineLevel="0" collapsed="false">
      <c r="A2307" s="0" t="n">
        <v>3</v>
      </c>
      <c r="B2307" s="59" t="n">
        <v>46233</v>
      </c>
      <c r="C2307" s="0" t="n">
        <v>100</v>
      </c>
      <c r="D2307" s="0" t="s">
        <v>2181</v>
      </c>
      <c r="E2307" s="0" t="n">
        <v>42</v>
      </c>
      <c r="F2307" s="0" t="s">
        <v>81</v>
      </c>
      <c r="I2307" s="0" t="n">
        <v>1473953</v>
      </c>
      <c r="J2307" s="0" t="n">
        <v>100017</v>
      </c>
      <c r="K2307" s="0" t="n">
        <v>18</v>
      </c>
      <c r="L2307" s="0" t="s">
        <v>2237</v>
      </c>
      <c r="N2307" s="0" t="n">
        <v>1.444</v>
      </c>
      <c r="O2307" s="60" t="n">
        <v>75.41</v>
      </c>
    </row>
    <row r="2308" customFormat="false" ht="15" hidden="false" customHeight="false" outlineLevel="0" collapsed="false">
      <c r="A2308" s="0" t="n">
        <v>3</v>
      </c>
      <c r="B2308" s="59" t="n">
        <v>46233</v>
      </c>
      <c r="C2308" s="0" t="n">
        <v>100</v>
      </c>
      <c r="D2308" s="0" t="s">
        <v>2181</v>
      </c>
      <c r="E2308" s="0" t="n">
        <v>42</v>
      </c>
      <c r="F2308" s="0" t="s">
        <v>81</v>
      </c>
      <c r="I2308" s="0" t="n">
        <v>1473953</v>
      </c>
      <c r="J2308" s="0" t="n">
        <v>100053</v>
      </c>
      <c r="K2308" s="0" t="n">
        <v>54</v>
      </c>
      <c r="L2308" s="0" t="s">
        <v>2238</v>
      </c>
      <c r="N2308" s="0" t="n">
        <v>1.6</v>
      </c>
      <c r="O2308" s="60" t="n">
        <v>57.84</v>
      </c>
    </row>
    <row r="2309" customFormat="false" ht="15" hidden="false" customHeight="false" outlineLevel="0" collapsed="false">
      <c r="A2309" s="0" t="n">
        <v>3</v>
      </c>
      <c r="B2309" s="59" t="n">
        <v>46233</v>
      </c>
      <c r="C2309" s="0" t="n">
        <v>100</v>
      </c>
      <c r="D2309" s="0" t="s">
        <v>2181</v>
      </c>
      <c r="E2309" s="0" t="n">
        <v>42</v>
      </c>
      <c r="F2309" s="0" t="s">
        <v>81</v>
      </c>
      <c r="I2309" s="0" t="n">
        <v>1473953</v>
      </c>
      <c r="J2309" s="0" t="n">
        <v>100638</v>
      </c>
      <c r="K2309" s="0" t="n">
        <v>508</v>
      </c>
      <c r="L2309" s="0" t="s">
        <v>2178</v>
      </c>
      <c r="N2309" s="0" t="n">
        <v>2.132</v>
      </c>
      <c r="O2309" s="60" t="n">
        <v>3.41</v>
      </c>
    </row>
    <row r="2310" customFormat="false" ht="15" hidden="false" customHeight="false" outlineLevel="0" collapsed="false">
      <c r="A2310" s="0" t="n">
        <v>3</v>
      </c>
      <c r="B2310" s="59" t="n">
        <v>46233</v>
      </c>
      <c r="C2310" s="0" t="n">
        <v>100</v>
      </c>
      <c r="D2310" s="0" t="s">
        <v>2181</v>
      </c>
      <c r="E2310" s="0" t="n">
        <v>42</v>
      </c>
      <c r="F2310" s="0" t="s">
        <v>81</v>
      </c>
      <c r="I2310" s="0" t="n">
        <v>1473953</v>
      </c>
      <c r="J2310" s="0" t="n">
        <v>100520</v>
      </c>
      <c r="K2310" s="0" t="n">
        <v>507</v>
      </c>
      <c r="L2310" s="0" t="s">
        <v>2179</v>
      </c>
      <c r="N2310" s="0" t="n">
        <v>8.594</v>
      </c>
      <c r="O2310" s="60" t="n">
        <v>20.65</v>
      </c>
    </row>
    <row r="2311" customFormat="false" ht="15" hidden="false" customHeight="false" outlineLevel="0" collapsed="false">
      <c r="A2311" s="0" t="n">
        <v>3</v>
      </c>
      <c r="B2311" s="59" t="n">
        <v>46233</v>
      </c>
      <c r="C2311" s="0" t="n">
        <v>100</v>
      </c>
      <c r="D2311" s="0" t="s">
        <v>2181</v>
      </c>
      <c r="E2311" s="0" t="n">
        <v>42</v>
      </c>
      <c r="F2311" s="0" t="s">
        <v>81</v>
      </c>
      <c r="I2311" s="0" t="n">
        <v>1473953</v>
      </c>
      <c r="J2311" s="0" t="n">
        <v>110455</v>
      </c>
      <c r="K2311" s="0" t="n">
        <v>53212</v>
      </c>
      <c r="L2311" s="0" t="s">
        <v>2180</v>
      </c>
      <c r="N2311" s="0" t="n">
        <v>0.05</v>
      </c>
      <c r="O2311" s="60" t="n">
        <v>0</v>
      </c>
    </row>
    <row r="2312" customFormat="false" ht="15" hidden="false" customHeight="false" outlineLevel="0" collapsed="false">
      <c r="A2312" s="0" t="n">
        <v>3</v>
      </c>
      <c r="B2312" s="59" t="n">
        <v>46233</v>
      </c>
      <c r="C2312" s="0" t="n">
        <v>100</v>
      </c>
      <c r="D2312" s="0" t="s">
        <v>2181</v>
      </c>
      <c r="E2312" s="0" t="n">
        <v>42</v>
      </c>
      <c r="F2312" s="0" t="s">
        <v>81</v>
      </c>
      <c r="I2312" s="0" t="n">
        <v>1474018</v>
      </c>
      <c r="J2312" s="0" t="n">
        <v>100000</v>
      </c>
      <c r="K2312" s="0" t="n">
        <v>1</v>
      </c>
      <c r="L2312" s="0" t="s">
        <v>2173</v>
      </c>
      <c r="N2312" s="0" t="n">
        <v>2.626</v>
      </c>
      <c r="O2312" s="60" t="n">
        <v>63.4</v>
      </c>
    </row>
    <row r="2313" customFormat="false" ht="15" hidden="false" customHeight="false" outlineLevel="0" collapsed="false">
      <c r="A2313" s="0" t="n">
        <v>3</v>
      </c>
      <c r="B2313" s="59" t="n">
        <v>46233</v>
      </c>
      <c r="C2313" s="0" t="n">
        <v>100</v>
      </c>
      <c r="D2313" s="0" t="s">
        <v>2181</v>
      </c>
      <c r="E2313" s="0" t="n">
        <v>42</v>
      </c>
      <c r="F2313" s="0" t="s">
        <v>81</v>
      </c>
      <c r="I2313" s="0" t="n">
        <v>1474018</v>
      </c>
      <c r="J2313" s="0" t="n">
        <v>100006</v>
      </c>
      <c r="K2313" s="0" t="n">
        <v>7</v>
      </c>
      <c r="L2313" s="0" t="s">
        <v>2228</v>
      </c>
      <c r="N2313" s="0" t="n">
        <v>6.952</v>
      </c>
      <c r="O2313" s="60" t="n">
        <v>231.52</v>
      </c>
    </row>
    <row r="2314" customFormat="false" ht="15" hidden="false" customHeight="false" outlineLevel="0" collapsed="false">
      <c r="A2314" s="0" t="n">
        <v>3</v>
      </c>
      <c r="B2314" s="59" t="n">
        <v>46233</v>
      </c>
      <c r="C2314" s="0" t="n">
        <v>100</v>
      </c>
      <c r="D2314" s="0" t="s">
        <v>2181</v>
      </c>
      <c r="E2314" s="0" t="n">
        <v>42</v>
      </c>
      <c r="F2314" s="0" t="s">
        <v>81</v>
      </c>
      <c r="I2314" s="0" t="n">
        <v>1474018</v>
      </c>
      <c r="J2314" s="0" t="n">
        <v>100008</v>
      </c>
      <c r="K2314" s="0" t="n">
        <v>9</v>
      </c>
      <c r="L2314" s="0" t="s">
        <v>2229</v>
      </c>
      <c r="N2314" s="0" t="n">
        <v>27.11</v>
      </c>
      <c r="O2314" s="60" t="n">
        <v>925.43</v>
      </c>
    </row>
    <row r="2315" customFormat="false" ht="15" hidden="false" customHeight="false" outlineLevel="0" collapsed="false">
      <c r="A2315" s="0" t="n">
        <v>3</v>
      </c>
      <c r="B2315" s="59" t="n">
        <v>46233</v>
      </c>
      <c r="C2315" s="0" t="n">
        <v>100</v>
      </c>
      <c r="D2315" s="0" t="s">
        <v>2181</v>
      </c>
      <c r="E2315" s="0" t="n">
        <v>42</v>
      </c>
      <c r="F2315" s="0" t="s">
        <v>81</v>
      </c>
      <c r="I2315" s="0" t="n">
        <v>1474018</v>
      </c>
      <c r="J2315" s="0" t="n">
        <v>100010</v>
      </c>
      <c r="K2315" s="0" t="n">
        <v>11</v>
      </c>
      <c r="L2315" s="0" t="s">
        <v>2230</v>
      </c>
      <c r="N2315" s="0" t="n">
        <v>4.752</v>
      </c>
      <c r="O2315" s="60" t="n">
        <v>185.96</v>
      </c>
    </row>
    <row r="2316" customFormat="false" ht="15" hidden="false" customHeight="false" outlineLevel="0" collapsed="false">
      <c r="A2316" s="0" t="n">
        <v>3</v>
      </c>
      <c r="B2316" s="59" t="n">
        <v>46233</v>
      </c>
      <c r="C2316" s="0" t="n">
        <v>100</v>
      </c>
      <c r="D2316" s="0" t="s">
        <v>2181</v>
      </c>
      <c r="E2316" s="0" t="n">
        <v>42</v>
      </c>
      <c r="F2316" s="0" t="s">
        <v>81</v>
      </c>
      <c r="I2316" s="0" t="n">
        <v>1474018</v>
      </c>
      <c r="J2316" s="0" t="n">
        <v>100011</v>
      </c>
      <c r="K2316" s="0" t="n">
        <v>12</v>
      </c>
      <c r="L2316" s="0" t="s">
        <v>2231</v>
      </c>
      <c r="N2316" s="0" t="n">
        <v>10.304</v>
      </c>
      <c r="O2316" s="60" t="n">
        <v>403.22</v>
      </c>
    </row>
    <row r="2317" customFormat="false" ht="15" hidden="false" customHeight="false" outlineLevel="0" collapsed="false">
      <c r="A2317" s="0" t="n">
        <v>3</v>
      </c>
      <c r="B2317" s="59" t="n">
        <v>46233</v>
      </c>
      <c r="C2317" s="0" t="n">
        <v>100</v>
      </c>
      <c r="D2317" s="0" t="s">
        <v>2181</v>
      </c>
      <c r="E2317" s="0" t="n">
        <v>42</v>
      </c>
      <c r="F2317" s="0" t="s">
        <v>81</v>
      </c>
      <c r="I2317" s="0" t="n">
        <v>1474018</v>
      </c>
      <c r="J2317" s="0" t="n">
        <v>100012</v>
      </c>
      <c r="K2317" s="0" t="n">
        <v>13</v>
      </c>
      <c r="L2317" s="0" t="s">
        <v>2232</v>
      </c>
      <c r="N2317" s="0" t="n">
        <v>10.37</v>
      </c>
      <c r="O2317" s="60" t="n">
        <v>440.35</v>
      </c>
    </row>
    <row r="2318" customFormat="false" ht="15" hidden="false" customHeight="false" outlineLevel="0" collapsed="false">
      <c r="A2318" s="0" t="n">
        <v>3</v>
      </c>
      <c r="B2318" s="59" t="n">
        <v>46233</v>
      </c>
      <c r="C2318" s="0" t="n">
        <v>100</v>
      </c>
      <c r="D2318" s="0" t="s">
        <v>2181</v>
      </c>
      <c r="E2318" s="0" t="n">
        <v>42</v>
      </c>
      <c r="F2318" s="0" t="s">
        <v>81</v>
      </c>
      <c r="I2318" s="0" t="n">
        <v>1474018</v>
      </c>
      <c r="J2318" s="0" t="n">
        <v>100013</v>
      </c>
      <c r="K2318" s="0" t="n">
        <v>14</v>
      </c>
      <c r="L2318" s="0" t="s">
        <v>2233</v>
      </c>
      <c r="N2318" s="0" t="n">
        <v>18.406</v>
      </c>
      <c r="O2318" s="60" t="n">
        <v>842.9</v>
      </c>
    </row>
    <row r="2319" customFormat="false" ht="15" hidden="false" customHeight="false" outlineLevel="0" collapsed="false">
      <c r="A2319" s="0" t="n">
        <v>3</v>
      </c>
      <c r="B2319" s="59" t="n">
        <v>46233</v>
      </c>
      <c r="C2319" s="0" t="n">
        <v>100</v>
      </c>
      <c r="D2319" s="0" t="s">
        <v>2181</v>
      </c>
      <c r="E2319" s="0" t="n">
        <v>42</v>
      </c>
      <c r="F2319" s="0" t="s">
        <v>81</v>
      </c>
      <c r="I2319" s="0" t="n">
        <v>1474018</v>
      </c>
      <c r="J2319" s="0" t="n">
        <v>100014</v>
      </c>
      <c r="K2319" s="0" t="n">
        <v>15</v>
      </c>
      <c r="L2319" s="0" t="s">
        <v>2234</v>
      </c>
      <c r="N2319" s="0" t="n">
        <v>8.474</v>
      </c>
      <c r="O2319" s="60" t="n">
        <v>395.12</v>
      </c>
    </row>
    <row r="2320" customFormat="false" ht="15" hidden="false" customHeight="false" outlineLevel="0" collapsed="false">
      <c r="A2320" s="0" t="n">
        <v>3</v>
      </c>
      <c r="B2320" s="59" t="n">
        <v>46233</v>
      </c>
      <c r="C2320" s="0" t="n">
        <v>100</v>
      </c>
      <c r="D2320" s="0" t="s">
        <v>2181</v>
      </c>
      <c r="E2320" s="0" t="n">
        <v>42</v>
      </c>
      <c r="F2320" s="0" t="s">
        <v>81</v>
      </c>
      <c r="I2320" s="0" t="n">
        <v>1474018</v>
      </c>
      <c r="J2320" s="0" t="n">
        <v>100015</v>
      </c>
      <c r="K2320" s="0" t="n">
        <v>16</v>
      </c>
      <c r="L2320" s="0" t="s">
        <v>2235</v>
      </c>
      <c r="N2320" s="0" t="n">
        <v>2.708</v>
      </c>
      <c r="O2320" s="60" t="n">
        <v>114.99</v>
      </c>
    </row>
    <row r="2321" customFormat="false" ht="15" hidden="false" customHeight="false" outlineLevel="0" collapsed="false">
      <c r="A2321" s="0" t="n">
        <v>3</v>
      </c>
      <c r="B2321" s="59" t="n">
        <v>46233</v>
      </c>
      <c r="C2321" s="0" t="n">
        <v>100</v>
      </c>
      <c r="D2321" s="0" t="s">
        <v>2181</v>
      </c>
      <c r="E2321" s="0" t="n">
        <v>42</v>
      </c>
      <c r="F2321" s="0" t="s">
        <v>81</v>
      </c>
      <c r="I2321" s="0" t="n">
        <v>1474018</v>
      </c>
      <c r="J2321" s="0" t="n">
        <v>100016</v>
      </c>
      <c r="K2321" s="0" t="n">
        <v>17</v>
      </c>
      <c r="L2321" s="0" t="s">
        <v>2236</v>
      </c>
      <c r="N2321" s="0" t="n">
        <v>3.242</v>
      </c>
      <c r="O2321" s="60" t="n">
        <v>148.47</v>
      </c>
    </row>
    <row r="2322" customFormat="false" ht="15" hidden="false" customHeight="false" outlineLevel="0" collapsed="false">
      <c r="A2322" s="0" t="n">
        <v>3</v>
      </c>
      <c r="B2322" s="59" t="n">
        <v>46233</v>
      </c>
      <c r="C2322" s="0" t="n">
        <v>100</v>
      </c>
      <c r="D2322" s="0" t="s">
        <v>2181</v>
      </c>
      <c r="E2322" s="0" t="n">
        <v>42</v>
      </c>
      <c r="F2322" s="0" t="s">
        <v>81</v>
      </c>
      <c r="I2322" s="0" t="n">
        <v>1474018</v>
      </c>
      <c r="J2322" s="0" t="n">
        <v>100017</v>
      </c>
      <c r="K2322" s="0" t="n">
        <v>18</v>
      </c>
      <c r="L2322" s="0" t="s">
        <v>2237</v>
      </c>
      <c r="N2322" s="0" t="n">
        <v>3.444</v>
      </c>
      <c r="O2322" s="60" t="n">
        <v>186.4</v>
      </c>
    </row>
    <row r="2323" customFormat="false" ht="15" hidden="false" customHeight="false" outlineLevel="0" collapsed="false">
      <c r="A2323" s="0" t="n">
        <v>3</v>
      </c>
      <c r="B2323" s="59" t="n">
        <v>46233</v>
      </c>
      <c r="C2323" s="0" t="n">
        <v>100</v>
      </c>
      <c r="D2323" s="0" t="s">
        <v>2181</v>
      </c>
      <c r="E2323" s="0" t="n">
        <v>42</v>
      </c>
      <c r="F2323" s="0" t="s">
        <v>81</v>
      </c>
      <c r="I2323" s="0" t="n">
        <v>1474018</v>
      </c>
      <c r="J2323" s="0" t="n">
        <v>100019</v>
      </c>
      <c r="K2323" s="0" t="n">
        <v>20</v>
      </c>
      <c r="L2323" s="0" t="s">
        <v>2795</v>
      </c>
      <c r="N2323" s="0" t="n">
        <v>4.816</v>
      </c>
      <c r="O2323" s="60" t="n">
        <v>172.42</v>
      </c>
    </row>
    <row r="2324" customFormat="false" ht="15" hidden="false" customHeight="false" outlineLevel="0" collapsed="false">
      <c r="A2324" s="0" t="n">
        <v>3</v>
      </c>
      <c r="B2324" s="59" t="n">
        <v>46233</v>
      </c>
      <c r="C2324" s="0" t="n">
        <v>100</v>
      </c>
      <c r="D2324" s="0" t="s">
        <v>2181</v>
      </c>
      <c r="E2324" s="0" t="n">
        <v>42</v>
      </c>
      <c r="F2324" s="0" t="s">
        <v>81</v>
      </c>
      <c r="I2324" s="0" t="n">
        <v>1474018</v>
      </c>
      <c r="J2324" s="0" t="n">
        <v>100053</v>
      </c>
      <c r="K2324" s="0" t="n">
        <v>54</v>
      </c>
      <c r="L2324" s="0" t="s">
        <v>2238</v>
      </c>
      <c r="N2324" s="0" t="n">
        <v>3.799</v>
      </c>
      <c r="O2324" s="60" t="n">
        <v>142.34</v>
      </c>
    </row>
    <row r="2325" customFormat="false" ht="15" hidden="false" customHeight="false" outlineLevel="0" collapsed="false">
      <c r="A2325" s="0" t="n">
        <v>3</v>
      </c>
      <c r="B2325" s="59" t="n">
        <v>46233</v>
      </c>
      <c r="C2325" s="0" t="n">
        <v>100</v>
      </c>
      <c r="D2325" s="0" t="s">
        <v>2181</v>
      </c>
      <c r="E2325" s="0" t="n">
        <v>42</v>
      </c>
      <c r="F2325" s="0" t="s">
        <v>81</v>
      </c>
      <c r="I2325" s="0" t="n">
        <v>1474018</v>
      </c>
      <c r="J2325" s="0" t="n">
        <v>100638</v>
      </c>
      <c r="K2325" s="0" t="n">
        <v>508</v>
      </c>
      <c r="L2325" s="0" t="s">
        <v>2178</v>
      </c>
      <c r="N2325" s="0" t="n">
        <v>3.681</v>
      </c>
      <c r="O2325" s="60" t="n">
        <v>6.1</v>
      </c>
    </row>
    <row r="2326" customFormat="false" ht="15" hidden="false" customHeight="false" outlineLevel="0" collapsed="false">
      <c r="A2326" s="0" t="n">
        <v>3</v>
      </c>
      <c r="B2326" s="59" t="n">
        <v>46233</v>
      </c>
      <c r="C2326" s="0" t="n">
        <v>100</v>
      </c>
      <c r="D2326" s="0" t="s">
        <v>2181</v>
      </c>
      <c r="E2326" s="0" t="n">
        <v>42</v>
      </c>
      <c r="F2326" s="0" t="s">
        <v>81</v>
      </c>
      <c r="I2326" s="0" t="n">
        <v>1474018</v>
      </c>
      <c r="J2326" s="0" t="n">
        <v>100520</v>
      </c>
      <c r="K2326" s="0" t="n">
        <v>507</v>
      </c>
      <c r="L2326" s="0" t="s">
        <v>2179</v>
      </c>
      <c r="N2326" s="0" t="n">
        <v>22.078</v>
      </c>
      <c r="O2326" s="60" t="n">
        <v>54.98</v>
      </c>
    </row>
    <row r="2327" customFormat="false" ht="15" hidden="false" customHeight="false" outlineLevel="0" collapsed="false">
      <c r="A2327" s="0" t="n">
        <v>3</v>
      </c>
      <c r="B2327" s="59" t="n">
        <v>46233</v>
      </c>
      <c r="C2327" s="0" t="n">
        <v>100</v>
      </c>
      <c r="D2327" s="0" t="s">
        <v>2181</v>
      </c>
      <c r="E2327" s="0" t="n">
        <v>42</v>
      </c>
      <c r="F2327" s="0" t="s">
        <v>81</v>
      </c>
      <c r="I2327" s="0" t="n">
        <v>1474018</v>
      </c>
      <c r="J2327" s="0" t="n">
        <v>110455</v>
      </c>
      <c r="K2327" s="0" t="n">
        <v>53212</v>
      </c>
      <c r="L2327" s="0" t="s">
        <v>2180</v>
      </c>
      <c r="N2327" s="0" t="n">
        <v>2.038</v>
      </c>
      <c r="O2327" s="60" t="n">
        <v>0</v>
      </c>
    </row>
    <row r="2328" customFormat="false" ht="15" hidden="false" customHeight="false" outlineLevel="0" collapsed="false">
      <c r="A2328" s="0" t="n">
        <v>3</v>
      </c>
      <c r="B2328" s="59" t="n">
        <v>46233</v>
      </c>
      <c r="C2328" s="0" t="n">
        <v>100</v>
      </c>
      <c r="D2328" s="0" t="s">
        <v>2181</v>
      </c>
      <c r="E2328" s="0" t="n">
        <v>42</v>
      </c>
      <c r="F2328" s="0" t="s">
        <v>81</v>
      </c>
      <c r="I2328" s="0" t="n">
        <v>1474021</v>
      </c>
      <c r="J2328" s="0" t="n">
        <v>100000</v>
      </c>
      <c r="K2328" s="0" t="n">
        <v>1</v>
      </c>
      <c r="L2328" s="0" t="s">
        <v>2173</v>
      </c>
      <c r="N2328" s="0" t="n">
        <v>2.546</v>
      </c>
      <c r="O2328" s="60" t="n">
        <v>55.98</v>
      </c>
    </row>
    <row r="2329" customFormat="false" ht="15" hidden="false" customHeight="false" outlineLevel="0" collapsed="false">
      <c r="A2329" s="0" t="n">
        <v>3</v>
      </c>
      <c r="B2329" s="59" t="n">
        <v>46233</v>
      </c>
      <c r="C2329" s="0" t="n">
        <v>100</v>
      </c>
      <c r="D2329" s="0" t="s">
        <v>2181</v>
      </c>
      <c r="E2329" s="0" t="n">
        <v>42</v>
      </c>
      <c r="F2329" s="0" t="s">
        <v>81</v>
      </c>
      <c r="I2329" s="0" t="n">
        <v>1474021</v>
      </c>
      <c r="J2329" s="0" t="n">
        <v>100001</v>
      </c>
      <c r="K2329" s="0" t="n">
        <v>2</v>
      </c>
      <c r="L2329" s="0" t="s">
        <v>2174</v>
      </c>
      <c r="N2329" s="0" t="n">
        <v>10.225</v>
      </c>
      <c r="O2329" s="60" t="n">
        <v>240.35</v>
      </c>
    </row>
    <row r="2330" customFormat="false" ht="15" hidden="false" customHeight="false" outlineLevel="0" collapsed="false">
      <c r="A2330" s="0" t="n">
        <v>3</v>
      </c>
      <c r="B2330" s="59" t="n">
        <v>46233</v>
      </c>
      <c r="C2330" s="0" t="n">
        <v>100</v>
      </c>
      <c r="D2330" s="0" t="s">
        <v>2181</v>
      </c>
      <c r="E2330" s="0" t="n">
        <v>42</v>
      </c>
      <c r="F2330" s="0" t="s">
        <v>81</v>
      </c>
      <c r="I2330" s="0" t="n">
        <v>1474021</v>
      </c>
      <c r="J2330" s="0" t="n">
        <v>100002</v>
      </c>
      <c r="K2330" s="0" t="n">
        <v>3</v>
      </c>
      <c r="L2330" s="0" t="s">
        <v>2175</v>
      </c>
      <c r="N2330" s="0" t="n">
        <v>16.145</v>
      </c>
      <c r="O2330" s="60" t="n">
        <v>391.75</v>
      </c>
    </row>
    <row r="2331" customFormat="false" ht="15" hidden="false" customHeight="false" outlineLevel="0" collapsed="false">
      <c r="A2331" s="0" t="n">
        <v>3</v>
      </c>
      <c r="B2331" s="59" t="n">
        <v>46233</v>
      </c>
      <c r="C2331" s="0" t="n">
        <v>100</v>
      </c>
      <c r="D2331" s="0" t="s">
        <v>2181</v>
      </c>
      <c r="E2331" s="0" t="n">
        <v>42</v>
      </c>
      <c r="F2331" s="0" t="s">
        <v>81</v>
      </c>
      <c r="I2331" s="0" t="n">
        <v>1474021</v>
      </c>
      <c r="J2331" s="0" t="n">
        <v>100003</v>
      </c>
      <c r="K2331" s="0" t="n">
        <v>4</v>
      </c>
      <c r="L2331" s="0" t="s">
        <v>2176</v>
      </c>
      <c r="N2331" s="0" t="n">
        <v>15.489</v>
      </c>
      <c r="O2331" s="60" t="n">
        <v>411.08</v>
      </c>
    </row>
    <row r="2332" customFormat="false" ht="15" hidden="false" customHeight="false" outlineLevel="0" collapsed="false">
      <c r="A2332" s="0" t="n">
        <v>3</v>
      </c>
      <c r="B2332" s="59" t="n">
        <v>46233</v>
      </c>
      <c r="C2332" s="0" t="n">
        <v>100</v>
      </c>
      <c r="D2332" s="0" t="s">
        <v>2181</v>
      </c>
      <c r="E2332" s="0" t="n">
        <v>42</v>
      </c>
      <c r="F2332" s="0" t="s">
        <v>81</v>
      </c>
      <c r="I2332" s="0" t="n">
        <v>1474021</v>
      </c>
      <c r="J2332" s="0" t="n">
        <v>100007</v>
      </c>
      <c r="K2332" s="0" t="n">
        <v>8</v>
      </c>
      <c r="L2332" s="0" t="s">
        <v>2177</v>
      </c>
      <c r="N2332" s="0" t="n">
        <v>5.614</v>
      </c>
      <c r="O2332" s="60" t="n">
        <v>144.74</v>
      </c>
    </row>
    <row r="2333" customFormat="false" ht="15" hidden="false" customHeight="false" outlineLevel="0" collapsed="false">
      <c r="A2333" s="0" t="n">
        <v>3</v>
      </c>
      <c r="B2333" s="59" t="n">
        <v>46233</v>
      </c>
      <c r="C2333" s="0" t="n">
        <v>100</v>
      </c>
      <c r="D2333" s="0" t="s">
        <v>2181</v>
      </c>
      <c r="E2333" s="0" t="n">
        <v>42</v>
      </c>
      <c r="F2333" s="0" t="s">
        <v>81</v>
      </c>
      <c r="I2333" s="0" t="n">
        <v>1474021</v>
      </c>
      <c r="J2333" s="0" t="n">
        <v>100638</v>
      </c>
      <c r="K2333" s="0" t="n">
        <v>508</v>
      </c>
      <c r="L2333" s="0" t="s">
        <v>2178</v>
      </c>
      <c r="N2333" s="0" t="n">
        <v>1.812</v>
      </c>
      <c r="O2333" s="60" t="n">
        <v>2.74</v>
      </c>
    </row>
    <row r="2334" customFormat="false" ht="15" hidden="false" customHeight="false" outlineLevel="0" collapsed="false">
      <c r="A2334" s="0" t="n">
        <v>3</v>
      </c>
      <c r="B2334" s="59" t="n">
        <v>46233</v>
      </c>
      <c r="C2334" s="0" t="n">
        <v>100</v>
      </c>
      <c r="D2334" s="0" t="s">
        <v>2181</v>
      </c>
      <c r="E2334" s="0" t="n">
        <v>42</v>
      </c>
      <c r="F2334" s="0" t="s">
        <v>81</v>
      </c>
      <c r="I2334" s="0" t="n">
        <v>1474021</v>
      </c>
      <c r="J2334" s="0" t="n">
        <v>100520</v>
      </c>
      <c r="K2334" s="0" t="n">
        <v>507</v>
      </c>
      <c r="L2334" s="0" t="s">
        <v>2179</v>
      </c>
      <c r="N2334" s="0" t="n">
        <v>3.906</v>
      </c>
      <c r="O2334" s="60" t="n">
        <v>8.86</v>
      </c>
    </row>
    <row r="2335" customFormat="false" ht="15" hidden="false" customHeight="false" outlineLevel="0" collapsed="false">
      <c r="A2335" s="0" t="n">
        <v>3</v>
      </c>
      <c r="B2335" s="59" t="n">
        <v>46233</v>
      </c>
      <c r="C2335" s="0" t="n">
        <v>100</v>
      </c>
      <c r="D2335" s="0" t="s">
        <v>2181</v>
      </c>
      <c r="E2335" s="0" t="n">
        <v>42</v>
      </c>
      <c r="F2335" s="0" t="s">
        <v>81</v>
      </c>
      <c r="I2335" s="0" t="n">
        <v>1474021</v>
      </c>
      <c r="J2335" s="0" t="n">
        <v>110455</v>
      </c>
      <c r="K2335" s="0" t="n">
        <v>53212</v>
      </c>
      <c r="L2335" s="0" t="s">
        <v>2180</v>
      </c>
      <c r="N2335" s="0" t="n">
        <v>0.063</v>
      </c>
      <c r="O2335" s="60" t="n">
        <v>0</v>
      </c>
    </row>
    <row r="2336" customFormat="false" ht="15" hidden="false" customHeight="false" outlineLevel="0" collapsed="false">
      <c r="A2336" s="0" t="n">
        <v>3</v>
      </c>
      <c r="B2336" s="59" t="n">
        <v>46233</v>
      </c>
      <c r="C2336" s="0" t="n">
        <v>100</v>
      </c>
      <c r="D2336" s="0" t="s">
        <v>2181</v>
      </c>
      <c r="E2336" s="0" t="n">
        <v>42</v>
      </c>
      <c r="F2336" s="0" t="s">
        <v>81</v>
      </c>
      <c r="I2336" s="0" t="n">
        <v>1474024</v>
      </c>
      <c r="J2336" s="0" t="n">
        <v>100004</v>
      </c>
      <c r="K2336" s="0" t="n">
        <v>5</v>
      </c>
      <c r="L2336" s="0" t="s">
        <v>2411</v>
      </c>
      <c r="N2336" s="0" t="n">
        <v>14.245</v>
      </c>
      <c r="O2336" s="60" t="n">
        <v>281.26</v>
      </c>
    </row>
    <row r="2337" customFormat="false" ht="15" hidden="false" customHeight="false" outlineLevel="0" collapsed="false">
      <c r="A2337" s="0" t="n">
        <v>3</v>
      </c>
      <c r="B2337" s="59" t="n">
        <v>46233</v>
      </c>
      <c r="C2337" s="0" t="n">
        <v>100</v>
      </c>
      <c r="D2337" s="0" t="s">
        <v>2181</v>
      </c>
      <c r="E2337" s="0" t="n">
        <v>42</v>
      </c>
      <c r="F2337" s="0" t="s">
        <v>81</v>
      </c>
      <c r="I2337" s="0" t="n">
        <v>1474024</v>
      </c>
      <c r="J2337" s="0" t="n">
        <v>100020</v>
      </c>
      <c r="K2337" s="0" t="n">
        <v>21</v>
      </c>
      <c r="L2337" s="0" t="s">
        <v>2337</v>
      </c>
      <c r="N2337" s="0" t="n">
        <v>1.996</v>
      </c>
      <c r="O2337" s="60" t="n">
        <v>70.27</v>
      </c>
    </row>
    <row r="2338" customFormat="false" ht="15" hidden="false" customHeight="false" outlineLevel="0" collapsed="false">
      <c r="A2338" s="0" t="n">
        <v>3</v>
      </c>
      <c r="B2338" s="59" t="n">
        <v>46233</v>
      </c>
      <c r="C2338" s="0" t="n">
        <v>100</v>
      </c>
      <c r="D2338" s="0" t="s">
        <v>2181</v>
      </c>
      <c r="E2338" s="0" t="n">
        <v>42</v>
      </c>
      <c r="F2338" s="0" t="s">
        <v>81</v>
      </c>
      <c r="I2338" s="0" t="n">
        <v>1474024</v>
      </c>
      <c r="J2338" s="0" t="n">
        <v>100638</v>
      </c>
      <c r="K2338" s="0" t="n">
        <v>508</v>
      </c>
      <c r="L2338" s="0" t="s">
        <v>2178</v>
      </c>
      <c r="N2338" s="0" t="n">
        <v>0.631</v>
      </c>
      <c r="O2338" s="60" t="n">
        <v>1.08</v>
      </c>
    </row>
    <row r="2339" customFormat="false" ht="15" hidden="false" customHeight="false" outlineLevel="0" collapsed="false">
      <c r="A2339" s="0" t="n">
        <v>3</v>
      </c>
      <c r="B2339" s="59" t="n">
        <v>46233</v>
      </c>
      <c r="C2339" s="0" t="n">
        <v>100</v>
      </c>
      <c r="D2339" s="0" t="s">
        <v>2181</v>
      </c>
      <c r="E2339" s="0" t="n">
        <v>42</v>
      </c>
      <c r="F2339" s="0" t="s">
        <v>81</v>
      </c>
      <c r="I2339" s="0" t="n">
        <v>1474024</v>
      </c>
      <c r="J2339" s="0" t="n">
        <v>110455</v>
      </c>
      <c r="K2339" s="0" t="n">
        <v>53212</v>
      </c>
      <c r="L2339" s="0" t="s">
        <v>2180</v>
      </c>
      <c r="N2339" s="0" t="n">
        <v>0.328</v>
      </c>
      <c r="O2339" s="60" t="n">
        <v>0</v>
      </c>
    </row>
    <row r="2340" customFormat="false" ht="15" hidden="false" customHeight="false" outlineLevel="0" collapsed="false">
      <c r="A2340" s="0" t="n">
        <v>3</v>
      </c>
      <c r="B2340" s="59" t="n">
        <v>46233</v>
      </c>
      <c r="C2340" s="0" t="n">
        <v>100</v>
      </c>
      <c r="D2340" s="0" t="s">
        <v>2181</v>
      </c>
      <c r="E2340" s="0" t="n">
        <v>42</v>
      </c>
      <c r="F2340" s="0" t="s">
        <v>81</v>
      </c>
      <c r="I2340" s="0" t="n">
        <v>1474027</v>
      </c>
      <c r="J2340" s="0" t="n">
        <v>100004</v>
      </c>
      <c r="K2340" s="0" t="n">
        <v>5</v>
      </c>
      <c r="L2340" s="0" t="s">
        <v>2411</v>
      </c>
      <c r="N2340" s="0" t="n">
        <v>13.893</v>
      </c>
      <c r="O2340" s="60" t="n">
        <v>277.7</v>
      </c>
    </row>
    <row r="2341" customFormat="false" ht="15" hidden="false" customHeight="false" outlineLevel="0" collapsed="false">
      <c r="A2341" s="0" t="n">
        <v>3</v>
      </c>
      <c r="B2341" s="59" t="n">
        <v>46233</v>
      </c>
      <c r="C2341" s="0" t="n">
        <v>100</v>
      </c>
      <c r="D2341" s="0" t="s">
        <v>2181</v>
      </c>
      <c r="E2341" s="0" t="n">
        <v>42</v>
      </c>
      <c r="F2341" s="0" t="s">
        <v>81</v>
      </c>
      <c r="I2341" s="0" t="n">
        <v>1474027</v>
      </c>
      <c r="J2341" s="0" t="n">
        <v>100020</v>
      </c>
      <c r="K2341" s="0" t="n">
        <v>21</v>
      </c>
      <c r="L2341" s="0" t="s">
        <v>2337</v>
      </c>
      <c r="N2341" s="0" t="n">
        <v>1.956</v>
      </c>
      <c r="O2341" s="60" t="n">
        <v>69.71</v>
      </c>
    </row>
    <row r="2342" customFormat="false" ht="15" hidden="false" customHeight="false" outlineLevel="0" collapsed="false">
      <c r="A2342" s="0" t="n">
        <v>3</v>
      </c>
      <c r="B2342" s="59" t="n">
        <v>46233</v>
      </c>
      <c r="C2342" s="0" t="n">
        <v>100</v>
      </c>
      <c r="D2342" s="0" t="s">
        <v>2181</v>
      </c>
      <c r="E2342" s="0" t="n">
        <v>42</v>
      </c>
      <c r="F2342" s="0" t="s">
        <v>81</v>
      </c>
      <c r="I2342" s="0" t="n">
        <v>1474027</v>
      </c>
      <c r="J2342" s="0" t="n">
        <v>100638</v>
      </c>
      <c r="K2342" s="0" t="n">
        <v>508</v>
      </c>
      <c r="L2342" s="0" t="s">
        <v>2178</v>
      </c>
      <c r="N2342" s="0" t="n">
        <v>0.631</v>
      </c>
      <c r="O2342" s="60" t="n">
        <v>1.09</v>
      </c>
    </row>
    <row r="2343" customFormat="false" ht="15" hidden="false" customHeight="false" outlineLevel="0" collapsed="false">
      <c r="A2343" s="0" t="n">
        <v>3</v>
      </c>
      <c r="B2343" s="59" t="n">
        <v>46233</v>
      </c>
      <c r="C2343" s="0" t="n">
        <v>100</v>
      </c>
      <c r="D2343" s="0" t="s">
        <v>2181</v>
      </c>
      <c r="E2343" s="0" t="n">
        <v>42</v>
      </c>
      <c r="F2343" s="0" t="s">
        <v>81</v>
      </c>
      <c r="I2343" s="0" t="n">
        <v>1474027</v>
      </c>
      <c r="J2343" s="0" t="n">
        <v>110455</v>
      </c>
      <c r="K2343" s="0" t="n">
        <v>53212</v>
      </c>
      <c r="L2343" s="0" t="s">
        <v>2180</v>
      </c>
      <c r="N2343" s="0" t="n">
        <v>0.52</v>
      </c>
      <c r="O2343" s="60" t="n">
        <v>0</v>
      </c>
    </row>
    <row r="2344" customFormat="false" ht="15" hidden="false" customHeight="false" outlineLevel="0" collapsed="false">
      <c r="A2344" s="0" t="n">
        <v>3</v>
      </c>
      <c r="B2344" s="59" t="n">
        <v>46234</v>
      </c>
      <c r="C2344" s="0" t="n">
        <v>1</v>
      </c>
      <c r="D2344" s="0" t="s">
        <v>2118</v>
      </c>
      <c r="E2344" s="0" t="n">
        <v>10035</v>
      </c>
      <c r="F2344" s="0" t="s">
        <v>229</v>
      </c>
      <c r="I2344" s="0" t="n">
        <v>388</v>
      </c>
      <c r="J2344" s="0" t="n">
        <v>38652</v>
      </c>
      <c r="K2344" s="0" t="n">
        <v>7898994684220</v>
      </c>
      <c r="L2344" s="0" t="s">
        <v>2246</v>
      </c>
      <c r="N2344" s="0" t="n">
        <v>70</v>
      </c>
      <c r="O2344" s="60" t="n">
        <v>630</v>
      </c>
    </row>
    <row r="2345" customFormat="false" ht="15" hidden="false" customHeight="false" outlineLevel="0" collapsed="false">
      <c r="A2345" s="0" t="n">
        <v>3</v>
      </c>
      <c r="B2345" s="59" t="n">
        <v>46234</v>
      </c>
      <c r="C2345" s="0" t="n">
        <v>1</v>
      </c>
      <c r="D2345" s="0" t="s">
        <v>2118</v>
      </c>
      <c r="E2345" s="0" t="n">
        <v>10035</v>
      </c>
      <c r="F2345" s="0" t="s">
        <v>229</v>
      </c>
      <c r="I2345" s="0" t="n">
        <v>388</v>
      </c>
      <c r="J2345" s="0" t="n">
        <v>38653</v>
      </c>
      <c r="K2345" s="0" t="n">
        <v>7898994684275</v>
      </c>
      <c r="L2345" s="0" t="s">
        <v>2338</v>
      </c>
      <c r="N2345" s="0" t="n">
        <v>50</v>
      </c>
      <c r="O2345" s="60" t="n">
        <v>240</v>
      </c>
    </row>
    <row r="2346" customFormat="false" ht="15" hidden="false" customHeight="false" outlineLevel="0" collapsed="false">
      <c r="A2346" s="0" t="n">
        <v>3</v>
      </c>
      <c r="B2346" s="59" t="n">
        <v>46234</v>
      </c>
      <c r="C2346" s="0" t="n">
        <v>1</v>
      </c>
      <c r="D2346" s="0" t="s">
        <v>2118</v>
      </c>
      <c r="E2346" s="0" t="n">
        <v>10035</v>
      </c>
      <c r="F2346" s="0" t="s">
        <v>229</v>
      </c>
      <c r="I2346" s="0" t="n">
        <v>388</v>
      </c>
      <c r="J2346" s="0" t="n">
        <v>43726</v>
      </c>
      <c r="K2346" s="0" t="n">
        <v>2245461</v>
      </c>
      <c r="L2346" s="0" t="s">
        <v>2339</v>
      </c>
      <c r="N2346" s="0" t="n">
        <v>10</v>
      </c>
      <c r="O2346" s="60" t="n">
        <v>200</v>
      </c>
    </row>
    <row r="2347" customFormat="false" ht="15" hidden="false" customHeight="false" outlineLevel="0" collapsed="false">
      <c r="A2347" s="0" t="n">
        <v>3</v>
      </c>
      <c r="B2347" s="59" t="n">
        <v>46234</v>
      </c>
      <c r="C2347" s="0" t="n">
        <v>6</v>
      </c>
      <c r="D2347" s="0" t="s">
        <v>2125</v>
      </c>
      <c r="E2347" s="0" t="n">
        <v>42</v>
      </c>
      <c r="F2347" s="0" t="s">
        <v>81</v>
      </c>
      <c r="I2347" s="0" t="n">
        <v>4445</v>
      </c>
      <c r="J2347" s="0" t="n">
        <v>74674</v>
      </c>
      <c r="K2347" s="0" t="n">
        <v>741</v>
      </c>
      <c r="L2347" s="0" t="s">
        <v>2473</v>
      </c>
      <c r="N2347" s="0" t="n">
        <v>50</v>
      </c>
      <c r="O2347" s="60" t="n">
        <v>600</v>
      </c>
    </row>
    <row r="2348" customFormat="false" ht="15" hidden="false" customHeight="false" outlineLevel="0" collapsed="false">
      <c r="A2348" s="0" t="n">
        <v>3</v>
      </c>
      <c r="B2348" s="59" t="n">
        <v>46234</v>
      </c>
      <c r="C2348" s="0" t="n">
        <v>6</v>
      </c>
      <c r="D2348" s="0" t="s">
        <v>2125</v>
      </c>
      <c r="E2348" s="0" t="n">
        <v>42</v>
      </c>
      <c r="F2348" s="0" t="s">
        <v>81</v>
      </c>
      <c r="I2348" s="0" t="n">
        <v>4446</v>
      </c>
      <c r="J2348" s="0" t="n">
        <v>109791</v>
      </c>
      <c r="K2348" s="0" t="n">
        <v>9667</v>
      </c>
      <c r="L2348" s="0" t="s">
        <v>2123</v>
      </c>
      <c r="N2348" s="0" t="n">
        <v>8</v>
      </c>
      <c r="O2348" s="60" t="n">
        <v>20</v>
      </c>
    </row>
    <row r="2349" customFormat="false" ht="15" hidden="false" customHeight="false" outlineLevel="0" collapsed="false">
      <c r="A2349" s="0" t="n">
        <v>3</v>
      </c>
      <c r="B2349" s="59" t="n">
        <v>46234</v>
      </c>
      <c r="C2349" s="0" t="n">
        <v>6</v>
      </c>
      <c r="D2349" s="0" t="s">
        <v>2125</v>
      </c>
      <c r="E2349" s="0" t="n">
        <v>42</v>
      </c>
      <c r="F2349" s="0" t="s">
        <v>81</v>
      </c>
      <c r="I2349" s="0" t="n">
        <v>4446</v>
      </c>
      <c r="J2349" s="0" t="n">
        <v>37359</v>
      </c>
      <c r="K2349" s="0" t="n">
        <v>55526</v>
      </c>
      <c r="L2349" s="0" t="s">
        <v>2194</v>
      </c>
      <c r="N2349" s="0" t="n">
        <v>5</v>
      </c>
      <c r="O2349" s="60" t="n">
        <v>25</v>
      </c>
    </row>
    <row r="2350" customFormat="false" ht="15" hidden="false" customHeight="false" outlineLevel="0" collapsed="false">
      <c r="A2350" s="0" t="n">
        <v>3</v>
      </c>
      <c r="B2350" s="59" t="n">
        <v>46234</v>
      </c>
      <c r="C2350" s="0" t="n">
        <v>6</v>
      </c>
      <c r="D2350" s="0" t="s">
        <v>2125</v>
      </c>
      <c r="E2350" s="0" t="n">
        <v>42</v>
      </c>
      <c r="F2350" s="0" t="s">
        <v>81</v>
      </c>
      <c r="I2350" s="0" t="n">
        <v>4446</v>
      </c>
      <c r="J2350" s="0" t="n">
        <v>37361</v>
      </c>
      <c r="K2350" s="0" t="n">
        <v>2240817</v>
      </c>
      <c r="L2350" s="0" t="s">
        <v>2124</v>
      </c>
      <c r="N2350" s="0" t="n">
        <v>50</v>
      </c>
      <c r="O2350" s="60" t="n">
        <v>100</v>
      </c>
    </row>
    <row r="2351" customFormat="false" ht="15" hidden="false" customHeight="false" outlineLevel="0" collapsed="false">
      <c r="A2351" s="0" t="n">
        <v>3</v>
      </c>
      <c r="B2351" s="59" t="n">
        <v>46234</v>
      </c>
      <c r="C2351" s="0" t="n">
        <v>6</v>
      </c>
      <c r="D2351" s="0" t="s">
        <v>2125</v>
      </c>
      <c r="E2351" s="0" t="n">
        <v>42</v>
      </c>
      <c r="F2351" s="0" t="s">
        <v>81</v>
      </c>
      <c r="I2351" s="0" t="n">
        <v>4447</v>
      </c>
      <c r="J2351" s="0" t="n">
        <v>100062</v>
      </c>
      <c r="K2351" s="0" t="n">
        <v>63</v>
      </c>
      <c r="L2351" s="0" t="s">
        <v>2259</v>
      </c>
      <c r="N2351" s="0" t="n">
        <v>9.3</v>
      </c>
      <c r="O2351" s="60" t="n">
        <v>111</v>
      </c>
    </row>
    <row r="2352" customFormat="false" ht="15" hidden="false" customHeight="false" outlineLevel="0" collapsed="false">
      <c r="A2352" s="0" t="n">
        <v>3</v>
      </c>
      <c r="B2352" s="59" t="n">
        <v>46234</v>
      </c>
      <c r="C2352" s="0" t="n">
        <v>6</v>
      </c>
      <c r="D2352" s="0" t="s">
        <v>2125</v>
      </c>
      <c r="E2352" s="0" t="n">
        <v>42</v>
      </c>
      <c r="F2352" s="0" t="s">
        <v>81</v>
      </c>
      <c r="I2352" s="0" t="n">
        <v>4447</v>
      </c>
      <c r="J2352" s="0" t="n">
        <v>100104</v>
      </c>
      <c r="K2352" s="0" t="n">
        <v>105</v>
      </c>
      <c r="L2352" s="0" t="s">
        <v>2260</v>
      </c>
      <c r="N2352" s="0" t="n">
        <v>5</v>
      </c>
      <c r="O2352" s="60" t="n">
        <v>35</v>
      </c>
    </row>
    <row r="2353" customFormat="false" ht="15" hidden="false" customHeight="false" outlineLevel="0" collapsed="false">
      <c r="A2353" s="0" t="n">
        <v>3</v>
      </c>
      <c r="B2353" s="59" t="n">
        <v>46234</v>
      </c>
      <c r="C2353" s="0" t="n">
        <v>6</v>
      </c>
      <c r="D2353" s="0" t="s">
        <v>2125</v>
      </c>
      <c r="E2353" s="0" t="n">
        <v>42</v>
      </c>
      <c r="F2353" s="0" t="s">
        <v>81</v>
      </c>
      <c r="I2353" s="0" t="n">
        <v>4447</v>
      </c>
      <c r="J2353" s="0" t="n">
        <v>100109</v>
      </c>
      <c r="K2353" s="0" t="n">
        <v>110</v>
      </c>
      <c r="L2353" s="0" t="s">
        <v>2261</v>
      </c>
      <c r="N2353" s="0" t="n">
        <v>40</v>
      </c>
      <c r="O2353" s="60" t="n">
        <v>260</v>
      </c>
    </row>
    <row r="2354" customFormat="false" ht="15" hidden="false" customHeight="false" outlineLevel="0" collapsed="false">
      <c r="A2354" s="0" t="n">
        <v>3</v>
      </c>
      <c r="B2354" s="59" t="n">
        <v>46234</v>
      </c>
      <c r="C2354" s="0" t="n">
        <v>6</v>
      </c>
      <c r="D2354" s="0" t="s">
        <v>2125</v>
      </c>
      <c r="E2354" s="0" t="n">
        <v>42</v>
      </c>
      <c r="F2354" s="0" t="s">
        <v>81</v>
      </c>
      <c r="I2354" s="0" t="n">
        <v>4447</v>
      </c>
      <c r="J2354" s="0" t="n">
        <v>100113</v>
      </c>
      <c r="K2354" s="0" t="n">
        <v>114</v>
      </c>
      <c r="L2354" s="0" t="s">
        <v>2264</v>
      </c>
      <c r="N2354" s="0" t="n">
        <v>20</v>
      </c>
      <c r="O2354" s="60" t="n">
        <v>70</v>
      </c>
    </row>
    <row r="2355" customFormat="false" ht="15" hidden="false" customHeight="false" outlineLevel="0" collapsed="false">
      <c r="A2355" s="0" t="n">
        <v>3</v>
      </c>
      <c r="B2355" s="59" t="n">
        <v>46234</v>
      </c>
      <c r="C2355" s="0" t="n">
        <v>6</v>
      </c>
      <c r="D2355" s="0" t="s">
        <v>2125</v>
      </c>
      <c r="E2355" s="0" t="n">
        <v>42</v>
      </c>
      <c r="F2355" s="0" t="s">
        <v>81</v>
      </c>
      <c r="I2355" s="0" t="n">
        <v>4447</v>
      </c>
      <c r="J2355" s="0" t="n">
        <v>100115</v>
      </c>
      <c r="K2355" s="0" t="n">
        <v>116</v>
      </c>
      <c r="L2355" s="0" t="s">
        <v>2265</v>
      </c>
      <c r="N2355" s="0" t="n">
        <v>15</v>
      </c>
      <c r="O2355" s="60" t="n">
        <v>135</v>
      </c>
    </row>
    <row r="2356" customFormat="false" ht="15" hidden="false" customHeight="false" outlineLevel="0" collapsed="false">
      <c r="A2356" s="0" t="n">
        <v>3</v>
      </c>
      <c r="B2356" s="59" t="n">
        <v>46234</v>
      </c>
      <c r="C2356" s="0" t="n">
        <v>6</v>
      </c>
      <c r="D2356" s="0" t="s">
        <v>2125</v>
      </c>
      <c r="E2356" s="0" t="n">
        <v>42</v>
      </c>
      <c r="F2356" s="0" t="s">
        <v>81</v>
      </c>
      <c r="I2356" s="0" t="n">
        <v>4447</v>
      </c>
      <c r="J2356" s="0" t="n">
        <v>100116</v>
      </c>
      <c r="K2356" s="0" t="n">
        <v>117</v>
      </c>
      <c r="L2356" s="0" t="s">
        <v>2266</v>
      </c>
      <c r="N2356" s="0" t="n">
        <v>4</v>
      </c>
      <c r="O2356" s="60" t="n">
        <v>52</v>
      </c>
    </row>
    <row r="2357" customFormat="false" ht="15" hidden="false" customHeight="false" outlineLevel="0" collapsed="false">
      <c r="A2357" s="0" t="n">
        <v>3</v>
      </c>
      <c r="B2357" s="59" t="n">
        <v>46234</v>
      </c>
      <c r="C2357" s="0" t="n">
        <v>6</v>
      </c>
      <c r="D2357" s="0" t="s">
        <v>2125</v>
      </c>
      <c r="E2357" s="0" t="n">
        <v>42</v>
      </c>
      <c r="F2357" s="0" t="s">
        <v>81</v>
      </c>
      <c r="I2357" s="0" t="n">
        <v>4447</v>
      </c>
      <c r="J2357" s="0" t="n">
        <v>100118</v>
      </c>
      <c r="K2357" s="0" t="n">
        <v>119</v>
      </c>
      <c r="L2357" s="0" t="s">
        <v>2267</v>
      </c>
      <c r="N2357" s="0" t="n">
        <v>10</v>
      </c>
      <c r="O2357" s="60" t="n">
        <v>70</v>
      </c>
    </row>
    <row r="2358" customFormat="false" ht="15" hidden="false" customHeight="false" outlineLevel="0" collapsed="false">
      <c r="A2358" s="0" t="n">
        <v>3</v>
      </c>
      <c r="B2358" s="59" t="n">
        <v>46234</v>
      </c>
      <c r="C2358" s="0" t="n">
        <v>6</v>
      </c>
      <c r="D2358" s="0" t="s">
        <v>2125</v>
      </c>
      <c r="E2358" s="0" t="n">
        <v>42</v>
      </c>
      <c r="F2358" s="0" t="s">
        <v>81</v>
      </c>
      <c r="I2358" s="0" t="n">
        <v>4447</v>
      </c>
      <c r="J2358" s="0" t="n">
        <v>100121</v>
      </c>
      <c r="K2358" s="0" t="n">
        <v>122</v>
      </c>
      <c r="L2358" s="0" t="s">
        <v>2422</v>
      </c>
      <c r="N2358" s="0" t="n">
        <v>15</v>
      </c>
      <c r="O2358" s="60" t="n">
        <v>150</v>
      </c>
    </row>
    <row r="2359" customFormat="false" ht="15" hidden="false" customHeight="false" outlineLevel="0" collapsed="false">
      <c r="A2359" s="0" t="n">
        <v>3</v>
      </c>
      <c r="B2359" s="59" t="n">
        <v>46234</v>
      </c>
      <c r="C2359" s="0" t="n">
        <v>6</v>
      </c>
      <c r="D2359" s="0" t="s">
        <v>2125</v>
      </c>
      <c r="E2359" s="0" t="n">
        <v>42</v>
      </c>
      <c r="F2359" s="0" t="s">
        <v>81</v>
      </c>
      <c r="I2359" s="0" t="n">
        <v>4447</v>
      </c>
      <c r="J2359" s="0" t="n">
        <v>100122</v>
      </c>
      <c r="K2359" s="0" t="n">
        <v>123</v>
      </c>
      <c r="L2359" s="0" t="s">
        <v>2423</v>
      </c>
      <c r="N2359" s="0" t="n">
        <v>5</v>
      </c>
      <c r="O2359" s="60" t="n">
        <v>45</v>
      </c>
    </row>
    <row r="2360" customFormat="false" ht="15" hidden="false" customHeight="false" outlineLevel="0" collapsed="false">
      <c r="A2360" s="0" t="n">
        <v>3</v>
      </c>
      <c r="B2360" s="59" t="n">
        <v>46234</v>
      </c>
      <c r="C2360" s="0" t="n">
        <v>6</v>
      </c>
      <c r="D2360" s="0" t="s">
        <v>2125</v>
      </c>
      <c r="E2360" s="0" t="n">
        <v>42</v>
      </c>
      <c r="F2360" s="0" t="s">
        <v>81</v>
      </c>
      <c r="I2360" s="0" t="n">
        <v>4447</v>
      </c>
      <c r="J2360" s="0" t="n">
        <v>100123</v>
      </c>
      <c r="K2360" s="0" t="n">
        <v>124</v>
      </c>
      <c r="L2360" s="0" t="s">
        <v>2268</v>
      </c>
      <c r="N2360" s="0" t="n">
        <v>3</v>
      </c>
      <c r="O2360" s="60" t="n">
        <v>30</v>
      </c>
    </row>
    <row r="2361" customFormat="false" ht="15" hidden="false" customHeight="false" outlineLevel="0" collapsed="false">
      <c r="A2361" s="0" t="n">
        <v>3</v>
      </c>
      <c r="B2361" s="59" t="n">
        <v>46234</v>
      </c>
      <c r="C2361" s="0" t="n">
        <v>6</v>
      </c>
      <c r="D2361" s="0" t="s">
        <v>2125</v>
      </c>
      <c r="E2361" s="0" t="n">
        <v>42</v>
      </c>
      <c r="F2361" s="0" t="s">
        <v>81</v>
      </c>
      <c r="I2361" s="0" t="n">
        <v>4447</v>
      </c>
      <c r="J2361" s="0" t="n">
        <v>100124</v>
      </c>
      <c r="K2361" s="0" t="n">
        <v>125</v>
      </c>
      <c r="L2361" s="0" t="s">
        <v>2269</v>
      </c>
      <c r="N2361" s="0" t="n">
        <v>9.2</v>
      </c>
      <c r="O2361" s="60" t="n">
        <v>82.5</v>
      </c>
    </row>
    <row r="2362" customFormat="false" ht="15" hidden="false" customHeight="false" outlineLevel="0" collapsed="false">
      <c r="A2362" s="0" t="n">
        <v>3</v>
      </c>
      <c r="B2362" s="59" t="n">
        <v>46234</v>
      </c>
      <c r="C2362" s="0" t="n">
        <v>6</v>
      </c>
      <c r="D2362" s="0" t="s">
        <v>2125</v>
      </c>
      <c r="E2362" s="0" t="n">
        <v>42</v>
      </c>
      <c r="F2362" s="0" t="s">
        <v>81</v>
      </c>
      <c r="I2362" s="0" t="n">
        <v>4447</v>
      </c>
      <c r="J2362" s="0" t="n">
        <v>100125</v>
      </c>
      <c r="K2362" s="0" t="n">
        <v>126</v>
      </c>
      <c r="L2362" s="0" t="s">
        <v>2424</v>
      </c>
      <c r="N2362" s="0" t="n">
        <v>40</v>
      </c>
      <c r="O2362" s="60" t="n">
        <v>240</v>
      </c>
    </row>
    <row r="2363" customFormat="false" ht="15" hidden="false" customHeight="false" outlineLevel="0" collapsed="false">
      <c r="A2363" s="0" t="n">
        <v>3</v>
      </c>
      <c r="B2363" s="59" t="n">
        <v>46234</v>
      </c>
      <c r="C2363" s="0" t="n">
        <v>6</v>
      </c>
      <c r="D2363" s="0" t="s">
        <v>2125</v>
      </c>
      <c r="E2363" s="0" t="n">
        <v>42</v>
      </c>
      <c r="F2363" s="0" t="s">
        <v>81</v>
      </c>
      <c r="I2363" s="0" t="n">
        <v>4447</v>
      </c>
      <c r="J2363" s="0" t="n">
        <v>100132</v>
      </c>
      <c r="K2363" s="0" t="n">
        <v>133</v>
      </c>
      <c r="L2363" s="0" t="s">
        <v>2270</v>
      </c>
      <c r="N2363" s="0" t="n">
        <v>51.25</v>
      </c>
      <c r="O2363" s="60" t="n">
        <v>150</v>
      </c>
    </row>
    <row r="2364" customFormat="false" ht="15" hidden="false" customHeight="false" outlineLevel="0" collapsed="false">
      <c r="A2364" s="0" t="n">
        <v>3</v>
      </c>
      <c r="B2364" s="59" t="n">
        <v>46234</v>
      </c>
      <c r="C2364" s="0" t="n">
        <v>6</v>
      </c>
      <c r="D2364" s="0" t="s">
        <v>2125</v>
      </c>
      <c r="E2364" s="0" t="n">
        <v>42</v>
      </c>
      <c r="F2364" s="0" t="s">
        <v>81</v>
      </c>
      <c r="I2364" s="0" t="n">
        <v>4447</v>
      </c>
      <c r="J2364" s="0" t="n">
        <v>100133</v>
      </c>
      <c r="K2364" s="0" t="n">
        <v>134</v>
      </c>
      <c r="L2364" s="0" t="s">
        <v>2271</v>
      </c>
      <c r="N2364" s="0" t="n">
        <v>10</v>
      </c>
      <c r="O2364" s="60" t="n">
        <v>60</v>
      </c>
    </row>
    <row r="2365" customFormat="false" ht="15" hidden="false" customHeight="false" outlineLevel="0" collapsed="false">
      <c r="A2365" s="0" t="n">
        <v>3</v>
      </c>
      <c r="B2365" s="59" t="n">
        <v>46234</v>
      </c>
      <c r="C2365" s="0" t="n">
        <v>6</v>
      </c>
      <c r="D2365" s="0" t="s">
        <v>2125</v>
      </c>
      <c r="E2365" s="0" t="n">
        <v>42</v>
      </c>
      <c r="F2365" s="0" t="s">
        <v>81</v>
      </c>
      <c r="I2365" s="0" t="n">
        <v>4447</v>
      </c>
      <c r="J2365" s="0" t="n">
        <v>100148</v>
      </c>
      <c r="K2365" s="0" t="n">
        <v>149</v>
      </c>
      <c r="L2365" s="0" t="s">
        <v>2272</v>
      </c>
      <c r="N2365" s="0" t="n">
        <v>5.7</v>
      </c>
      <c r="O2365" s="60" t="n">
        <v>68</v>
      </c>
    </row>
    <row r="2366" customFormat="false" ht="15" hidden="false" customHeight="false" outlineLevel="0" collapsed="false">
      <c r="A2366" s="0" t="n">
        <v>3</v>
      </c>
      <c r="B2366" s="59" t="n">
        <v>46234</v>
      </c>
      <c r="C2366" s="0" t="n">
        <v>6</v>
      </c>
      <c r="D2366" s="0" t="s">
        <v>2125</v>
      </c>
      <c r="E2366" s="0" t="n">
        <v>42</v>
      </c>
      <c r="F2366" s="0" t="s">
        <v>81</v>
      </c>
      <c r="I2366" s="0" t="n">
        <v>4447</v>
      </c>
      <c r="J2366" s="0" t="n">
        <v>110142</v>
      </c>
      <c r="K2366" s="0" t="n">
        <v>16699</v>
      </c>
      <c r="L2366" s="0" t="s">
        <v>2273</v>
      </c>
      <c r="N2366" s="0" t="n">
        <v>20</v>
      </c>
      <c r="O2366" s="60" t="n">
        <v>120</v>
      </c>
    </row>
    <row r="2367" customFormat="false" ht="15" hidden="false" customHeight="false" outlineLevel="0" collapsed="false">
      <c r="A2367" s="0" t="n">
        <v>3</v>
      </c>
      <c r="B2367" s="59" t="n">
        <v>46234</v>
      </c>
      <c r="C2367" s="0" t="n">
        <v>6</v>
      </c>
      <c r="D2367" s="0" t="s">
        <v>2125</v>
      </c>
      <c r="E2367" s="0" t="n">
        <v>42</v>
      </c>
      <c r="F2367" s="0" t="s">
        <v>81</v>
      </c>
      <c r="I2367" s="0" t="n">
        <v>4447</v>
      </c>
      <c r="J2367" s="0" t="n">
        <v>110265</v>
      </c>
      <c r="K2367" s="0" t="n">
        <v>41346</v>
      </c>
      <c r="L2367" s="0" t="s">
        <v>3007</v>
      </c>
      <c r="N2367" s="0" t="n">
        <v>7.99</v>
      </c>
      <c r="O2367" s="60" t="n">
        <v>95.5</v>
      </c>
    </row>
    <row r="2368" customFormat="false" ht="15" hidden="false" customHeight="false" outlineLevel="0" collapsed="false">
      <c r="A2368" s="0" t="n">
        <v>3</v>
      </c>
      <c r="B2368" s="59" t="n">
        <v>46234</v>
      </c>
      <c r="C2368" s="0" t="n">
        <v>11</v>
      </c>
      <c r="D2368" s="0" t="s">
        <v>2126</v>
      </c>
      <c r="E2368" s="0" t="n">
        <v>875</v>
      </c>
      <c r="F2368" s="0" t="s">
        <v>632</v>
      </c>
      <c r="I2368" s="0" t="n">
        <v>1887</v>
      </c>
      <c r="J2368" s="0" t="n">
        <v>59227</v>
      </c>
      <c r="K2368" s="0" t="n">
        <v>7908124297876</v>
      </c>
      <c r="L2368" s="0" t="s">
        <v>3182</v>
      </c>
      <c r="N2368" s="0" t="n">
        <v>6</v>
      </c>
      <c r="O2368" s="60" t="n">
        <v>264</v>
      </c>
    </row>
    <row r="2369" customFormat="false" ht="15" hidden="false" customHeight="false" outlineLevel="0" collapsed="false">
      <c r="A2369" s="0" t="n">
        <v>3</v>
      </c>
      <c r="B2369" s="59" t="n">
        <v>46234</v>
      </c>
      <c r="C2369" s="0" t="n">
        <v>11</v>
      </c>
      <c r="D2369" s="0" t="s">
        <v>2126</v>
      </c>
      <c r="E2369" s="0" t="n">
        <v>875</v>
      </c>
      <c r="F2369" s="0" t="s">
        <v>632</v>
      </c>
      <c r="I2369" s="0" t="n">
        <v>1887</v>
      </c>
      <c r="J2369" s="0" t="n">
        <v>59622</v>
      </c>
      <c r="K2369" s="0" t="n">
        <v>819725</v>
      </c>
      <c r="L2369" s="0" t="s">
        <v>3183</v>
      </c>
      <c r="N2369" s="0" t="n">
        <v>6</v>
      </c>
      <c r="O2369" s="60" t="n">
        <v>96</v>
      </c>
    </row>
    <row r="2370" customFormat="false" ht="15" hidden="false" customHeight="false" outlineLevel="0" collapsed="false">
      <c r="A2370" s="0" t="n">
        <v>3</v>
      </c>
      <c r="B2370" s="59" t="n">
        <v>46234</v>
      </c>
      <c r="C2370" s="0" t="n">
        <v>11</v>
      </c>
      <c r="D2370" s="0" t="s">
        <v>2126</v>
      </c>
      <c r="E2370" s="0" t="n">
        <v>875</v>
      </c>
      <c r="F2370" s="0" t="s">
        <v>632</v>
      </c>
      <c r="I2370" s="0" t="n">
        <v>1887</v>
      </c>
      <c r="J2370" s="0" t="n">
        <v>59625</v>
      </c>
      <c r="K2370" s="0" t="n">
        <v>7899612200334</v>
      </c>
      <c r="L2370" s="0" t="s">
        <v>3184</v>
      </c>
      <c r="N2370" s="0" t="n">
        <v>6</v>
      </c>
      <c r="O2370" s="60" t="n">
        <v>72</v>
      </c>
    </row>
    <row r="2371" customFormat="false" ht="15" hidden="false" customHeight="false" outlineLevel="0" collapsed="false">
      <c r="A2371" s="0" t="n">
        <v>3</v>
      </c>
      <c r="B2371" s="59" t="n">
        <v>46234</v>
      </c>
      <c r="C2371" s="0" t="n">
        <v>11</v>
      </c>
      <c r="D2371" s="0" t="s">
        <v>2126</v>
      </c>
      <c r="E2371" s="0" t="n">
        <v>875</v>
      </c>
      <c r="F2371" s="0" t="s">
        <v>632</v>
      </c>
      <c r="I2371" s="0" t="n">
        <v>1887</v>
      </c>
      <c r="J2371" s="0" t="n">
        <v>60427</v>
      </c>
      <c r="K2371" s="0" t="n">
        <v>7899085126087</v>
      </c>
      <c r="L2371" s="0" t="s">
        <v>3185</v>
      </c>
      <c r="N2371" s="0" t="n">
        <v>6</v>
      </c>
      <c r="O2371" s="60" t="n">
        <v>270</v>
      </c>
    </row>
    <row r="2372" customFormat="false" ht="15" hidden="false" customHeight="false" outlineLevel="0" collapsed="false">
      <c r="A2372" s="0" t="n">
        <v>3</v>
      </c>
      <c r="B2372" s="59" t="n">
        <v>46234</v>
      </c>
      <c r="C2372" s="0" t="n">
        <v>11</v>
      </c>
      <c r="D2372" s="0" t="s">
        <v>2126</v>
      </c>
      <c r="E2372" s="0" t="n">
        <v>875</v>
      </c>
      <c r="F2372" s="0" t="s">
        <v>632</v>
      </c>
      <c r="I2372" s="0" t="n">
        <v>1887</v>
      </c>
      <c r="J2372" s="0" t="n">
        <v>63003</v>
      </c>
      <c r="K2372" s="0" t="n">
        <v>7899454402521</v>
      </c>
      <c r="L2372" s="0" t="s">
        <v>3186</v>
      </c>
      <c r="N2372" s="0" t="n">
        <v>6</v>
      </c>
      <c r="O2372" s="60" t="n">
        <v>84</v>
      </c>
    </row>
    <row r="2373" customFormat="false" ht="15" hidden="false" customHeight="false" outlineLevel="0" collapsed="false">
      <c r="A2373" s="0" t="n">
        <v>3</v>
      </c>
      <c r="B2373" s="59" t="n">
        <v>46234</v>
      </c>
      <c r="C2373" s="0" t="n">
        <v>11</v>
      </c>
      <c r="D2373" s="0" t="s">
        <v>2126</v>
      </c>
      <c r="E2373" s="0" t="n">
        <v>875</v>
      </c>
      <c r="F2373" s="0" t="s">
        <v>632</v>
      </c>
      <c r="I2373" s="0" t="n">
        <v>1887</v>
      </c>
      <c r="J2373" s="0" t="n">
        <v>65505</v>
      </c>
      <c r="K2373" s="0" t="n">
        <v>7899085714109</v>
      </c>
      <c r="L2373" s="0" t="s">
        <v>3187</v>
      </c>
      <c r="N2373" s="0" t="n">
        <v>10</v>
      </c>
      <c r="O2373" s="60" t="n">
        <v>120</v>
      </c>
    </row>
    <row r="2374" customFormat="false" ht="15" hidden="false" customHeight="false" outlineLevel="0" collapsed="false">
      <c r="A2374" s="0" t="n">
        <v>3</v>
      </c>
      <c r="B2374" s="59" t="n">
        <v>46234</v>
      </c>
      <c r="C2374" s="0" t="n">
        <v>11</v>
      </c>
      <c r="D2374" s="0" t="s">
        <v>2126</v>
      </c>
      <c r="E2374" s="0" t="n">
        <v>875</v>
      </c>
      <c r="F2374" s="0" t="s">
        <v>632</v>
      </c>
      <c r="I2374" s="0" t="n">
        <v>1887</v>
      </c>
      <c r="J2374" s="0" t="n">
        <v>66039</v>
      </c>
      <c r="K2374" s="0" t="n">
        <v>7898729411619</v>
      </c>
      <c r="L2374" s="0" t="s">
        <v>3188</v>
      </c>
      <c r="N2374" s="0" t="n">
        <v>6</v>
      </c>
      <c r="O2374" s="60" t="n">
        <v>198</v>
      </c>
    </row>
    <row r="2375" customFormat="false" ht="15" hidden="false" customHeight="false" outlineLevel="0" collapsed="false">
      <c r="A2375" s="0" t="n">
        <v>3</v>
      </c>
      <c r="B2375" s="59" t="n">
        <v>46234</v>
      </c>
      <c r="C2375" s="0" t="n">
        <v>11</v>
      </c>
      <c r="D2375" s="0" t="s">
        <v>2126</v>
      </c>
      <c r="E2375" s="0" t="n">
        <v>875</v>
      </c>
      <c r="F2375" s="0" t="s">
        <v>632</v>
      </c>
      <c r="I2375" s="0" t="n">
        <v>1887</v>
      </c>
      <c r="J2375" s="0" t="n">
        <v>68282</v>
      </c>
      <c r="K2375" s="0" t="n">
        <v>7908044608264</v>
      </c>
      <c r="L2375" s="0" t="s">
        <v>3189</v>
      </c>
      <c r="N2375" s="0" t="n">
        <v>3</v>
      </c>
      <c r="O2375" s="60" t="n">
        <v>51</v>
      </c>
    </row>
    <row r="2376" customFormat="false" ht="15" hidden="false" customHeight="false" outlineLevel="0" collapsed="false">
      <c r="A2376" s="0" t="n">
        <v>3</v>
      </c>
      <c r="B2376" s="59" t="n">
        <v>46234</v>
      </c>
      <c r="C2376" s="0" t="n">
        <v>11</v>
      </c>
      <c r="D2376" s="0" t="s">
        <v>2126</v>
      </c>
      <c r="E2376" s="0" t="n">
        <v>875</v>
      </c>
      <c r="F2376" s="0" t="s">
        <v>632</v>
      </c>
      <c r="I2376" s="0" t="n">
        <v>1887</v>
      </c>
      <c r="J2376" s="0" t="n">
        <v>70641</v>
      </c>
      <c r="K2376" s="0" t="n">
        <v>7865566612134</v>
      </c>
      <c r="L2376" s="0" t="s">
        <v>3190</v>
      </c>
      <c r="N2376" s="0" t="n">
        <v>6</v>
      </c>
      <c r="O2376" s="60" t="n">
        <v>102</v>
      </c>
    </row>
    <row r="2377" customFormat="false" ht="15" hidden="false" customHeight="false" outlineLevel="0" collapsed="false">
      <c r="A2377" s="0" t="n">
        <v>3</v>
      </c>
      <c r="B2377" s="59" t="n">
        <v>46234</v>
      </c>
      <c r="C2377" s="0" t="n">
        <v>11</v>
      </c>
      <c r="D2377" s="0" t="s">
        <v>2126</v>
      </c>
      <c r="E2377" s="0" t="n">
        <v>875</v>
      </c>
      <c r="F2377" s="0" t="s">
        <v>632</v>
      </c>
      <c r="I2377" s="0" t="n">
        <v>1887</v>
      </c>
      <c r="J2377" s="0" t="n">
        <v>71229</v>
      </c>
      <c r="K2377" s="0" t="n">
        <v>7893095588637</v>
      </c>
      <c r="L2377" s="0" t="s">
        <v>3191</v>
      </c>
      <c r="N2377" s="0" t="n">
        <v>2</v>
      </c>
      <c r="O2377" s="60" t="n">
        <v>64</v>
      </c>
    </row>
    <row r="2378" customFormat="false" ht="15" hidden="false" customHeight="false" outlineLevel="0" collapsed="false">
      <c r="A2378" s="0" t="n">
        <v>3</v>
      </c>
      <c r="B2378" s="59" t="n">
        <v>46234</v>
      </c>
      <c r="C2378" s="0" t="n">
        <v>11</v>
      </c>
      <c r="D2378" s="0" t="s">
        <v>2126</v>
      </c>
      <c r="E2378" s="0" t="n">
        <v>875</v>
      </c>
      <c r="F2378" s="0" t="s">
        <v>632</v>
      </c>
      <c r="I2378" s="0" t="n">
        <v>1887</v>
      </c>
      <c r="J2378" s="0" t="n">
        <v>72713</v>
      </c>
      <c r="K2378" s="0" t="n">
        <v>7908044605171</v>
      </c>
      <c r="L2378" s="0" t="s">
        <v>3192</v>
      </c>
      <c r="N2378" s="0" t="n">
        <v>6</v>
      </c>
      <c r="O2378" s="60" t="n">
        <v>66</v>
      </c>
    </row>
    <row r="2379" customFormat="false" ht="15" hidden="false" customHeight="false" outlineLevel="0" collapsed="false">
      <c r="A2379" s="0" t="n">
        <v>3</v>
      </c>
      <c r="B2379" s="59" t="n">
        <v>46234</v>
      </c>
      <c r="C2379" s="0" t="n">
        <v>11</v>
      </c>
      <c r="D2379" s="0" t="s">
        <v>2126</v>
      </c>
      <c r="E2379" s="0" t="n">
        <v>875</v>
      </c>
      <c r="F2379" s="0" t="s">
        <v>632</v>
      </c>
      <c r="I2379" s="0" t="n">
        <v>1887</v>
      </c>
      <c r="J2379" s="0" t="n">
        <v>74012</v>
      </c>
      <c r="K2379" s="0" t="n">
        <v>7908782200836</v>
      </c>
      <c r="L2379" s="0" t="s">
        <v>3193</v>
      </c>
      <c r="N2379" s="0" t="n">
        <v>6</v>
      </c>
      <c r="O2379" s="60" t="n">
        <v>72</v>
      </c>
    </row>
    <row r="2380" customFormat="false" ht="15" hidden="false" customHeight="false" outlineLevel="0" collapsed="false">
      <c r="A2380" s="0" t="n">
        <v>3</v>
      </c>
      <c r="B2380" s="59" t="n">
        <v>46234</v>
      </c>
      <c r="C2380" s="0" t="n">
        <v>11</v>
      </c>
      <c r="D2380" s="0" t="s">
        <v>2126</v>
      </c>
      <c r="E2380" s="0" t="n">
        <v>875</v>
      </c>
      <c r="F2380" s="0" t="s">
        <v>632</v>
      </c>
      <c r="I2380" s="0" t="n">
        <v>1887</v>
      </c>
      <c r="J2380" s="0" t="n">
        <v>74015</v>
      </c>
      <c r="K2380" s="0" t="n">
        <v>7893095164305</v>
      </c>
      <c r="L2380" s="0" t="s">
        <v>3194</v>
      </c>
      <c r="N2380" s="0" t="n">
        <v>10</v>
      </c>
      <c r="O2380" s="60" t="n">
        <v>110</v>
      </c>
    </row>
    <row r="2381" customFormat="false" ht="15" hidden="false" customHeight="false" outlineLevel="0" collapsed="false">
      <c r="A2381" s="0" t="n">
        <v>3</v>
      </c>
      <c r="B2381" s="59" t="n">
        <v>46234</v>
      </c>
      <c r="C2381" s="0" t="n">
        <v>11</v>
      </c>
      <c r="D2381" s="0" t="s">
        <v>2126</v>
      </c>
      <c r="E2381" s="0" t="n">
        <v>875</v>
      </c>
      <c r="F2381" s="0" t="s">
        <v>632</v>
      </c>
      <c r="I2381" s="0" t="n">
        <v>1887</v>
      </c>
      <c r="J2381" s="0" t="n">
        <v>76142</v>
      </c>
      <c r="K2381" s="0" t="n">
        <v>7908782200270</v>
      </c>
      <c r="L2381" s="0" t="s">
        <v>3195</v>
      </c>
      <c r="N2381" s="0" t="n">
        <v>6</v>
      </c>
      <c r="O2381" s="60" t="n">
        <v>66</v>
      </c>
    </row>
    <row r="2382" customFormat="false" ht="15" hidden="false" customHeight="false" outlineLevel="0" collapsed="false">
      <c r="A2382" s="0" t="n">
        <v>3</v>
      </c>
      <c r="B2382" s="59" t="n">
        <v>46234</v>
      </c>
      <c r="C2382" s="0" t="n">
        <v>11</v>
      </c>
      <c r="D2382" s="0" t="s">
        <v>2126</v>
      </c>
      <c r="E2382" s="0" t="n">
        <v>875</v>
      </c>
      <c r="F2382" s="0" t="s">
        <v>632</v>
      </c>
      <c r="I2382" s="0" t="n">
        <v>1887</v>
      </c>
      <c r="J2382" s="0" t="n">
        <v>78362</v>
      </c>
      <c r="K2382" s="0" t="n">
        <v>7899085713539</v>
      </c>
      <c r="L2382" s="0" t="s">
        <v>3196</v>
      </c>
      <c r="N2382" s="0" t="n">
        <v>20</v>
      </c>
      <c r="O2382" s="60" t="n">
        <v>110</v>
      </c>
    </row>
    <row r="2383" customFormat="false" ht="15" hidden="false" customHeight="false" outlineLevel="0" collapsed="false">
      <c r="A2383" s="0" t="n">
        <v>3</v>
      </c>
      <c r="B2383" s="59" t="n">
        <v>46234</v>
      </c>
      <c r="C2383" s="0" t="n">
        <v>11</v>
      </c>
      <c r="D2383" s="0" t="s">
        <v>2126</v>
      </c>
      <c r="E2383" s="0" t="n">
        <v>875</v>
      </c>
      <c r="F2383" s="0" t="s">
        <v>632</v>
      </c>
      <c r="I2383" s="0" t="n">
        <v>1887</v>
      </c>
      <c r="J2383" s="0" t="n">
        <v>78638</v>
      </c>
      <c r="K2383" s="0" t="n">
        <v>7908338408563</v>
      </c>
      <c r="L2383" s="0" t="s">
        <v>3197</v>
      </c>
      <c r="N2383" s="0" t="n">
        <v>3</v>
      </c>
      <c r="O2383" s="60" t="n">
        <v>22.5</v>
      </c>
    </row>
    <row r="2384" customFormat="false" ht="15" hidden="false" customHeight="false" outlineLevel="0" collapsed="false">
      <c r="A2384" s="0" t="n">
        <v>3</v>
      </c>
      <c r="B2384" s="59" t="n">
        <v>46234</v>
      </c>
      <c r="C2384" s="0" t="n">
        <v>11</v>
      </c>
      <c r="D2384" s="0" t="s">
        <v>2126</v>
      </c>
      <c r="E2384" s="0" t="n">
        <v>875</v>
      </c>
      <c r="F2384" s="0" t="s">
        <v>632</v>
      </c>
      <c r="I2384" s="0" t="n">
        <v>1887</v>
      </c>
      <c r="J2384" s="0" t="n">
        <v>78639</v>
      </c>
      <c r="K2384" s="0" t="n">
        <v>7908338408556</v>
      </c>
      <c r="L2384" s="0" t="s">
        <v>3198</v>
      </c>
      <c r="N2384" s="0" t="n">
        <v>3</v>
      </c>
      <c r="O2384" s="60" t="n">
        <v>22.5</v>
      </c>
    </row>
    <row r="2385" customFormat="false" ht="15" hidden="false" customHeight="false" outlineLevel="0" collapsed="false">
      <c r="A2385" s="0" t="n">
        <v>3</v>
      </c>
      <c r="B2385" s="59" t="n">
        <v>46234</v>
      </c>
      <c r="C2385" s="0" t="n">
        <v>11</v>
      </c>
      <c r="D2385" s="0" t="s">
        <v>2126</v>
      </c>
      <c r="E2385" s="0" t="n">
        <v>875</v>
      </c>
      <c r="F2385" s="0" t="s">
        <v>632</v>
      </c>
      <c r="I2385" s="0" t="n">
        <v>1887</v>
      </c>
      <c r="J2385" s="0" t="n">
        <v>78642</v>
      </c>
      <c r="K2385" s="0" t="n">
        <v>7908338408570</v>
      </c>
      <c r="L2385" s="0" t="s">
        <v>3199</v>
      </c>
      <c r="N2385" s="0" t="n">
        <v>3</v>
      </c>
      <c r="O2385" s="60" t="n">
        <v>27</v>
      </c>
    </row>
    <row r="2386" customFormat="false" ht="15" hidden="false" customHeight="false" outlineLevel="0" collapsed="false">
      <c r="A2386" s="0" t="n">
        <v>3</v>
      </c>
      <c r="B2386" s="59" t="n">
        <v>46234</v>
      </c>
      <c r="C2386" s="0" t="n">
        <v>11</v>
      </c>
      <c r="D2386" s="0" t="s">
        <v>2126</v>
      </c>
      <c r="E2386" s="0" t="n">
        <v>875</v>
      </c>
      <c r="F2386" s="0" t="s">
        <v>632</v>
      </c>
      <c r="I2386" s="0" t="n">
        <v>1887</v>
      </c>
      <c r="J2386" s="0" t="n">
        <v>78643</v>
      </c>
      <c r="K2386" s="0" t="n">
        <v>7908782200454</v>
      </c>
      <c r="L2386" s="0" t="s">
        <v>3200</v>
      </c>
      <c r="N2386" s="0" t="n">
        <v>5</v>
      </c>
      <c r="O2386" s="60" t="n">
        <v>85</v>
      </c>
    </row>
    <row r="2387" customFormat="false" ht="15" hidden="false" customHeight="false" outlineLevel="0" collapsed="false">
      <c r="A2387" s="0" t="n">
        <v>3</v>
      </c>
      <c r="B2387" s="59" t="n">
        <v>46234</v>
      </c>
      <c r="C2387" s="0" t="n">
        <v>11</v>
      </c>
      <c r="D2387" s="0" t="s">
        <v>2126</v>
      </c>
      <c r="E2387" s="0" t="n">
        <v>875</v>
      </c>
      <c r="F2387" s="0" t="s">
        <v>632</v>
      </c>
      <c r="I2387" s="0" t="n">
        <v>1887</v>
      </c>
      <c r="J2387" s="0" t="n">
        <v>78644</v>
      </c>
      <c r="K2387" s="0" t="n">
        <v>7908782208795</v>
      </c>
      <c r="L2387" s="0" t="s">
        <v>3201</v>
      </c>
      <c r="N2387" s="0" t="n">
        <v>6</v>
      </c>
      <c r="O2387" s="60" t="n">
        <v>102</v>
      </c>
    </row>
    <row r="2388" customFormat="false" ht="15" hidden="false" customHeight="false" outlineLevel="0" collapsed="false">
      <c r="A2388" s="0" t="n">
        <v>3</v>
      </c>
      <c r="B2388" s="59" t="n">
        <v>46234</v>
      </c>
      <c r="C2388" s="0" t="n">
        <v>11</v>
      </c>
      <c r="D2388" s="0" t="s">
        <v>2126</v>
      </c>
      <c r="E2388" s="0" t="n">
        <v>875</v>
      </c>
      <c r="F2388" s="0" t="s">
        <v>632</v>
      </c>
      <c r="I2388" s="0" t="n">
        <v>1887</v>
      </c>
      <c r="J2388" s="0" t="n">
        <v>78822</v>
      </c>
      <c r="K2388" s="0" t="n">
        <v>6982708231099</v>
      </c>
      <c r="L2388" s="0" t="s">
        <v>3202</v>
      </c>
      <c r="N2388" s="0" t="n">
        <v>10</v>
      </c>
      <c r="O2388" s="60" t="n">
        <v>100</v>
      </c>
    </row>
    <row r="2389" customFormat="false" ht="15" hidden="false" customHeight="false" outlineLevel="0" collapsed="false">
      <c r="A2389" s="0" t="n">
        <v>3</v>
      </c>
      <c r="B2389" s="59" t="n">
        <v>46234</v>
      </c>
      <c r="C2389" s="0" t="n">
        <v>11</v>
      </c>
      <c r="D2389" s="0" t="s">
        <v>2126</v>
      </c>
      <c r="E2389" s="0" t="n">
        <v>875</v>
      </c>
      <c r="F2389" s="0" t="s">
        <v>632</v>
      </c>
      <c r="I2389" s="0" t="n">
        <v>1887</v>
      </c>
      <c r="J2389" s="0" t="n">
        <v>78836</v>
      </c>
      <c r="K2389" s="0" t="n">
        <v>7899085589820</v>
      </c>
      <c r="L2389" s="0" t="s">
        <v>3203</v>
      </c>
      <c r="N2389" s="0" t="n">
        <v>20</v>
      </c>
      <c r="O2389" s="60" t="n">
        <v>90</v>
      </c>
    </row>
    <row r="2390" customFormat="false" ht="15" hidden="false" customHeight="false" outlineLevel="0" collapsed="false">
      <c r="A2390" s="0" t="n">
        <v>3</v>
      </c>
      <c r="B2390" s="59" t="n">
        <v>46234</v>
      </c>
      <c r="C2390" s="0" t="n">
        <v>11</v>
      </c>
      <c r="D2390" s="0" t="s">
        <v>2126</v>
      </c>
      <c r="E2390" s="0" t="n">
        <v>875</v>
      </c>
      <c r="F2390" s="0" t="s">
        <v>632</v>
      </c>
      <c r="I2390" s="0" t="n">
        <v>1887</v>
      </c>
      <c r="J2390" s="0" t="n">
        <v>79763</v>
      </c>
      <c r="K2390" s="0" t="n">
        <v>7893095592368</v>
      </c>
      <c r="L2390" s="0" t="s">
        <v>3204</v>
      </c>
      <c r="N2390" s="0" t="n">
        <v>3</v>
      </c>
      <c r="O2390" s="60" t="n">
        <v>90</v>
      </c>
    </row>
    <row r="2391" customFormat="false" ht="15" hidden="false" customHeight="false" outlineLevel="0" collapsed="false">
      <c r="A2391" s="0" t="n">
        <v>3</v>
      </c>
      <c r="B2391" s="59" t="n">
        <v>46234</v>
      </c>
      <c r="C2391" s="0" t="n">
        <v>11</v>
      </c>
      <c r="D2391" s="0" t="s">
        <v>2126</v>
      </c>
      <c r="E2391" s="0" t="n">
        <v>875</v>
      </c>
      <c r="F2391" s="0" t="s">
        <v>632</v>
      </c>
      <c r="I2391" s="0" t="n">
        <v>1887</v>
      </c>
      <c r="J2391" s="0" t="n">
        <v>80131</v>
      </c>
      <c r="K2391" s="0" t="n">
        <v>6934177708800</v>
      </c>
      <c r="L2391" s="0" t="s">
        <v>3205</v>
      </c>
      <c r="N2391" s="0" t="n">
        <v>10</v>
      </c>
      <c r="O2391" s="60" t="n">
        <v>170</v>
      </c>
    </row>
    <row r="2392" customFormat="false" ht="15" hidden="false" customHeight="false" outlineLevel="0" collapsed="false">
      <c r="A2392" s="0" t="n">
        <v>3</v>
      </c>
      <c r="B2392" s="59" t="n">
        <v>46234</v>
      </c>
      <c r="C2392" s="0" t="n">
        <v>11</v>
      </c>
      <c r="D2392" s="0" t="s">
        <v>2126</v>
      </c>
      <c r="E2392" s="0" t="n">
        <v>875</v>
      </c>
      <c r="F2392" s="0" t="s">
        <v>632</v>
      </c>
      <c r="I2392" s="0" t="n">
        <v>1887</v>
      </c>
      <c r="J2392" s="0" t="n">
        <v>81048</v>
      </c>
      <c r="K2392" s="0" t="n">
        <v>7448070403551</v>
      </c>
      <c r="L2392" s="0" t="s">
        <v>3206</v>
      </c>
      <c r="N2392" s="0" t="n">
        <v>10</v>
      </c>
      <c r="O2392" s="60" t="n">
        <v>120</v>
      </c>
    </row>
    <row r="2393" customFormat="false" ht="15" hidden="false" customHeight="false" outlineLevel="0" collapsed="false">
      <c r="A2393" s="0" t="n">
        <v>3</v>
      </c>
      <c r="B2393" s="59" t="n">
        <v>46234</v>
      </c>
      <c r="C2393" s="0" t="n">
        <v>11</v>
      </c>
      <c r="D2393" s="0" t="s">
        <v>2126</v>
      </c>
      <c r="E2393" s="0" t="n">
        <v>875</v>
      </c>
      <c r="F2393" s="0" t="s">
        <v>632</v>
      </c>
      <c r="I2393" s="0" t="n">
        <v>1887</v>
      </c>
      <c r="J2393" s="0" t="n">
        <v>81070</v>
      </c>
      <c r="K2393" s="0" t="n">
        <v>7908782201185</v>
      </c>
      <c r="L2393" s="0" t="s">
        <v>3207</v>
      </c>
      <c r="N2393" s="0" t="n">
        <v>6</v>
      </c>
      <c r="O2393" s="60" t="n">
        <v>96</v>
      </c>
    </row>
    <row r="2394" customFormat="false" ht="15" hidden="false" customHeight="false" outlineLevel="0" collapsed="false">
      <c r="A2394" s="0" t="n">
        <v>3</v>
      </c>
      <c r="B2394" s="59" t="n">
        <v>46234</v>
      </c>
      <c r="C2394" s="0" t="n">
        <v>11</v>
      </c>
      <c r="D2394" s="0" t="s">
        <v>2126</v>
      </c>
      <c r="E2394" s="0" t="n">
        <v>875</v>
      </c>
      <c r="F2394" s="0" t="s">
        <v>632</v>
      </c>
      <c r="I2394" s="0" t="n">
        <v>1887</v>
      </c>
      <c r="J2394" s="0" t="n">
        <v>81258</v>
      </c>
      <c r="K2394" s="0" t="n">
        <v>812597</v>
      </c>
      <c r="L2394" s="0" t="s">
        <v>3208</v>
      </c>
      <c r="N2394" s="0" t="n">
        <v>10</v>
      </c>
      <c r="O2394" s="60" t="n">
        <v>210</v>
      </c>
    </row>
    <row r="2395" customFormat="false" ht="15" hidden="false" customHeight="false" outlineLevel="0" collapsed="false">
      <c r="A2395" s="0" t="n">
        <v>3</v>
      </c>
      <c r="B2395" s="59" t="n">
        <v>46234</v>
      </c>
      <c r="C2395" s="0" t="n">
        <v>11</v>
      </c>
      <c r="D2395" s="0" t="s">
        <v>2126</v>
      </c>
      <c r="E2395" s="0" t="n">
        <v>875</v>
      </c>
      <c r="F2395" s="0" t="s">
        <v>632</v>
      </c>
      <c r="I2395" s="0" t="n">
        <v>1887</v>
      </c>
      <c r="J2395" s="0" t="n">
        <v>81267</v>
      </c>
      <c r="K2395" s="0" t="n">
        <v>7893095806328</v>
      </c>
      <c r="L2395" s="0" t="s">
        <v>3209</v>
      </c>
      <c r="N2395" s="0" t="n">
        <v>2</v>
      </c>
      <c r="O2395" s="60" t="n">
        <v>168</v>
      </c>
    </row>
    <row r="2396" customFormat="false" ht="15" hidden="false" customHeight="false" outlineLevel="0" collapsed="false">
      <c r="A2396" s="0" t="n">
        <v>3</v>
      </c>
      <c r="B2396" s="59" t="n">
        <v>46234</v>
      </c>
      <c r="C2396" s="0" t="n">
        <v>11</v>
      </c>
      <c r="D2396" s="0" t="s">
        <v>2126</v>
      </c>
      <c r="E2396" s="0" t="n">
        <v>875</v>
      </c>
      <c r="F2396" s="0" t="s">
        <v>632</v>
      </c>
      <c r="I2396" s="0" t="n">
        <v>1887</v>
      </c>
      <c r="J2396" s="0" t="n">
        <v>81728</v>
      </c>
      <c r="K2396" s="0" t="n">
        <v>7908782212358</v>
      </c>
      <c r="L2396" s="0" t="s">
        <v>3210</v>
      </c>
      <c r="N2396" s="0" t="n">
        <v>3</v>
      </c>
      <c r="O2396" s="60" t="n">
        <v>33</v>
      </c>
    </row>
    <row r="2397" customFormat="false" ht="15" hidden="false" customHeight="false" outlineLevel="0" collapsed="false">
      <c r="A2397" s="0" t="n">
        <v>3</v>
      </c>
      <c r="B2397" s="59" t="n">
        <v>46234</v>
      </c>
      <c r="C2397" s="0" t="n">
        <v>11</v>
      </c>
      <c r="D2397" s="0" t="s">
        <v>2126</v>
      </c>
      <c r="E2397" s="0" t="n">
        <v>875</v>
      </c>
      <c r="F2397" s="0" t="s">
        <v>632</v>
      </c>
      <c r="I2397" s="0" t="n">
        <v>1887</v>
      </c>
      <c r="J2397" s="0" t="n">
        <v>81945</v>
      </c>
      <c r="K2397" s="0" t="n">
        <v>7899085586898</v>
      </c>
      <c r="L2397" s="0" t="s">
        <v>3211</v>
      </c>
      <c r="N2397" s="0" t="n">
        <v>3</v>
      </c>
      <c r="O2397" s="60" t="n">
        <v>42</v>
      </c>
    </row>
    <row r="2398" customFormat="false" ht="15" hidden="false" customHeight="false" outlineLevel="0" collapsed="false">
      <c r="A2398" s="0" t="n">
        <v>3</v>
      </c>
      <c r="B2398" s="59" t="n">
        <v>46234</v>
      </c>
      <c r="C2398" s="0" t="n">
        <v>11</v>
      </c>
      <c r="D2398" s="0" t="s">
        <v>2126</v>
      </c>
      <c r="E2398" s="0" t="n">
        <v>875</v>
      </c>
      <c r="F2398" s="0" t="s">
        <v>632</v>
      </c>
      <c r="I2398" s="0" t="n">
        <v>1887</v>
      </c>
      <c r="J2398" s="0" t="n">
        <v>81946</v>
      </c>
      <c r="K2398" s="0" t="n">
        <v>7893595555702</v>
      </c>
      <c r="L2398" s="0" t="s">
        <v>3212</v>
      </c>
      <c r="N2398" s="0" t="n">
        <v>3</v>
      </c>
      <c r="O2398" s="60" t="n">
        <v>34.5</v>
      </c>
    </row>
    <row r="2399" customFormat="false" ht="15" hidden="false" customHeight="false" outlineLevel="0" collapsed="false">
      <c r="A2399" s="0" t="n">
        <v>3</v>
      </c>
      <c r="B2399" s="59" t="n">
        <v>46234</v>
      </c>
      <c r="C2399" s="0" t="n">
        <v>11</v>
      </c>
      <c r="D2399" s="0" t="s">
        <v>2126</v>
      </c>
      <c r="E2399" s="0" t="n">
        <v>875</v>
      </c>
      <c r="F2399" s="0" t="s">
        <v>632</v>
      </c>
      <c r="I2399" s="0" t="n">
        <v>1887</v>
      </c>
      <c r="J2399" s="0" t="n">
        <v>81948</v>
      </c>
      <c r="K2399" s="0" t="n">
        <v>7893095422948</v>
      </c>
      <c r="L2399" s="0" t="s">
        <v>3213</v>
      </c>
      <c r="N2399" s="0" t="n">
        <v>10</v>
      </c>
      <c r="O2399" s="60" t="n">
        <v>90</v>
      </c>
    </row>
    <row r="2400" customFormat="false" ht="15" hidden="false" customHeight="false" outlineLevel="0" collapsed="false">
      <c r="A2400" s="0" t="n">
        <v>3</v>
      </c>
      <c r="B2400" s="59" t="n">
        <v>46234</v>
      </c>
      <c r="C2400" s="0" t="n">
        <v>11</v>
      </c>
      <c r="D2400" s="0" t="s">
        <v>2126</v>
      </c>
      <c r="E2400" s="0" t="n">
        <v>875</v>
      </c>
      <c r="F2400" s="0" t="s">
        <v>632</v>
      </c>
      <c r="I2400" s="0" t="n">
        <v>1887</v>
      </c>
      <c r="J2400" s="0" t="n">
        <v>81949</v>
      </c>
      <c r="K2400" s="0" t="n">
        <v>7908338405586</v>
      </c>
      <c r="L2400" s="0" t="s">
        <v>3214</v>
      </c>
      <c r="N2400" s="0" t="n">
        <v>3</v>
      </c>
      <c r="O2400" s="60" t="n">
        <v>42</v>
      </c>
    </row>
    <row r="2401" customFormat="false" ht="15" hidden="false" customHeight="false" outlineLevel="0" collapsed="false">
      <c r="A2401" s="0" t="n">
        <v>3</v>
      </c>
      <c r="B2401" s="59" t="n">
        <v>46234</v>
      </c>
      <c r="C2401" s="0" t="n">
        <v>11</v>
      </c>
      <c r="D2401" s="0" t="s">
        <v>2126</v>
      </c>
      <c r="E2401" s="0" t="n">
        <v>875</v>
      </c>
      <c r="F2401" s="0" t="s">
        <v>632</v>
      </c>
      <c r="I2401" s="0" t="n">
        <v>1887</v>
      </c>
      <c r="J2401" s="0" t="n">
        <v>81950</v>
      </c>
      <c r="K2401" s="0" t="n">
        <v>7898729419226</v>
      </c>
      <c r="L2401" s="0" t="s">
        <v>3215</v>
      </c>
      <c r="N2401" s="0" t="n">
        <v>2</v>
      </c>
      <c r="O2401" s="60" t="n">
        <v>50</v>
      </c>
    </row>
    <row r="2402" customFormat="false" ht="15" hidden="false" customHeight="false" outlineLevel="0" collapsed="false">
      <c r="A2402" s="0" t="n">
        <v>3</v>
      </c>
      <c r="B2402" s="59" t="n">
        <v>46234</v>
      </c>
      <c r="C2402" s="0" t="n">
        <v>11</v>
      </c>
      <c r="D2402" s="0" t="s">
        <v>2126</v>
      </c>
      <c r="E2402" s="0" t="n">
        <v>875</v>
      </c>
      <c r="F2402" s="0" t="s">
        <v>632</v>
      </c>
      <c r="I2402" s="0" t="n">
        <v>1887</v>
      </c>
      <c r="J2402" s="0" t="n">
        <v>81951</v>
      </c>
      <c r="K2402" s="0" t="n">
        <v>7908611103338</v>
      </c>
      <c r="L2402" s="0" t="s">
        <v>3216</v>
      </c>
      <c r="N2402" s="0" t="n">
        <v>6</v>
      </c>
      <c r="O2402" s="60" t="n">
        <v>90</v>
      </c>
    </row>
    <row r="2403" customFormat="false" ht="15" hidden="false" customHeight="false" outlineLevel="0" collapsed="false">
      <c r="A2403" s="0" t="n">
        <v>3</v>
      </c>
      <c r="B2403" s="59" t="n">
        <v>46234</v>
      </c>
      <c r="C2403" s="0" t="n">
        <v>11</v>
      </c>
      <c r="D2403" s="0" t="s">
        <v>2126</v>
      </c>
      <c r="E2403" s="0" t="n">
        <v>875</v>
      </c>
      <c r="F2403" s="0" t="s">
        <v>632</v>
      </c>
      <c r="I2403" s="0" t="n">
        <v>1887</v>
      </c>
      <c r="J2403" s="0" t="n">
        <v>81952</v>
      </c>
      <c r="K2403" s="0" t="n">
        <v>7448070403025</v>
      </c>
      <c r="L2403" s="0" t="s">
        <v>3217</v>
      </c>
      <c r="N2403" s="0" t="n">
        <v>3</v>
      </c>
      <c r="O2403" s="60" t="n">
        <v>216</v>
      </c>
    </row>
    <row r="2404" customFormat="false" ht="15" hidden="false" customHeight="false" outlineLevel="0" collapsed="false">
      <c r="A2404" s="0" t="n">
        <v>3</v>
      </c>
      <c r="B2404" s="59" t="n">
        <v>46234</v>
      </c>
      <c r="C2404" s="0" t="n">
        <v>11</v>
      </c>
      <c r="D2404" s="0" t="s">
        <v>2126</v>
      </c>
      <c r="E2404" s="0" t="n">
        <v>875</v>
      </c>
      <c r="F2404" s="0" t="s">
        <v>632</v>
      </c>
      <c r="I2404" s="0" t="n">
        <v>1887</v>
      </c>
      <c r="J2404" s="0" t="n">
        <v>81953</v>
      </c>
      <c r="K2404" s="0" t="n">
        <v>7908657615109</v>
      </c>
      <c r="L2404" s="0" t="s">
        <v>3218</v>
      </c>
      <c r="N2404" s="0" t="n">
        <v>2</v>
      </c>
      <c r="O2404" s="60" t="n">
        <v>156</v>
      </c>
    </row>
    <row r="2405" customFormat="false" ht="15" hidden="false" customHeight="false" outlineLevel="0" collapsed="false">
      <c r="A2405" s="0" t="n">
        <v>3</v>
      </c>
      <c r="B2405" s="59" t="n">
        <v>46234</v>
      </c>
      <c r="C2405" s="0" t="n">
        <v>11</v>
      </c>
      <c r="D2405" s="0" t="s">
        <v>2126</v>
      </c>
      <c r="E2405" s="0" t="n">
        <v>875</v>
      </c>
      <c r="F2405" s="0" t="s">
        <v>632</v>
      </c>
      <c r="I2405" s="0" t="n">
        <v>1887</v>
      </c>
      <c r="J2405" s="0" t="n">
        <v>81954</v>
      </c>
      <c r="K2405" s="0" t="n">
        <v>7908782223255</v>
      </c>
      <c r="L2405" s="0" t="s">
        <v>3219</v>
      </c>
      <c r="N2405" s="0" t="n">
        <v>6</v>
      </c>
      <c r="O2405" s="60" t="n">
        <v>30</v>
      </c>
    </row>
    <row r="2406" customFormat="false" ht="15" hidden="false" customHeight="false" outlineLevel="0" collapsed="false">
      <c r="A2406" s="0" t="n">
        <v>3</v>
      </c>
      <c r="B2406" s="59" t="n">
        <v>46234</v>
      </c>
      <c r="C2406" s="0" t="n">
        <v>11</v>
      </c>
      <c r="D2406" s="0" t="s">
        <v>2126</v>
      </c>
      <c r="E2406" s="0" t="n">
        <v>875</v>
      </c>
      <c r="F2406" s="0" t="s">
        <v>632</v>
      </c>
      <c r="I2406" s="0" t="n">
        <v>1887</v>
      </c>
      <c r="J2406" s="0" t="n">
        <v>81955</v>
      </c>
      <c r="K2406" s="0" t="n">
        <v>7908782200737</v>
      </c>
      <c r="L2406" s="0" t="s">
        <v>3220</v>
      </c>
      <c r="N2406" s="0" t="n">
        <v>6</v>
      </c>
      <c r="O2406" s="60" t="n">
        <v>126</v>
      </c>
    </row>
    <row r="2407" customFormat="false" ht="15" hidden="false" customHeight="false" outlineLevel="0" collapsed="false">
      <c r="A2407" s="0" t="n">
        <v>3</v>
      </c>
      <c r="B2407" s="59" t="n">
        <v>46234</v>
      </c>
      <c r="C2407" s="0" t="n">
        <v>11</v>
      </c>
      <c r="D2407" s="0" t="s">
        <v>2126</v>
      </c>
      <c r="E2407" s="0" t="n">
        <v>875</v>
      </c>
      <c r="F2407" s="0" t="s">
        <v>632</v>
      </c>
      <c r="I2407" s="0" t="n">
        <v>1887</v>
      </c>
      <c r="J2407" s="0" t="n">
        <v>81956</v>
      </c>
      <c r="K2407" s="0" t="n">
        <v>6920240521063</v>
      </c>
      <c r="L2407" s="0" t="s">
        <v>3221</v>
      </c>
      <c r="N2407" s="0" t="n">
        <v>10</v>
      </c>
      <c r="O2407" s="60" t="n">
        <v>135</v>
      </c>
    </row>
    <row r="2408" customFormat="false" ht="15" hidden="false" customHeight="false" outlineLevel="0" collapsed="false">
      <c r="A2408" s="0" t="n">
        <v>3</v>
      </c>
      <c r="B2408" s="59" t="n">
        <v>46234</v>
      </c>
      <c r="C2408" s="0" t="n">
        <v>11</v>
      </c>
      <c r="D2408" s="0" t="s">
        <v>2126</v>
      </c>
      <c r="E2408" s="0" t="n">
        <v>875</v>
      </c>
      <c r="F2408" s="0" t="s">
        <v>632</v>
      </c>
      <c r="I2408" s="0" t="n">
        <v>1887</v>
      </c>
      <c r="J2408" s="0" t="n">
        <v>81957</v>
      </c>
      <c r="K2408" s="0" t="n">
        <v>7448070403568</v>
      </c>
      <c r="L2408" s="0" t="s">
        <v>3222</v>
      </c>
      <c r="N2408" s="0" t="n">
        <v>10</v>
      </c>
      <c r="O2408" s="60" t="n">
        <v>120</v>
      </c>
    </row>
    <row r="2409" customFormat="false" ht="15" hidden="false" customHeight="false" outlineLevel="0" collapsed="false">
      <c r="A2409" s="0" t="n">
        <v>3</v>
      </c>
      <c r="B2409" s="59" t="n">
        <v>46234</v>
      </c>
      <c r="C2409" s="0" t="n">
        <v>11</v>
      </c>
      <c r="D2409" s="0" t="s">
        <v>2126</v>
      </c>
      <c r="E2409" s="0" t="n">
        <v>875</v>
      </c>
      <c r="F2409" s="0" t="s">
        <v>632</v>
      </c>
      <c r="I2409" s="0" t="n">
        <v>1887</v>
      </c>
      <c r="J2409" s="0" t="n">
        <v>81958</v>
      </c>
      <c r="K2409" s="0" t="n">
        <v>6920231127359</v>
      </c>
      <c r="L2409" s="0" t="s">
        <v>3223</v>
      </c>
      <c r="N2409" s="0" t="n">
        <v>10</v>
      </c>
      <c r="O2409" s="60" t="n">
        <v>90</v>
      </c>
    </row>
    <row r="2410" customFormat="false" ht="15" hidden="false" customHeight="false" outlineLevel="0" collapsed="false">
      <c r="A2410" s="0" t="n">
        <v>3</v>
      </c>
      <c r="B2410" s="59" t="n">
        <v>46234</v>
      </c>
      <c r="C2410" s="0" t="n">
        <v>11</v>
      </c>
      <c r="D2410" s="0" t="s">
        <v>2126</v>
      </c>
      <c r="E2410" s="0" t="n">
        <v>875</v>
      </c>
      <c r="F2410" s="0" t="s">
        <v>632</v>
      </c>
      <c r="I2410" s="0" t="n">
        <v>1887</v>
      </c>
      <c r="J2410" s="0" t="n">
        <v>81959</v>
      </c>
      <c r="K2410" s="0" t="n">
        <v>7012965697099</v>
      </c>
      <c r="L2410" s="0" t="s">
        <v>3224</v>
      </c>
      <c r="N2410" s="0" t="n">
        <v>20</v>
      </c>
      <c r="O2410" s="60" t="n">
        <v>130</v>
      </c>
    </row>
    <row r="2411" customFormat="false" ht="15" hidden="false" customHeight="false" outlineLevel="0" collapsed="false">
      <c r="A2411" s="0" t="n">
        <v>3</v>
      </c>
      <c r="B2411" s="59" t="n">
        <v>46234</v>
      </c>
      <c r="C2411" s="0" t="n">
        <v>11</v>
      </c>
      <c r="D2411" s="0" t="s">
        <v>2126</v>
      </c>
      <c r="E2411" s="0" t="n">
        <v>875</v>
      </c>
      <c r="F2411" s="0" t="s">
        <v>632</v>
      </c>
      <c r="I2411" s="0" t="n">
        <v>1887</v>
      </c>
      <c r="J2411" s="0" t="n">
        <v>81960</v>
      </c>
      <c r="K2411" s="0" t="n">
        <v>7908782220667</v>
      </c>
      <c r="L2411" s="0" t="s">
        <v>3225</v>
      </c>
      <c r="N2411" s="0" t="n">
        <v>3</v>
      </c>
      <c r="O2411" s="60" t="n">
        <v>24</v>
      </c>
    </row>
    <row r="2412" customFormat="false" ht="15" hidden="false" customHeight="false" outlineLevel="0" collapsed="false">
      <c r="A2412" s="0" t="n">
        <v>3</v>
      </c>
      <c r="B2412" s="59" t="n">
        <v>46234</v>
      </c>
      <c r="C2412" s="0" t="n">
        <v>11</v>
      </c>
      <c r="D2412" s="0" t="s">
        <v>2126</v>
      </c>
      <c r="E2412" s="0" t="n">
        <v>875</v>
      </c>
      <c r="F2412" s="0" t="s">
        <v>632</v>
      </c>
      <c r="I2412" s="0" t="n">
        <v>1887</v>
      </c>
      <c r="J2412" s="0" t="n">
        <v>81961</v>
      </c>
      <c r="K2412" s="0" t="n">
        <v>6991786616803</v>
      </c>
      <c r="L2412" s="0" t="s">
        <v>3226</v>
      </c>
      <c r="N2412" s="0" t="n">
        <v>3</v>
      </c>
      <c r="O2412" s="60" t="n">
        <v>12</v>
      </c>
    </row>
    <row r="2413" customFormat="false" ht="15" hidden="false" customHeight="false" outlineLevel="0" collapsed="false">
      <c r="A2413" s="0" t="n">
        <v>3</v>
      </c>
      <c r="B2413" s="59" t="n">
        <v>46234</v>
      </c>
      <c r="C2413" s="0" t="n">
        <v>11</v>
      </c>
      <c r="D2413" s="0" t="s">
        <v>2126</v>
      </c>
      <c r="E2413" s="0" t="n">
        <v>875</v>
      </c>
      <c r="F2413" s="0" t="s">
        <v>632</v>
      </c>
      <c r="I2413" s="0" t="n">
        <v>1887</v>
      </c>
      <c r="J2413" s="0" t="n">
        <v>81962</v>
      </c>
      <c r="K2413" s="0" t="n">
        <v>7908125217552</v>
      </c>
      <c r="L2413" s="0" t="s">
        <v>3227</v>
      </c>
      <c r="N2413" s="0" t="n">
        <v>3</v>
      </c>
      <c r="O2413" s="60" t="n">
        <v>69</v>
      </c>
    </row>
    <row r="2414" customFormat="false" ht="15" hidden="false" customHeight="false" outlineLevel="0" collapsed="false">
      <c r="A2414" s="0" t="n">
        <v>3</v>
      </c>
      <c r="B2414" s="59" t="n">
        <v>46234</v>
      </c>
      <c r="C2414" s="0" t="n">
        <v>11</v>
      </c>
      <c r="D2414" s="0" t="s">
        <v>2126</v>
      </c>
      <c r="E2414" s="0" t="n">
        <v>875</v>
      </c>
      <c r="F2414" s="0" t="s">
        <v>632</v>
      </c>
      <c r="I2414" s="0" t="n">
        <v>1887</v>
      </c>
      <c r="J2414" s="0" t="n">
        <v>81963</v>
      </c>
      <c r="K2414" s="0" t="n">
        <v>7893095794557</v>
      </c>
      <c r="L2414" s="0" t="s">
        <v>3228</v>
      </c>
      <c r="N2414" s="0" t="n">
        <v>12</v>
      </c>
      <c r="O2414" s="60" t="n">
        <v>102</v>
      </c>
    </row>
    <row r="2415" customFormat="false" ht="15" hidden="false" customHeight="false" outlineLevel="0" collapsed="false">
      <c r="A2415" s="0" t="n">
        <v>3</v>
      </c>
      <c r="B2415" s="59" t="n">
        <v>46234</v>
      </c>
      <c r="C2415" s="0" t="n">
        <v>11</v>
      </c>
      <c r="D2415" s="0" t="s">
        <v>2126</v>
      </c>
      <c r="E2415" s="0" t="n">
        <v>875</v>
      </c>
      <c r="F2415" s="0" t="s">
        <v>632</v>
      </c>
      <c r="I2415" s="0" t="n">
        <v>1887</v>
      </c>
      <c r="J2415" s="0" t="n">
        <v>81964</v>
      </c>
      <c r="K2415" s="0" t="n">
        <v>6920231127366</v>
      </c>
      <c r="L2415" s="0" t="s">
        <v>3229</v>
      </c>
      <c r="N2415" s="0" t="n">
        <v>10</v>
      </c>
      <c r="O2415" s="60" t="n">
        <v>90</v>
      </c>
    </row>
    <row r="2416" customFormat="false" ht="15" hidden="false" customHeight="false" outlineLevel="0" collapsed="false">
      <c r="A2416" s="0" t="n">
        <v>3</v>
      </c>
      <c r="B2416" s="59" t="n">
        <v>46234</v>
      </c>
      <c r="C2416" s="0" t="n">
        <v>11</v>
      </c>
      <c r="D2416" s="0" t="s">
        <v>2126</v>
      </c>
      <c r="E2416" s="0" t="n">
        <v>875</v>
      </c>
      <c r="F2416" s="0" t="s">
        <v>632</v>
      </c>
      <c r="I2416" s="0" t="n">
        <v>1887</v>
      </c>
      <c r="J2416" s="0" t="n">
        <v>81965</v>
      </c>
      <c r="K2416" s="0" t="n">
        <v>819664</v>
      </c>
      <c r="L2416" s="0" t="s">
        <v>3230</v>
      </c>
      <c r="N2416" s="0" t="n">
        <v>2</v>
      </c>
      <c r="O2416" s="60" t="n">
        <v>80</v>
      </c>
    </row>
    <row r="2417" customFormat="false" ht="15" hidden="false" customHeight="false" outlineLevel="0" collapsed="false">
      <c r="A2417" s="0" t="n">
        <v>3</v>
      </c>
      <c r="B2417" s="59" t="n">
        <v>46234</v>
      </c>
      <c r="C2417" s="0" t="n">
        <v>11</v>
      </c>
      <c r="D2417" s="0" t="s">
        <v>2126</v>
      </c>
      <c r="E2417" s="0" t="n">
        <v>875</v>
      </c>
      <c r="F2417" s="0" t="s">
        <v>632</v>
      </c>
      <c r="I2417" s="0" t="n">
        <v>1887</v>
      </c>
      <c r="J2417" s="0" t="n">
        <v>81967</v>
      </c>
      <c r="K2417" s="0" t="n">
        <v>819688</v>
      </c>
      <c r="L2417" s="0" t="s">
        <v>3231</v>
      </c>
      <c r="N2417" s="0" t="n">
        <v>6</v>
      </c>
      <c r="O2417" s="60" t="n">
        <v>36</v>
      </c>
    </row>
    <row r="2418" customFormat="false" ht="15" hidden="false" customHeight="false" outlineLevel="0" collapsed="false">
      <c r="A2418" s="0" t="n">
        <v>3</v>
      </c>
      <c r="B2418" s="59" t="n">
        <v>46234</v>
      </c>
      <c r="C2418" s="0" t="n">
        <v>11</v>
      </c>
      <c r="D2418" s="0" t="s">
        <v>2126</v>
      </c>
      <c r="E2418" s="0" t="n">
        <v>10063</v>
      </c>
      <c r="F2418" s="0" t="s">
        <v>220</v>
      </c>
      <c r="I2418" s="0" t="n">
        <v>2628</v>
      </c>
      <c r="J2418" s="0" t="n">
        <v>100174</v>
      </c>
      <c r="K2418" s="0" t="n">
        <v>7898141930286</v>
      </c>
      <c r="L2418" s="0" t="s">
        <v>2250</v>
      </c>
      <c r="N2418" s="0" t="n">
        <v>1080</v>
      </c>
      <c r="O2418" s="60" t="n">
        <v>570</v>
      </c>
    </row>
    <row r="2419" customFormat="false" ht="15" hidden="false" customHeight="false" outlineLevel="0" collapsed="false">
      <c r="A2419" s="0" t="n">
        <v>3</v>
      </c>
      <c r="B2419" s="59" t="n">
        <v>46234</v>
      </c>
      <c r="C2419" s="0" t="n">
        <v>11</v>
      </c>
      <c r="D2419" s="0" t="s">
        <v>2126</v>
      </c>
      <c r="E2419" s="0" t="n">
        <v>10063</v>
      </c>
      <c r="F2419" s="0" t="s">
        <v>220</v>
      </c>
      <c r="I2419" s="0" t="n">
        <v>2628</v>
      </c>
      <c r="J2419" s="0" t="n">
        <v>100933</v>
      </c>
      <c r="K2419" s="0" t="n">
        <v>7896982100059</v>
      </c>
      <c r="L2419" s="0" t="s">
        <v>2251</v>
      </c>
      <c r="N2419" s="0" t="n">
        <v>2520</v>
      </c>
      <c r="O2419" s="60" t="n">
        <v>1295</v>
      </c>
    </row>
    <row r="2420" customFormat="false" ht="15" hidden="false" customHeight="false" outlineLevel="0" collapsed="false">
      <c r="A2420" s="0" t="n">
        <v>3</v>
      </c>
      <c r="B2420" s="59" t="n">
        <v>46234</v>
      </c>
      <c r="C2420" s="0" t="n">
        <v>11</v>
      </c>
      <c r="D2420" s="0" t="s">
        <v>2126</v>
      </c>
      <c r="E2420" s="0" t="n">
        <v>1609</v>
      </c>
      <c r="F2420" s="0" t="s">
        <v>412</v>
      </c>
      <c r="I2420" s="0" t="n">
        <v>5900</v>
      </c>
      <c r="J2420" s="0" t="n">
        <v>13225</v>
      </c>
      <c r="K2420" s="0" t="n">
        <v>7896981601151</v>
      </c>
      <c r="L2420" s="0" t="s">
        <v>2604</v>
      </c>
      <c r="N2420" s="0" t="n">
        <v>12</v>
      </c>
      <c r="O2420" s="60" t="n">
        <v>45</v>
      </c>
    </row>
    <row r="2421" customFormat="false" ht="15" hidden="false" customHeight="false" outlineLevel="0" collapsed="false">
      <c r="A2421" s="0" t="n">
        <v>3</v>
      </c>
      <c r="B2421" s="59" t="n">
        <v>46234</v>
      </c>
      <c r="C2421" s="0" t="n">
        <v>11</v>
      </c>
      <c r="D2421" s="0" t="s">
        <v>2126</v>
      </c>
      <c r="E2421" s="0" t="n">
        <v>1609</v>
      </c>
      <c r="F2421" s="0" t="s">
        <v>412</v>
      </c>
      <c r="I2421" s="0" t="n">
        <v>5900</v>
      </c>
      <c r="J2421" s="0" t="n">
        <v>13720</v>
      </c>
      <c r="K2421" s="0" t="n">
        <v>7896981600307</v>
      </c>
      <c r="L2421" s="0" t="s">
        <v>2605</v>
      </c>
      <c r="N2421" s="0" t="n">
        <v>9</v>
      </c>
      <c r="O2421" s="60" t="n">
        <v>55</v>
      </c>
    </row>
    <row r="2422" customFormat="false" ht="15" hidden="false" customHeight="false" outlineLevel="0" collapsed="false">
      <c r="A2422" s="0" t="n">
        <v>3</v>
      </c>
      <c r="B2422" s="59" t="n">
        <v>46234</v>
      </c>
      <c r="C2422" s="0" t="n">
        <v>11</v>
      </c>
      <c r="D2422" s="0" t="s">
        <v>2126</v>
      </c>
      <c r="E2422" s="0" t="n">
        <v>1609</v>
      </c>
      <c r="F2422" s="0" t="s">
        <v>412</v>
      </c>
      <c r="I2422" s="0" t="n">
        <v>5900</v>
      </c>
      <c r="J2422" s="0" t="n">
        <v>18383</v>
      </c>
      <c r="K2422" s="0" t="n">
        <v>7896878801138</v>
      </c>
      <c r="L2422" s="0" t="s">
        <v>2887</v>
      </c>
      <c r="N2422" s="0" t="n">
        <v>5</v>
      </c>
      <c r="O2422" s="60" t="n">
        <v>20.25</v>
      </c>
    </row>
    <row r="2423" customFormat="false" ht="15" hidden="false" customHeight="false" outlineLevel="0" collapsed="false">
      <c r="A2423" s="0" t="n">
        <v>3</v>
      </c>
      <c r="B2423" s="59" t="n">
        <v>46234</v>
      </c>
      <c r="C2423" s="0" t="n">
        <v>11</v>
      </c>
      <c r="D2423" s="0" t="s">
        <v>2126</v>
      </c>
      <c r="E2423" s="0" t="n">
        <v>1609</v>
      </c>
      <c r="F2423" s="0" t="s">
        <v>412</v>
      </c>
      <c r="I2423" s="0" t="n">
        <v>5900</v>
      </c>
      <c r="J2423" s="0" t="n">
        <v>18384</v>
      </c>
      <c r="K2423" s="0" t="n">
        <v>7896878801206</v>
      </c>
      <c r="L2423" s="0" t="s">
        <v>2608</v>
      </c>
      <c r="N2423" s="0" t="n">
        <v>20</v>
      </c>
      <c r="O2423" s="60" t="n">
        <v>61</v>
      </c>
    </row>
    <row r="2424" customFormat="false" ht="15" hidden="false" customHeight="false" outlineLevel="0" collapsed="false">
      <c r="A2424" s="0" t="n">
        <v>3</v>
      </c>
      <c r="B2424" s="59" t="n">
        <v>46234</v>
      </c>
      <c r="C2424" s="0" t="n">
        <v>11</v>
      </c>
      <c r="D2424" s="0" t="s">
        <v>2126</v>
      </c>
      <c r="E2424" s="0" t="n">
        <v>1609</v>
      </c>
      <c r="F2424" s="0" t="s">
        <v>412</v>
      </c>
      <c r="I2424" s="0" t="n">
        <v>5900</v>
      </c>
      <c r="J2424" s="0" t="n">
        <v>18385</v>
      </c>
      <c r="K2424" s="0" t="n">
        <v>7896878801220</v>
      </c>
      <c r="L2424" s="0" t="s">
        <v>2609</v>
      </c>
      <c r="N2424" s="0" t="n">
        <v>9</v>
      </c>
      <c r="O2424" s="60" t="n">
        <v>70.65</v>
      </c>
    </row>
    <row r="2425" customFormat="false" ht="15" hidden="false" customHeight="false" outlineLevel="0" collapsed="false">
      <c r="A2425" s="0" t="n">
        <v>3</v>
      </c>
      <c r="B2425" s="59" t="n">
        <v>46234</v>
      </c>
      <c r="C2425" s="0" t="n">
        <v>11</v>
      </c>
      <c r="D2425" s="0" t="s">
        <v>2126</v>
      </c>
      <c r="E2425" s="0" t="n">
        <v>1609</v>
      </c>
      <c r="F2425" s="0" t="s">
        <v>412</v>
      </c>
      <c r="I2425" s="0" t="n">
        <v>5900</v>
      </c>
      <c r="J2425" s="0" t="n">
        <v>18775</v>
      </c>
      <c r="K2425" s="0" t="n">
        <v>7896878801237</v>
      </c>
      <c r="L2425" s="0" t="s">
        <v>2610</v>
      </c>
      <c r="N2425" s="0" t="n">
        <v>20</v>
      </c>
      <c r="O2425" s="60" t="n">
        <v>66</v>
      </c>
    </row>
    <row r="2426" customFormat="false" ht="15" hidden="false" customHeight="false" outlineLevel="0" collapsed="false">
      <c r="A2426" s="0" t="n">
        <v>3</v>
      </c>
      <c r="B2426" s="59" t="n">
        <v>46234</v>
      </c>
      <c r="C2426" s="0" t="n">
        <v>11</v>
      </c>
      <c r="D2426" s="0" t="s">
        <v>2126</v>
      </c>
      <c r="E2426" s="0" t="n">
        <v>1609</v>
      </c>
      <c r="F2426" s="0" t="s">
        <v>412</v>
      </c>
      <c r="I2426" s="0" t="n">
        <v>5900</v>
      </c>
      <c r="J2426" s="0" t="n">
        <v>18910</v>
      </c>
      <c r="K2426" s="0" t="n">
        <v>7896878801176</v>
      </c>
      <c r="L2426" s="0" t="s">
        <v>2888</v>
      </c>
      <c r="N2426" s="0" t="n">
        <v>5</v>
      </c>
      <c r="O2426" s="60" t="n">
        <v>20.25</v>
      </c>
    </row>
    <row r="2427" customFormat="false" ht="15" hidden="false" customHeight="false" outlineLevel="0" collapsed="false">
      <c r="A2427" s="0" t="n">
        <v>3</v>
      </c>
      <c r="B2427" s="59" t="n">
        <v>46234</v>
      </c>
      <c r="C2427" s="0" t="n">
        <v>11</v>
      </c>
      <c r="D2427" s="0" t="s">
        <v>2126</v>
      </c>
      <c r="E2427" s="0" t="n">
        <v>1609</v>
      </c>
      <c r="F2427" s="0" t="s">
        <v>412</v>
      </c>
      <c r="I2427" s="0" t="n">
        <v>5900</v>
      </c>
      <c r="J2427" s="0" t="n">
        <v>18968</v>
      </c>
      <c r="K2427" s="0" t="n">
        <v>7896878801244</v>
      </c>
      <c r="L2427" s="0" t="s">
        <v>2611</v>
      </c>
      <c r="N2427" s="0" t="n">
        <v>20</v>
      </c>
      <c r="O2427" s="60" t="n">
        <v>66</v>
      </c>
    </row>
    <row r="2428" customFormat="false" ht="15" hidden="false" customHeight="false" outlineLevel="0" collapsed="false">
      <c r="A2428" s="0" t="n">
        <v>3</v>
      </c>
      <c r="B2428" s="59" t="n">
        <v>46234</v>
      </c>
      <c r="C2428" s="0" t="n">
        <v>11</v>
      </c>
      <c r="D2428" s="0" t="s">
        <v>2126</v>
      </c>
      <c r="E2428" s="0" t="n">
        <v>1609</v>
      </c>
      <c r="F2428" s="0" t="s">
        <v>412</v>
      </c>
      <c r="I2428" s="0" t="n">
        <v>5900</v>
      </c>
      <c r="J2428" s="0" t="n">
        <v>20027</v>
      </c>
      <c r="K2428" s="0" t="n">
        <v>7896878801053</v>
      </c>
      <c r="L2428" s="0" t="s">
        <v>2889</v>
      </c>
      <c r="N2428" s="0" t="n">
        <v>5</v>
      </c>
      <c r="O2428" s="60" t="n">
        <v>20.25</v>
      </c>
    </row>
    <row r="2429" customFormat="false" ht="15" hidden="false" customHeight="false" outlineLevel="0" collapsed="false">
      <c r="A2429" s="0" t="n">
        <v>3</v>
      </c>
      <c r="B2429" s="59" t="n">
        <v>46234</v>
      </c>
      <c r="C2429" s="0" t="n">
        <v>11</v>
      </c>
      <c r="D2429" s="0" t="s">
        <v>2126</v>
      </c>
      <c r="E2429" s="0" t="n">
        <v>1609</v>
      </c>
      <c r="F2429" s="0" t="s">
        <v>412</v>
      </c>
      <c r="I2429" s="0" t="n">
        <v>5900</v>
      </c>
      <c r="J2429" s="0" t="n">
        <v>24963</v>
      </c>
      <c r="K2429" s="0" t="n">
        <v>7896878801060</v>
      </c>
      <c r="L2429" s="0" t="s">
        <v>2890</v>
      </c>
      <c r="N2429" s="0" t="n">
        <v>2</v>
      </c>
      <c r="O2429" s="60" t="n">
        <v>15.7</v>
      </c>
    </row>
    <row r="2430" customFormat="false" ht="15" hidden="false" customHeight="false" outlineLevel="0" collapsed="false">
      <c r="A2430" s="0" t="n">
        <v>3</v>
      </c>
      <c r="B2430" s="59" t="n">
        <v>46234</v>
      </c>
      <c r="C2430" s="0" t="n">
        <v>11</v>
      </c>
      <c r="D2430" s="0" t="s">
        <v>2126</v>
      </c>
      <c r="E2430" s="0" t="n">
        <v>1609</v>
      </c>
      <c r="F2430" s="0" t="s">
        <v>412</v>
      </c>
      <c r="I2430" s="0" t="n">
        <v>5900</v>
      </c>
      <c r="J2430" s="0" t="n">
        <v>24964</v>
      </c>
      <c r="K2430" s="0" t="n">
        <v>7896878801183</v>
      </c>
      <c r="L2430" s="0" t="s">
        <v>2891</v>
      </c>
      <c r="N2430" s="0" t="n">
        <v>2</v>
      </c>
      <c r="O2430" s="60" t="n">
        <v>15.7</v>
      </c>
    </row>
    <row r="2431" customFormat="false" ht="15" hidden="false" customHeight="false" outlineLevel="0" collapsed="false">
      <c r="A2431" s="0" t="n">
        <v>3</v>
      </c>
      <c r="B2431" s="59" t="n">
        <v>46234</v>
      </c>
      <c r="C2431" s="0" t="n">
        <v>11</v>
      </c>
      <c r="D2431" s="0" t="s">
        <v>2126</v>
      </c>
      <c r="E2431" s="0" t="n">
        <v>1609</v>
      </c>
      <c r="F2431" s="0" t="s">
        <v>412</v>
      </c>
      <c r="I2431" s="0" t="n">
        <v>5900</v>
      </c>
      <c r="J2431" s="0" t="n">
        <v>24965</v>
      </c>
      <c r="K2431" s="0" t="n">
        <v>7896878801107</v>
      </c>
      <c r="L2431" s="0" t="s">
        <v>2892</v>
      </c>
      <c r="N2431" s="0" t="n">
        <v>3</v>
      </c>
      <c r="O2431" s="60" t="n">
        <v>23.55</v>
      </c>
    </row>
    <row r="2432" customFormat="false" ht="15" hidden="false" customHeight="false" outlineLevel="0" collapsed="false">
      <c r="A2432" s="0" t="n">
        <v>3</v>
      </c>
      <c r="B2432" s="59" t="n">
        <v>46234</v>
      </c>
      <c r="C2432" s="0" t="n">
        <v>11</v>
      </c>
      <c r="D2432" s="0" t="s">
        <v>2126</v>
      </c>
      <c r="E2432" s="0" t="n">
        <v>1609</v>
      </c>
      <c r="F2432" s="0" t="s">
        <v>412</v>
      </c>
      <c r="I2432" s="0" t="n">
        <v>5900</v>
      </c>
      <c r="J2432" s="0" t="n">
        <v>32861</v>
      </c>
      <c r="K2432" s="0" t="n">
        <v>7896878801145</v>
      </c>
      <c r="L2432" s="0" t="s">
        <v>2893</v>
      </c>
      <c r="N2432" s="0" t="n">
        <v>2</v>
      </c>
      <c r="O2432" s="60" t="n">
        <v>15.7</v>
      </c>
    </row>
    <row r="2433" customFormat="false" ht="15" hidden="false" customHeight="false" outlineLevel="0" collapsed="false">
      <c r="A2433" s="0" t="n">
        <v>3</v>
      </c>
      <c r="B2433" s="59" t="n">
        <v>46234</v>
      </c>
      <c r="C2433" s="0" t="n">
        <v>11</v>
      </c>
      <c r="D2433" s="0" t="s">
        <v>2126</v>
      </c>
      <c r="E2433" s="0" t="n">
        <v>1609</v>
      </c>
      <c r="F2433" s="0" t="s">
        <v>412</v>
      </c>
      <c r="I2433" s="0" t="n">
        <v>5900</v>
      </c>
      <c r="J2433" s="0" t="n">
        <v>41614</v>
      </c>
      <c r="K2433" s="0" t="n">
        <v>7896878801213</v>
      </c>
      <c r="L2433" s="0" t="s">
        <v>2612</v>
      </c>
      <c r="N2433" s="0" t="n">
        <v>20</v>
      </c>
      <c r="O2433" s="60" t="n">
        <v>81</v>
      </c>
    </row>
    <row r="2434" customFormat="false" ht="15" hidden="false" customHeight="false" outlineLevel="0" collapsed="false">
      <c r="A2434" s="0" t="n">
        <v>3</v>
      </c>
      <c r="B2434" s="59" t="n">
        <v>46234</v>
      </c>
      <c r="C2434" s="0" t="n">
        <v>11</v>
      </c>
      <c r="D2434" s="0" t="s">
        <v>2126</v>
      </c>
      <c r="E2434" s="0" t="n">
        <v>1609</v>
      </c>
      <c r="F2434" s="0" t="s">
        <v>412</v>
      </c>
      <c r="I2434" s="0" t="n">
        <v>5900</v>
      </c>
      <c r="J2434" s="0" t="n">
        <v>80962</v>
      </c>
      <c r="K2434" s="0" t="n">
        <v>7890678801091</v>
      </c>
      <c r="L2434" s="0" t="s">
        <v>2895</v>
      </c>
      <c r="N2434" s="0" t="n">
        <v>5</v>
      </c>
      <c r="O2434" s="60" t="n">
        <v>20.25</v>
      </c>
    </row>
    <row r="2435" customFormat="false" ht="15" hidden="false" customHeight="false" outlineLevel="0" collapsed="false">
      <c r="A2435" s="0" t="n">
        <v>3</v>
      </c>
      <c r="B2435" s="59" t="n">
        <v>46234</v>
      </c>
      <c r="C2435" s="0" t="n">
        <v>11</v>
      </c>
      <c r="D2435" s="0" t="s">
        <v>2126</v>
      </c>
      <c r="E2435" s="0" t="n">
        <v>1196</v>
      </c>
      <c r="F2435" s="0" t="s">
        <v>175</v>
      </c>
      <c r="I2435" s="0" t="n">
        <v>12548</v>
      </c>
      <c r="J2435" s="0" t="n">
        <v>105626</v>
      </c>
      <c r="K2435" s="0" t="n">
        <v>7898215152347</v>
      </c>
      <c r="L2435" s="0" t="s">
        <v>3232</v>
      </c>
      <c r="N2435" s="0" t="n">
        <v>50</v>
      </c>
      <c r="O2435" s="60" t="n">
        <v>649.5</v>
      </c>
    </row>
    <row r="2436" customFormat="false" ht="15" hidden="false" customHeight="false" outlineLevel="0" collapsed="false">
      <c r="A2436" s="0" t="n">
        <v>3</v>
      </c>
      <c r="B2436" s="59" t="n">
        <v>46234</v>
      </c>
      <c r="C2436" s="0" t="n">
        <v>11</v>
      </c>
      <c r="D2436" s="0" t="s">
        <v>2126</v>
      </c>
      <c r="E2436" s="0" t="n">
        <v>1196</v>
      </c>
      <c r="F2436" s="0" t="s">
        <v>175</v>
      </c>
      <c r="I2436" s="0" t="n">
        <v>12548</v>
      </c>
      <c r="J2436" s="0" t="n">
        <v>32805</v>
      </c>
      <c r="K2436" s="0" t="n">
        <v>7896433800378</v>
      </c>
      <c r="L2436" s="0" t="s">
        <v>2752</v>
      </c>
      <c r="N2436" s="0" t="n">
        <v>120</v>
      </c>
      <c r="O2436" s="60" t="n">
        <v>330</v>
      </c>
    </row>
    <row r="2437" customFormat="false" ht="15" hidden="false" customHeight="false" outlineLevel="0" collapsed="false">
      <c r="A2437" s="0" t="n">
        <v>3</v>
      </c>
      <c r="B2437" s="59" t="n">
        <v>46234</v>
      </c>
      <c r="C2437" s="0" t="n">
        <v>11</v>
      </c>
      <c r="D2437" s="0" t="s">
        <v>2126</v>
      </c>
      <c r="E2437" s="0" t="n">
        <v>1196</v>
      </c>
      <c r="F2437" s="0" t="s">
        <v>175</v>
      </c>
      <c r="I2437" s="0" t="n">
        <v>12548</v>
      </c>
      <c r="J2437" s="0" t="n">
        <v>34923</v>
      </c>
      <c r="K2437" s="0" t="n">
        <v>7896253401465</v>
      </c>
      <c r="L2437" s="0" t="s">
        <v>3233</v>
      </c>
      <c r="N2437" s="0" t="n">
        <v>30</v>
      </c>
      <c r="O2437" s="60" t="n">
        <v>121.42</v>
      </c>
    </row>
    <row r="2438" customFormat="false" ht="15" hidden="false" customHeight="false" outlineLevel="0" collapsed="false">
      <c r="A2438" s="0" t="n">
        <v>3</v>
      </c>
      <c r="B2438" s="59" t="n">
        <v>46234</v>
      </c>
      <c r="C2438" s="0" t="n">
        <v>11</v>
      </c>
      <c r="D2438" s="0" t="s">
        <v>2126</v>
      </c>
      <c r="E2438" s="0" t="n">
        <v>1196</v>
      </c>
      <c r="F2438" s="0" t="s">
        <v>175</v>
      </c>
      <c r="I2438" s="0" t="n">
        <v>12548</v>
      </c>
      <c r="J2438" s="0" t="n">
        <v>53324</v>
      </c>
      <c r="K2438" s="0" t="n">
        <v>7896253401472</v>
      </c>
      <c r="L2438" s="0" t="s">
        <v>3234</v>
      </c>
      <c r="N2438" s="0" t="n">
        <v>30</v>
      </c>
      <c r="O2438" s="60" t="n">
        <v>121.42</v>
      </c>
    </row>
    <row r="2439" customFormat="false" ht="15" hidden="false" customHeight="false" outlineLevel="0" collapsed="false">
      <c r="A2439" s="0" t="n">
        <v>3</v>
      </c>
      <c r="B2439" s="59" t="n">
        <v>46234</v>
      </c>
      <c r="C2439" s="0" t="n">
        <v>11</v>
      </c>
      <c r="D2439" s="0" t="s">
        <v>2126</v>
      </c>
      <c r="E2439" s="0" t="n">
        <v>1196</v>
      </c>
      <c r="F2439" s="0" t="s">
        <v>175</v>
      </c>
      <c r="I2439" s="0" t="n">
        <v>12548</v>
      </c>
      <c r="J2439" s="0" t="n">
        <v>56692</v>
      </c>
      <c r="K2439" s="0" t="n">
        <v>7896253401892</v>
      </c>
      <c r="L2439" s="0" t="s">
        <v>3235</v>
      </c>
      <c r="N2439" s="0" t="n">
        <v>27</v>
      </c>
      <c r="O2439" s="60" t="n">
        <v>129.55</v>
      </c>
    </row>
    <row r="2440" customFormat="false" ht="15" hidden="false" customHeight="false" outlineLevel="0" collapsed="false">
      <c r="A2440" s="0" t="n">
        <v>3</v>
      </c>
      <c r="B2440" s="59" t="n">
        <v>46234</v>
      </c>
      <c r="C2440" s="0" t="n">
        <v>11</v>
      </c>
      <c r="D2440" s="0" t="s">
        <v>2126</v>
      </c>
      <c r="E2440" s="0" t="n">
        <v>1196</v>
      </c>
      <c r="F2440" s="0" t="s">
        <v>175</v>
      </c>
      <c r="I2440" s="0" t="n">
        <v>12548</v>
      </c>
      <c r="J2440" s="0" t="n">
        <v>80083</v>
      </c>
      <c r="K2440" s="0" t="n">
        <v>7896253401663</v>
      </c>
      <c r="L2440" s="0" t="s">
        <v>3236</v>
      </c>
      <c r="N2440" s="0" t="n">
        <v>20</v>
      </c>
      <c r="O2440" s="60" t="n">
        <v>91.57</v>
      </c>
    </row>
    <row r="2441" customFormat="false" ht="15" hidden="false" customHeight="false" outlineLevel="0" collapsed="false">
      <c r="A2441" s="0" t="n">
        <v>3</v>
      </c>
      <c r="B2441" s="59" t="n">
        <v>46234</v>
      </c>
      <c r="C2441" s="0" t="n">
        <v>11</v>
      </c>
      <c r="D2441" s="0" t="s">
        <v>2126</v>
      </c>
      <c r="E2441" s="0" t="n">
        <v>1615</v>
      </c>
      <c r="F2441" s="0" t="s">
        <v>131</v>
      </c>
      <c r="I2441" s="0" t="n">
        <v>14997</v>
      </c>
      <c r="J2441" s="0" t="n">
        <v>100101</v>
      </c>
      <c r="K2441" s="0" t="n">
        <v>102</v>
      </c>
      <c r="L2441" s="0" t="s">
        <v>2738</v>
      </c>
      <c r="N2441" s="0" t="n">
        <v>10</v>
      </c>
      <c r="O2441" s="60" t="n">
        <v>240</v>
      </c>
    </row>
    <row r="2442" customFormat="false" ht="15" hidden="false" customHeight="false" outlineLevel="0" collapsed="false">
      <c r="A2442" s="0" t="n">
        <v>3</v>
      </c>
      <c r="B2442" s="59" t="n">
        <v>46234</v>
      </c>
      <c r="C2442" s="0" t="n">
        <v>11</v>
      </c>
      <c r="D2442" s="0" t="s">
        <v>2126</v>
      </c>
      <c r="E2442" s="0" t="n">
        <v>1615</v>
      </c>
      <c r="F2442" s="0" t="s">
        <v>131</v>
      </c>
      <c r="I2442" s="0" t="n">
        <v>14997</v>
      </c>
      <c r="J2442" s="0" t="n">
        <v>100114</v>
      </c>
      <c r="K2442" s="0" t="n">
        <v>115</v>
      </c>
      <c r="L2442" s="0" t="s">
        <v>2253</v>
      </c>
      <c r="N2442" s="0" t="n">
        <v>18</v>
      </c>
      <c r="O2442" s="60" t="n">
        <v>170</v>
      </c>
    </row>
    <row r="2443" customFormat="false" ht="15" hidden="false" customHeight="false" outlineLevel="0" collapsed="false">
      <c r="A2443" s="0" t="n">
        <v>3</v>
      </c>
      <c r="B2443" s="59" t="n">
        <v>46234</v>
      </c>
      <c r="C2443" s="0" t="n">
        <v>11</v>
      </c>
      <c r="D2443" s="0" t="s">
        <v>2126</v>
      </c>
      <c r="E2443" s="0" t="n">
        <v>1378</v>
      </c>
      <c r="F2443" s="0" t="s">
        <v>121</v>
      </c>
      <c r="I2443" s="0" t="n">
        <v>18475</v>
      </c>
      <c r="J2443" s="0" t="n">
        <v>74061</v>
      </c>
      <c r="K2443" s="0" t="n">
        <v>42882264255</v>
      </c>
      <c r="L2443" s="0" t="s">
        <v>2297</v>
      </c>
      <c r="N2443" s="0" t="n">
        <v>4</v>
      </c>
      <c r="O2443" s="60" t="n">
        <v>20.4</v>
      </c>
    </row>
    <row r="2444" customFormat="false" ht="15" hidden="false" customHeight="false" outlineLevel="0" collapsed="false">
      <c r="A2444" s="0" t="n">
        <v>3</v>
      </c>
      <c r="B2444" s="59" t="n">
        <v>46234</v>
      </c>
      <c r="C2444" s="0" t="n">
        <v>11</v>
      </c>
      <c r="D2444" s="0" t="s">
        <v>2126</v>
      </c>
      <c r="E2444" s="0" t="n">
        <v>1378</v>
      </c>
      <c r="F2444" s="0" t="s">
        <v>121</v>
      </c>
      <c r="I2444" s="0" t="n">
        <v>18475</v>
      </c>
      <c r="J2444" s="0" t="n">
        <v>74063</v>
      </c>
      <c r="K2444" s="0" t="n">
        <v>42882264262</v>
      </c>
      <c r="L2444" s="0" t="s">
        <v>2298</v>
      </c>
      <c r="N2444" s="0" t="n">
        <v>6</v>
      </c>
      <c r="O2444" s="60" t="n">
        <v>27</v>
      </c>
    </row>
    <row r="2445" customFormat="false" ht="15" hidden="false" customHeight="false" outlineLevel="0" collapsed="false">
      <c r="A2445" s="0" t="n">
        <v>3</v>
      </c>
      <c r="B2445" s="59" t="n">
        <v>46234</v>
      </c>
      <c r="C2445" s="0" t="n">
        <v>11</v>
      </c>
      <c r="D2445" s="0" t="s">
        <v>2126</v>
      </c>
      <c r="E2445" s="0" t="n">
        <v>1378</v>
      </c>
      <c r="F2445" s="0" t="s">
        <v>121</v>
      </c>
      <c r="I2445" s="0" t="n">
        <v>18475</v>
      </c>
      <c r="J2445" s="0" t="n">
        <v>74064</v>
      </c>
      <c r="K2445" s="0" t="n">
        <v>42882264279</v>
      </c>
      <c r="L2445" s="0" t="s">
        <v>2299</v>
      </c>
      <c r="N2445" s="0" t="n">
        <v>6</v>
      </c>
      <c r="O2445" s="60" t="n">
        <v>28.8</v>
      </c>
    </row>
    <row r="2446" customFormat="false" ht="15" hidden="false" customHeight="false" outlineLevel="0" collapsed="false">
      <c r="A2446" s="0" t="n">
        <v>3</v>
      </c>
      <c r="B2446" s="59" t="n">
        <v>46234</v>
      </c>
      <c r="C2446" s="0" t="n">
        <v>11</v>
      </c>
      <c r="D2446" s="0" t="s">
        <v>2126</v>
      </c>
      <c r="E2446" s="0" t="n">
        <v>1378</v>
      </c>
      <c r="F2446" s="0" t="s">
        <v>121</v>
      </c>
      <c r="I2446" s="0" t="n">
        <v>18475</v>
      </c>
      <c r="J2446" s="0" t="n">
        <v>77994</v>
      </c>
      <c r="K2446" s="0" t="n">
        <v>780117</v>
      </c>
      <c r="L2446" s="0" t="s">
        <v>2301</v>
      </c>
      <c r="N2446" s="0" t="n">
        <v>13</v>
      </c>
      <c r="O2446" s="60" t="n">
        <v>75.4</v>
      </c>
    </row>
    <row r="2447" customFormat="false" ht="15" hidden="false" customHeight="false" outlineLevel="0" collapsed="false">
      <c r="A2447" s="0" t="n">
        <v>3</v>
      </c>
      <c r="B2447" s="59" t="n">
        <v>46234</v>
      </c>
      <c r="C2447" s="0" t="n">
        <v>11</v>
      </c>
      <c r="D2447" s="0" t="s">
        <v>2126</v>
      </c>
      <c r="E2447" s="0" t="n">
        <v>1814</v>
      </c>
      <c r="F2447" s="0" t="s">
        <v>341</v>
      </c>
      <c r="I2447" s="0" t="n">
        <v>27976</v>
      </c>
      <c r="J2447" s="0" t="n">
        <v>25090</v>
      </c>
      <c r="K2447" s="0" t="n">
        <v>7898951519152</v>
      </c>
      <c r="L2447" s="0" t="s">
        <v>2302</v>
      </c>
      <c r="N2447" s="0" t="n">
        <v>50</v>
      </c>
      <c r="O2447" s="60" t="n">
        <v>108.01</v>
      </c>
    </row>
    <row r="2448" customFormat="false" ht="15" hidden="false" customHeight="false" outlineLevel="0" collapsed="false">
      <c r="A2448" s="0" t="n">
        <v>3</v>
      </c>
      <c r="B2448" s="59" t="n">
        <v>46234</v>
      </c>
      <c r="C2448" s="0" t="n">
        <v>11</v>
      </c>
      <c r="D2448" s="0" t="s">
        <v>2126</v>
      </c>
      <c r="E2448" s="0" t="n">
        <v>1814</v>
      </c>
      <c r="F2448" s="0" t="s">
        <v>341</v>
      </c>
      <c r="I2448" s="0" t="n">
        <v>27976</v>
      </c>
      <c r="J2448" s="0" t="n">
        <v>25091</v>
      </c>
      <c r="K2448" s="0" t="n">
        <v>7898951519176</v>
      </c>
      <c r="L2448" s="0" t="s">
        <v>2303</v>
      </c>
      <c r="N2448" s="0" t="n">
        <v>60</v>
      </c>
      <c r="O2448" s="60" t="n">
        <v>182.08</v>
      </c>
    </row>
    <row r="2449" customFormat="false" ht="15" hidden="false" customHeight="false" outlineLevel="0" collapsed="false">
      <c r="A2449" s="0" t="n">
        <v>3</v>
      </c>
      <c r="B2449" s="59" t="n">
        <v>46234</v>
      </c>
      <c r="C2449" s="0" t="n">
        <v>11</v>
      </c>
      <c r="D2449" s="0" t="s">
        <v>2126</v>
      </c>
      <c r="E2449" s="0" t="n">
        <v>1814</v>
      </c>
      <c r="F2449" s="0" t="s">
        <v>341</v>
      </c>
      <c r="I2449" s="0" t="n">
        <v>27976</v>
      </c>
      <c r="J2449" s="0" t="n">
        <v>25092</v>
      </c>
      <c r="K2449" s="0" t="n">
        <v>7896883601105</v>
      </c>
      <c r="L2449" s="0" t="s">
        <v>2304</v>
      </c>
      <c r="N2449" s="0" t="n">
        <v>60</v>
      </c>
      <c r="O2449" s="60" t="n">
        <v>104.31</v>
      </c>
    </row>
    <row r="2450" customFormat="false" ht="15" hidden="false" customHeight="false" outlineLevel="0" collapsed="false">
      <c r="A2450" s="0" t="n">
        <v>3</v>
      </c>
      <c r="B2450" s="59" t="n">
        <v>46234</v>
      </c>
      <c r="C2450" s="0" t="n">
        <v>11</v>
      </c>
      <c r="D2450" s="0" t="s">
        <v>2126</v>
      </c>
      <c r="E2450" s="0" t="n">
        <v>1814</v>
      </c>
      <c r="F2450" s="0" t="s">
        <v>341</v>
      </c>
      <c r="I2450" s="0" t="n">
        <v>27976</v>
      </c>
      <c r="J2450" s="0" t="n">
        <v>25093</v>
      </c>
      <c r="K2450" s="0" t="n">
        <v>7898951519169</v>
      </c>
      <c r="L2450" s="0" t="s">
        <v>2305</v>
      </c>
      <c r="N2450" s="0" t="n">
        <v>40</v>
      </c>
      <c r="O2450" s="60" t="n">
        <v>45.26</v>
      </c>
    </row>
    <row r="2451" customFormat="false" ht="15" hidden="false" customHeight="false" outlineLevel="0" collapsed="false">
      <c r="A2451" s="0" t="n">
        <v>3</v>
      </c>
      <c r="B2451" s="59" t="n">
        <v>46234</v>
      </c>
      <c r="C2451" s="0" t="n">
        <v>11</v>
      </c>
      <c r="D2451" s="0" t="s">
        <v>2126</v>
      </c>
      <c r="E2451" s="0" t="n">
        <v>1814</v>
      </c>
      <c r="F2451" s="0" t="s">
        <v>341</v>
      </c>
      <c r="I2451" s="0" t="n">
        <v>27976</v>
      </c>
      <c r="J2451" s="0" t="n">
        <v>25095</v>
      </c>
      <c r="K2451" s="0" t="n">
        <v>7898951519145</v>
      </c>
      <c r="L2451" s="0" t="s">
        <v>2306</v>
      </c>
      <c r="N2451" s="0" t="n">
        <v>60</v>
      </c>
      <c r="O2451" s="60" t="n">
        <v>77.15</v>
      </c>
    </row>
    <row r="2452" customFormat="false" ht="15" hidden="false" customHeight="false" outlineLevel="0" collapsed="false">
      <c r="A2452" s="0" t="n">
        <v>3</v>
      </c>
      <c r="B2452" s="59" t="n">
        <v>46234</v>
      </c>
      <c r="C2452" s="0" t="n">
        <v>11</v>
      </c>
      <c r="D2452" s="0" t="s">
        <v>2126</v>
      </c>
      <c r="E2452" s="0" t="n">
        <v>1814</v>
      </c>
      <c r="F2452" s="0" t="s">
        <v>341</v>
      </c>
      <c r="I2452" s="0" t="n">
        <v>27976</v>
      </c>
      <c r="J2452" s="0" t="n">
        <v>25096</v>
      </c>
      <c r="K2452" s="0" t="n">
        <v>7898951519138</v>
      </c>
      <c r="L2452" s="0" t="s">
        <v>2307</v>
      </c>
      <c r="N2452" s="0" t="n">
        <v>60</v>
      </c>
      <c r="O2452" s="60" t="n">
        <v>107.4</v>
      </c>
    </row>
    <row r="2453" customFormat="false" ht="15" hidden="false" customHeight="false" outlineLevel="0" collapsed="false">
      <c r="A2453" s="0" t="n">
        <v>3</v>
      </c>
      <c r="B2453" s="59" t="n">
        <v>46234</v>
      </c>
      <c r="C2453" s="0" t="n">
        <v>11</v>
      </c>
      <c r="D2453" s="0" t="s">
        <v>2126</v>
      </c>
      <c r="E2453" s="0" t="n">
        <v>1814</v>
      </c>
      <c r="F2453" s="0" t="s">
        <v>341</v>
      </c>
      <c r="I2453" s="0" t="n">
        <v>27976</v>
      </c>
      <c r="J2453" s="0" t="n">
        <v>25097</v>
      </c>
      <c r="K2453" s="0" t="n">
        <v>7898951519121</v>
      </c>
      <c r="L2453" s="0" t="s">
        <v>3237</v>
      </c>
      <c r="N2453" s="0" t="n">
        <v>50</v>
      </c>
      <c r="O2453" s="60" t="n">
        <v>56.58</v>
      </c>
    </row>
    <row r="2454" customFormat="false" ht="15" hidden="false" customHeight="false" outlineLevel="0" collapsed="false">
      <c r="A2454" s="0" t="n">
        <v>3</v>
      </c>
      <c r="B2454" s="59" t="n">
        <v>46234</v>
      </c>
      <c r="C2454" s="0" t="n">
        <v>11</v>
      </c>
      <c r="D2454" s="0" t="s">
        <v>2126</v>
      </c>
      <c r="E2454" s="0" t="n">
        <v>1814</v>
      </c>
      <c r="F2454" s="0" t="s">
        <v>341</v>
      </c>
      <c r="I2454" s="0" t="n">
        <v>27976</v>
      </c>
      <c r="J2454" s="0" t="n">
        <v>25134</v>
      </c>
      <c r="K2454" s="0" t="n">
        <v>7898951519114</v>
      </c>
      <c r="L2454" s="0" t="s">
        <v>2308</v>
      </c>
      <c r="N2454" s="0" t="n">
        <v>60</v>
      </c>
      <c r="O2454" s="60" t="n">
        <v>83.32</v>
      </c>
    </row>
    <row r="2455" customFormat="false" ht="15" hidden="false" customHeight="false" outlineLevel="0" collapsed="false">
      <c r="A2455" s="0" t="n">
        <v>3</v>
      </c>
      <c r="B2455" s="59" t="n">
        <v>46234</v>
      </c>
      <c r="C2455" s="0" t="n">
        <v>11</v>
      </c>
      <c r="D2455" s="0" t="s">
        <v>2126</v>
      </c>
      <c r="E2455" s="0" t="n">
        <v>1814</v>
      </c>
      <c r="F2455" s="0" t="s">
        <v>341</v>
      </c>
      <c r="I2455" s="0" t="n">
        <v>27976</v>
      </c>
      <c r="J2455" s="0" t="n">
        <v>25757</v>
      </c>
      <c r="K2455" s="0" t="n">
        <v>7898951519107</v>
      </c>
      <c r="L2455" s="0" t="s">
        <v>3238</v>
      </c>
      <c r="N2455" s="0" t="n">
        <v>30</v>
      </c>
      <c r="O2455" s="60" t="n">
        <v>54</v>
      </c>
    </row>
    <row r="2456" customFormat="false" ht="15" hidden="false" customHeight="false" outlineLevel="0" collapsed="false">
      <c r="A2456" s="0" t="n">
        <v>3</v>
      </c>
      <c r="B2456" s="59" t="n">
        <v>46234</v>
      </c>
      <c r="C2456" s="0" t="n">
        <v>11</v>
      </c>
      <c r="D2456" s="0" t="s">
        <v>2126</v>
      </c>
      <c r="E2456" s="0" t="n">
        <v>1814</v>
      </c>
      <c r="F2456" s="0" t="s">
        <v>341</v>
      </c>
      <c r="I2456" s="0" t="n">
        <v>27976</v>
      </c>
      <c r="J2456" s="0" t="n">
        <v>25815</v>
      </c>
      <c r="K2456" s="0" t="n">
        <v>7898951519206</v>
      </c>
      <c r="L2456" s="0" t="s">
        <v>2758</v>
      </c>
      <c r="N2456" s="0" t="n">
        <v>10</v>
      </c>
      <c r="O2456" s="60" t="n">
        <v>14.4</v>
      </c>
    </row>
    <row r="2457" customFormat="false" ht="15" hidden="false" customHeight="false" outlineLevel="0" collapsed="false">
      <c r="A2457" s="0" t="n">
        <v>3</v>
      </c>
      <c r="B2457" s="59" t="n">
        <v>46234</v>
      </c>
      <c r="C2457" s="0" t="n">
        <v>11</v>
      </c>
      <c r="D2457" s="0" t="s">
        <v>2126</v>
      </c>
      <c r="E2457" s="0" t="n">
        <v>1814</v>
      </c>
      <c r="F2457" s="0" t="s">
        <v>341</v>
      </c>
      <c r="I2457" s="0" t="n">
        <v>27976</v>
      </c>
      <c r="J2457" s="0" t="n">
        <v>39927</v>
      </c>
      <c r="K2457" s="0" t="n">
        <v>7898951519077</v>
      </c>
      <c r="L2457" s="0" t="s">
        <v>2309</v>
      </c>
      <c r="N2457" s="0" t="n">
        <v>6</v>
      </c>
      <c r="O2457" s="60" t="n">
        <v>57.4</v>
      </c>
    </row>
    <row r="2458" customFormat="false" ht="15" hidden="false" customHeight="false" outlineLevel="0" collapsed="false">
      <c r="A2458" s="0" t="n">
        <v>3</v>
      </c>
      <c r="B2458" s="59" t="n">
        <v>46234</v>
      </c>
      <c r="C2458" s="0" t="n">
        <v>11</v>
      </c>
      <c r="D2458" s="0" t="s">
        <v>2126</v>
      </c>
      <c r="E2458" s="0" t="n">
        <v>1814</v>
      </c>
      <c r="F2458" s="0" t="s">
        <v>341</v>
      </c>
      <c r="I2458" s="0" t="n">
        <v>27976</v>
      </c>
      <c r="J2458" s="0" t="n">
        <v>39928</v>
      </c>
      <c r="K2458" s="0" t="n">
        <v>7898951519015</v>
      </c>
      <c r="L2458" s="0" t="s">
        <v>3239</v>
      </c>
      <c r="N2458" s="0" t="n">
        <v>4</v>
      </c>
      <c r="O2458" s="60" t="n">
        <v>57.2</v>
      </c>
    </row>
    <row r="2459" customFormat="false" ht="15" hidden="false" customHeight="false" outlineLevel="0" collapsed="false">
      <c r="A2459" s="0" t="n">
        <v>3</v>
      </c>
      <c r="B2459" s="59" t="n">
        <v>46234</v>
      </c>
      <c r="C2459" s="0" t="n">
        <v>11</v>
      </c>
      <c r="D2459" s="0" t="s">
        <v>2126</v>
      </c>
      <c r="E2459" s="0" t="n">
        <v>1814</v>
      </c>
      <c r="F2459" s="0" t="s">
        <v>341</v>
      </c>
      <c r="I2459" s="0" t="n">
        <v>27976</v>
      </c>
      <c r="J2459" s="0" t="n">
        <v>39929</v>
      </c>
      <c r="K2459" s="0" t="n">
        <v>7898951519039</v>
      </c>
      <c r="L2459" s="0" t="s">
        <v>3240</v>
      </c>
      <c r="N2459" s="0" t="n">
        <v>6</v>
      </c>
      <c r="O2459" s="60" t="n">
        <v>57.4</v>
      </c>
    </row>
    <row r="2460" customFormat="false" ht="15" hidden="false" customHeight="false" outlineLevel="0" collapsed="false">
      <c r="A2460" s="0" t="n">
        <v>3</v>
      </c>
      <c r="B2460" s="59" t="n">
        <v>46234</v>
      </c>
      <c r="C2460" s="0" t="n">
        <v>11</v>
      </c>
      <c r="D2460" s="0" t="s">
        <v>2126</v>
      </c>
      <c r="E2460" s="0" t="n">
        <v>1814</v>
      </c>
      <c r="F2460" s="0" t="s">
        <v>341</v>
      </c>
      <c r="I2460" s="0" t="n">
        <v>27976</v>
      </c>
      <c r="J2460" s="0" t="n">
        <v>39930</v>
      </c>
      <c r="K2460" s="0" t="n">
        <v>7898951519060</v>
      </c>
      <c r="L2460" s="0" t="s">
        <v>2759</v>
      </c>
      <c r="N2460" s="0" t="n">
        <v>4</v>
      </c>
      <c r="O2460" s="60" t="n">
        <v>72.01</v>
      </c>
    </row>
    <row r="2461" customFormat="false" ht="15" hidden="false" customHeight="false" outlineLevel="0" collapsed="false">
      <c r="A2461" s="0" t="n">
        <v>3</v>
      </c>
      <c r="B2461" s="59" t="n">
        <v>46234</v>
      </c>
      <c r="C2461" s="0" t="n">
        <v>11</v>
      </c>
      <c r="D2461" s="0" t="s">
        <v>2126</v>
      </c>
      <c r="E2461" s="0" t="n">
        <v>1814</v>
      </c>
      <c r="F2461" s="0" t="s">
        <v>341</v>
      </c>
      <c r="I2461" s="0" t="n">
        <v>27976</v>
      </c>
      <c r="J2461" s="0" t="n">
        <v>39931</v>
      </c>
      <c r="K2461" s="0" t="n">
        <v>7898951519220</v>
      </c>
      <c r="L2461" s="0" t="s">
        <v>3241</v>
      </c>
      <c r="N2461" s="0" t="n">
        <v>6</v>
      </c>
      <c r="O2461" s="60" t="n">
        <v>57.4</v>
      </c>
    </row>
    <row r="2462" customFormat="false" ht="15" hidden="false" customHeight="false" outlineLevel="0" collapsed="false">
      <c r="A2462" s="0" t="n">
        <v>3</v>
      </c>
      <c r="B2462" s="59" t="n">
        <v>46234</v>
      </c>
      <c r="C2462" s="0" t="n">
        <v>11</v>
      </c>
      <c r="D2462" s="0" t="s">
        <v>2126</v>
      </c>
      <c r="E2462" s="0" t="n">
        <v>1814</v>
      </c>
      <c r="F2462" s="0" t="s">
        <v>341</v>
      </c>
      <c r="I2462" s="0" t="n">
        <v>27976</v>
      </c>
      <c r="J2462" s="0" t="n">
        <v>39932</v>
      </c>
      <c r="K2462" s="0" t="n">
        <v>7898951519091</v>
      </c>
      <c r="L2462" s="0" t="s">
        <v>2310</v>
      </c>
      <c r="N2462" s="0" t="n">
        <v>4</v>
      </c>
      <c r="O2462" s="60" t="n">
        <v>59.66</v>
      </c>
    </row>
    <row r="2463" customFormat="false" ht="15" hidden="false" customHeight="false" outlineLevel="0" collapsed="false">
      <c r="A2463" s="0" t="n">
        <v>3</v>
      </c>
      <c r="B2463" s="59" t="n">
        <v>46234</v>
      </c>
      <c r="C2463" s="0" t="n">
        <v>11</v>
      </c>
      <c r="D2463" s="0" t="s">
        <v>2126</v>
      </c>
      <c r="E2463" s="0" t="n">
        <v>1814</v>
      </c>
      <c r="F2463" s="0" t="s">
        <v>341</v>
      </c>
      <c r="I2463" s="0" t="n">
        <v>27976</v>
      </c>
      <c r="J2463" s="0" t="n">
        <v>39935</v>
      </c>
      <c r="K2463" s="0" t="n">
        <v>7898951519053</v>
      </c>
      <c r="L2463" s="0" t="s">
        <v>2312</v>
      </c>
      <c r="N2463" s="0" t="n">
        <v>15</v>
      </c>
      <c r="O2463" s="60" t="n">
        <v>143.51</v>
      </c>
    </row>
    <row r="2464" customFormat="false" ht="15" hidden="false" customHeight="false" outlineLevel="0" collapsed="false">
      <c r="A2464" s="0" t="n">
        <v>3</v>
      </c>
      <c r="B2464" s="59" t="n">
        <v>46234</v>
      </c>
      <c r="C2464" s="0" t="n">
        <v>11</v>
      </c>
      <c r="D2464" s="0" t="s">
        <v>2126</v>
      </c>
      <c r="E2464" s="0" t="n">
        <v>1814</v>
      </c>
      <c r="F2464" s="0" t="s">
        <v>341</v>
      </c>
      <c r="I2464" s="0" t="n">
        <v>27976</v>
      </c>
      <c r="J2464" s="0" t="n">
        <v>39936</v>
      </c>
      <c r="K2464" s="0" t="n">
        <v>7898951519084</v>
      </c>
      <c r="L2464" s="0" t="s">
        <v>2760</v>
      </c>
      <c r="N2464" s="0" t="n">
        <v>6</v>
      </c>
      <c r="O2464" s="60" t="n">
        <v>151.22</v>
      </c>
    </row>
    <row r="2465" customFormat="false" ht="15" hidden="false" customHeight="false" outlineLevel="0" collapsed="false">
      <c r="A2465" s="0" t="n">
        <v>3</v>
      </c>
      <c r="B2465" s="59" t="n">
        <v>46234</v>
      </c>
      <c r="C2465" s="0" t="n">
        <v>11</v>
      </c>
      <c r="D2465" s="0" t="s">
        <v>2126</v>
      </c>
      <c r="E2465" s="0" t="n">
        <v>1814</v>
      </c>
      <c r="F2465" s="0" t="s">
        <v>341</v>
      </c>
      <c r="I2465" s="0" t="n">
        <v>27976</v>
      </c>
      <c r="J2465" s="0" t="n">
        <v>39937</v>
      </c>
      <c r="K2465" s="0" t="n">
        <v>7898951519022</v>
      </c>
      <c r="L2465" s="0" t="s">
        <v>2313</v>
      </c>
      <c r="N2465" s="0" t="n">
        <v>10</v>
      </c>
      <c r="O2465" s="60" t="n">
        <v>122.42</v>
      </c>
    </row>
    <row r="2466" customFormat="false" ht="15" hidden="false" customHeight="false" outlineLevel="0" collapsed="false">
      <c r="A2466" s="0" t="n">
        <v>3</v>
      </c>
      <c r="B2466" s="59" t="n">
        <v>46234</v>
      </c>
      <c r="C2466" s="0" t="n">
        <v>11</v>
      </c>
      <c r="D2466" s="0" t="s">
        <v>2126</v>
      </c>
      <c r="E2466" s="0" t="n">
        <v>1814</v>
      </c>
      <c r="F2466" s="0" t="s">
        <v>341</v>
      </c>
      <c r="I2466" s="0" t="n">
        <v>27976</v>
      </c>
      <c r="J2466" s="0" t="n">
        <v>81422</v>
      </c>
      <c r="K2466" s="0" t="n">
        <v>7898951519336</v>
      </c>
      <c r="L2466" s="0" t="s">
        <v>2314</v>
      </c>
      <c r="N2466" s="0" t="n">
        <v>4</v>
      </c>
      <c r="O2466" s="60" t="n">
        <v>60</v>
      </c>
    </row>
    <row r="2467" customFormat="false" ht="15" hidden="false" customHeight="false" outlineLevel="0" collapsed="false">
      <c r="A2467" s="0" t="n">
        <v>3</v>
      </c>
      <c r="B2467" s="59" t="n">
        <v>46234</v>
      </c>
      <c r="C2467" s="0" t="n">
        <v>11</v>
      </c>
      <c r="D2467" s="0" t="s">
        <v>2126</v>
      </c>
      <c r="E2467" s="0" t="n">
        <v>10017</v>
      </c>
      <c r="F2467" s="0" t="s">
        <v>337</v>
      </c>
      <c r="I2467" s="0" t="n">
        <v>195089</v>
      </c>
      <c r="J2467" s="0" t="n">
        <v>102208</v>
      </c>
      <c r="K2467" s="0" t="n">
        <v>7896004400075</v>
      </c>
      <c r="L2467" s="0" t="s">
        <v>3242</v>
      </c>
      <c r="N2467" s="0" t="n">
        <v>24</v>
      </c>
      <c r="O2467" s="60" t="n">
        <v>156.48</v>
      </c>
    </row>
    <row r="2468" customFormat="false" ht="15" hidden="false" customHeight="false" outlineLevel="0" collapsed="false">
      <c r="A2468" s="0" t="n">
        <v>3</v>
      </c>
      <c r="B2468" s="59" t="n">
        <v>46234</v>
      </c>
      <c r="C2468" s="0" t="n">
        <v>11</v>
      </c>
      <c r="D2468" s="0" t="s">
        <v>2126</v>
      </c>
      <c r="E2468" s="0" t="n">
        <v>10017</v>
      </c>
      <c r="F2468" s="0" t="s">
        <v>337</v>
      </c>
      <c r="I2468" s="0" t="n">
        <v>195089</v>
      </c>
      <c r="J2468" s="0" t="n">
        <v>102496</v>
      </c>
      <c r="K2468" s="0" t="n">
        <v>7891032012658</v>
      </c>
      <c r="L2468" s="0" t="s">
        <v>3243</v>
      </c>
      <c r="N2468" s="0" t="n">
        <v>12</v>
      </c>
      <c r="O2468" s="60" t="n">
        <v>52.32</v>
      </c>
    </row>
    <row r="2469" customFormat="false" ht="15" hidden="false" customHeight="false" outlineLevel="0" collapsed="false">
      <c r="A2469" s="0" t="n">
        <v>3</v>
      </c>
      <c r="B2469" s="59" t="n">
        <v>46234</v>
      </c>
      <c r="C2469" s="0" t="n">
        <v>11</v>
      </c>
      <c r="D2469" s="0" t="s">
        <v>2126</v>
      </c>
      <c r="E2469" s="0" t="n">
        <v>10017</v>
      </c>
      <c r="F2469" s="0" t="s">
        <v>337</v>
      </c>
      <c r="I2469" s="0" t="n">
        <v>195089</v>
      </c>
      <c r="J2469" s="0" t="n">
        <v>102577</v>
      </c>
      <c r="K2469" s="0" t="n">
        <v>7898080640222</v>
      </c>
      <c r="L2469" s="0" t="s">
        <v>3244</v>
      </c>
      <c r="N2469" s="0" t="n">
        <v>72</v>
      </c>
      <c r="O2469" s="60" t="n">
        <v>260.07</v>
      </c>
    </row>
    <row r="2470" customFormat="false" ht="15" hidden="false" customHeight="false" outlineLevel="0" collapsed="false">
      <c r="A2470" s="0" t="n">
        <v>3</v>
      </c>
      <c r="B2470" s="59" t="n">
        <v>46234</v>
      </c>
      <c r="C2470" s="0" t="n">
        <v>11</v>
      </c>
      <c r="D2470" s="0" t="s">
        <v>2126</v>
      </c>
      <c r="E2470" s="0" t="n">
        <v>10017</v>
      </c>
      <c r="F2470" s="0" t="s">
        <v>337</v>
      </c>
      <c r="I2470" s="0" t="n">
        <v>195089</v>
      </c>
      <c r="J2470" s="0" t="n">
        <v>106017</v>
      </c>
      <c r="K2470" s="0" t="n">
        <v>7891032012351</v>
      </c>
      <c r="L2470" s="0" t="s">
        <v>3245</v>
      </c>
      <c r="N2470" s="0" t="n">
        <v>12</v>
      </c>
      <c r="O2470" s="60" t="n">
        <v>41.76</v>
      </c>
    </row>
    <row r="2471" customFormat="false" ht="15" hidden="false" customHeight="false" outlineLevel="0" collapsed="false">
      <c r="A2471" s="0" t="n">
        <v>3</v>
      </c>
      <c r="B2471" s="59" t="n">
        <v>46234</v>
      </c>
      <c r="C2471" s="0" t="n">
        <v>11</v>
      </c>
      <c r="D2471" s="0" t="s">
        <v>2126</v>
      </c>
      <c r="E2471" s="0" t="n">
        <v>10017</v>
      </c>
      <c r="F2471" s="0" t="s">
        <v>337</v>
      </c>
      <c r="I2471" s="0" t="n">
        <v>195089</v>
      </c>
      <c r="J2471" s="0" t="n">
        <v>109306</v>
      </c>
      <c r="K2471" s="0" t="n">
        <v>7891167023024</v>
      </c>
      <c r="L2471" s="0" t="s">
        <v>3246</v>
      </c>
      <c r="N2471" s="0" t="n">
        <v>50</v>
      </c>
      <c r="O2471" s="60" t="n">
        <v>227.9</v>
      </c>
    </row>
    <row r="2472" customFormat="false" ht="15" hidden="false" customHeight="false" outlineLevel="0" collapsed="false">
      <c r="A2472" s="0" t="n">
        <v>3</v>
      </c>
      <c r="B2472" s="59" t="n">
        <v>46234</v>
      </c>
      <c r="C2472" s="0" t="n">
        <v>11</v>
      </c>
      <c r="D2472" s="0" t="s">
        <v>2126</v>
      </c>
      <c r="E2472" s="0" t="n">
        <v>10017</v>
      </c>
      <c r="F2472" s="0" t="s">
        <v>337</v>
      </c>
      <c r="I2472" s="0" t="n">
        <v>195089</v>
      </c>
      <c r="J2472" s="0" t="n">
        <v>109948</v>
      </c>
      <c r="K2472" s="0" t="n">
        <v>7891032013402</v>
      </c>
      <c r="L2472" s="0" t="s">
        <v>3247</v>
      </c>
      <c r="N2472" s="0" t="n">
        <v>12</v>
      </c>
      <c r="O2472" s="60" t="n">
        <v>52.61</v>
      </c>
    </row>
    <row r="2473" customFormat="false" ht="15" hidden="false" customHeight="false" outlineLevel="0" collapsed="false">
      <c r="A2473" s="0" t="n">
        <v>3</v>
      </c>
      <c r="B2473" s="59" t="n">
        <v>46234</v>
      </c>
      <c r="C2473" s="0" t="n">
        <v>11</v>
      </c>
      <c r="D2473" s="0" t="s">
        <v>2126</v>
      </c>
      <c r="E2473" s="0" t="n">
        <v>10017</v>
      </c>
      <c r="F2473" s="0" t="s">
        <v>337</v>
      </c>
      <c r="I2473" s="0" t="n">
        <v>195089</v>
      </c>
      <c r="J2473" s="0" t="n">
        <v>10280</v>
      </c>
      <c r="K2473" s="0" t="n">
        <v>7891249061777</v>
      </c>
      <c r="L2473" s="0" t="s">
        <v>3248</v>
      </c>
      <c r="N2473" s="0" t="n">
        <v>6</v>
      </c>
      <c r="O2473" s="60" t="n">
        <v>245.4</v>
      </c>
    </row>
    <row r="2474" customFormat="false" ht="15" hidden="false" customHeight="false" outlineLevel="0" collapsed="false">
      <c r="A2474" s="0" t="n">
        <v>3</v>
      </c>
      <c r="B2474" s="59" t="n">
        <v>46234</v>
      </c>
      <c r="C2474" s="0" t="n">
        <v>11</v>
      </c>
      <c r="D2474" s="0" t="s">
        <v>2126</v>
      </c>
      <c r="E2474" s="0" t="n">
        <v>10017</v>
      </c>
      <c r="F2474" s="0" t="s">
        <v>337</v>
      </c>
      <c r="I2474" s="0" t="n">
        <v>195089</v>
      </c>
      <c r="J2474" s="0" t="n">
        <v>10686</v>
      </c>
      <c r="K2474" s="0" t="n">
        <v>7891032013105</v>
      </c>
      <c r="L2474" s="0" t="s">
        <v>2523</v>
      </c>
      <c r="N2474" s="0" t="n">
        <v>24</v>
      </c>
      <c r="O2474" s="60" t="n">
        <v>75.74</v>
      </c>
    </row>
    <row r="2475" customFormat="false" ht="15" hidden="false" customHeight="false" outlineLevel="0" collapsed="false">
      <c r="A2475" s="0" t="n">
        <v>3</v>
      </c>
      <c r="B2475" s="59" t="n">
        <v>46234</v>
      </c>
      <c r="C2475" s="0" t="n">
        <v>11</v>
      </c>
      <c r="D2475" s="0" t="s">
        <v>2126</v>
      </c>
      <c r="E2475" s="0" t="n">
        <v>10017</v>
      </c>
      <c r="F2475" s="0" t="s">
        <v>337</v>
      </c>
      <c r="I2475" s="0" t="n">
        <v>195089</v>
      </c>
      <c r="J2475" s="0" t="n">
        <v>13053</v>
      </c>
      <c r="K2475" s="0" t="n">
        <v>7898041310775</v>
      </c>
      <c r="L2475" s="0" t="s">
        <v>2399</v>
      </c>
      <c r="N2475" s="0" t="n">
        <v>60</v>
      </c>
      <c r="O2475" s="60" t="n">
        <v>142.56</v>
      </c>
    </row>
    <row r="2476" customFormat="false" ht="15" hidden="false" customHeight="false" outlineLevel="0" collapsed="false">
      <c r="A2476" s="0" t="n">
        <v>3</v>
      </c>
      <c r="B2476" s="59" t="n">
        <v>46234</v>
      </c>
      <c r="C2476" s="0" t="n">
        <v>11</v>
      </c>
      <c r="D2476" s="0" t="s">
        <v>2126</v>
      </c>
      <c r="E2476" s="0" t="n">
        <v>10017</v>
      </c>
      <c r="F2476" s="0" t="s">
        <v>337</v>
      </c>
      <c r="I2476" s="0" t="n">
        <v>195089</v>
      </c>
      <c r="J2476" s="0" t="n">
        <v>15420</v>
      </c>
      <c r="K2476" s="0" t="n">
        <v>7891249061166</v>
      </c>
      <c r="L2476" s="0" t="s">
        <v>3249</v>
      </c>
      <c r="N2476" s="0" t="n">
        <v>6</v>
      </c>
      <c r="O2476" s="60" t="n">
        <v>132.48</v>
      </c>
    </row>
    <row r="2477" customFormat="false" ht="15" hidden="false" customHeight="false" outlineLevel="0" collapsed="false">
      <c r="A2477" s="0" t="n">
        <v>3</v>
      </c>
      <c r="B2477" s="59" t="n">
        <v>46234</v>
      </c>
      <c r="C2477" s="0" t="n">
        <v>11</v>
      </c>
      <c r="D2477" s="0" t="s">
        <v>2126</v>
      </c>
      <c r="E2477" s="0" t="n">
        <v>10017</v>
      </c>
      <c r="F2477" s="0" t="s">
        <v>337</v>
      </c>
      <c r="I2477" s="0" t="n">
        <v>195089</v>
      </c>
      <c r="J2477" s="0" t="n">
        <v>25713</v>
      </c>
      <c r="K2477" s="0" t="n">
        <v>7898556010047</v>
      </c>
      <c r="L2477" s="0" t="s">
        <v>3250</v>
      </c>
      <c r="N2477" s="0" t="n">
        <v>24</v>
      </c>
      <c r="O2477" s="60" t="n">
        <v>126.82</v>
      </c>
    </row>
    <row r="2478" customFormat="false" ht="15" hidden="false" customHeight="false" outlineLevel="0" collapsed="false">
      <c r="A2478" s="0" t="n">
        <v>3</v>
      </c>
      <c r="B2478" s="59" t="n">
        <v>46234</v>
      </c>
      <c r="C2478" s="0" t="n">
        <v>11</v>
      </c>
      <c r="D2478" s="0" t="s">
        <v>2126</v>
      </c>
      <c r="E2478" s="0" t="n">
        <v>10017</v>
      </c>
      <c r="F2478" s="0" t="s">
        <v>337</v>
      </c>
      <c r="I2478" s="0" t="n">
        <v>195089</v>
      </c>
      <c r="J2478" s="0" t="n">
        <v>25964</v>
      </c>
      <c r="K2478" s="0" t="n">
        <v>7896763621858</v>
      </c>
      <c r="L2478" s="0" t="s">
        <v>2199</v>
      </c>
      <c r="N2478" s="0" t="n">
        <v>100</v>
      </c>
      <c r="O2478" s="60" t="n">
        <v>195.35</v>
      </c>
    </row>
    <row r="2479" customFormat="false" ht="15" hidden="false" customHeight="false" outlineLevel="0" collapsed="false">
      <c r="A2479" s="0" t="n">
        <v>3</v>
      </c>
      <c r="B2479" s="59" t="n">
        <v>46234</v>
      </c>
      <c r="C2479" s="0" t="n">
        <v>11</v>
      </c>
      <c r="D2479" s="0" t="s">
        <v>2126</v>
      </c>
      <c r="E2479" s="0" t="n">
        <v>10017</v>
      </c>
      <c r="F2479" s="0" t="s">
        <v>337</v>
      </c>
      <c r="I2479" s="0" t="n">
        <v>195089</v>
      </c>
      <c r="J2479" s="0" t="n">
        <v>26868</v>
      </c>
      <c r="K2479" s="0" t="n">
        <v>7892300002845</v>
      </c>
      <c r="L2479" s="0" t="s">
        <v>3251</v>
      </c>
      <c r="N2479" s="0" t="n">
        <v>12</v>
      </c>
      <c r="O2479" s="60" t="n">
        <v>38.78</v>
      </c>
    </row>
    <row r="2480" customFormat="false" ht="15" hidden="false" customHeight="false" outlineLevel="0" collapsed="false">
      <c r="A2480" s="0" t="n">
        <v>3</v>
      </c>
      <c r="B2480" s="59" t="n">
        <v>46234</v>
      </c>
      <c r="C2480" s="0" t="n">
        <v>11</v>
      </c>
      <c r="D2480" s="0" t="s">
        <v>2126</v>
      </c>
      <c r="E2480" s="0" t="n">
        <v>10017</v>
      </c>
      <c r="F2480" s="0" t="s">
        <v>337</v>
      </c>
      <c r="I2480" s="0" t="n">
        <v>195089</v>
      </c>
      <c r="J2480" s="0" t="n">
        <v>26869</v>
      </c>
      <c r="K2480" s="0" t="n">
        <v>7892300002838</v>
      </c>
      <c r="L2480" s="0" t="s">
        <v>3252</v>
      </c>
      <c r="N2480" s="0" t="n">
        <v>12</v>
      </c>
      <c r="O2480" s="60" t="n">
        <v>39.55</v>
      </c>
    </row>
    <row r="2481" customFormat="false" ht="15" hidden="false" customHeight="false" outlineLevel="0" collapsed="false">
      <c r="A2481" s="0" t="n">
        <v>3</v>
      </c>
      <c r="B2481" s="59" t="n">
        <v>46234</v>
      </c>
      <c r="C2481" s="0" t="n">
        <v>11</v>
      </c>
      <c r="D2481" s="0" t="s">
        <v>2126</v>
      </c>
      <c r="E2481" s="0" t="n">
        <v>10017</v>
      </c>
      <c r="F2481" s="0" t="s">
        <v>337</v>
      </c>
      <c r="I2481" s="0" t="n">
        <v>195089</v>
      </c>
      <c r="J2481" s="0" t="n">
        <v>34623</v>
      </c>
      <c r="K2481" s="0" t="n">
        <v>7633337200114</v>
      </c>
      <c r="L2481" s="0" t="s">
        <v>3253</v>
      </c>
      <c r="N2481" s="0" t="n">
        <v>12</v>
      </c>
      <c r="O2481" s="60" t="n">
        <v>51.17</v>
      </c>
    </row>
    <row r="2482" customFormat="false" ht="15" hidden="false" customHeight="false" outlineLevel="0" collapsed="false">
      <c r="A2482" s="0" t="n">
        <v>3</v>
      </c>
      <c r="B2482" s="59" t="n">
        <v>46234</v>
      </c>
      <c r="C2482" s="0" t="n">
        <v>11</v>
      </c>
      <c r="D2482" s="0" t="s">
        <v>2126</v>
      </c>
      <c r="E2482" s="0" t="n">
        <v>10017</v>
      </c>
      <c r="F2482" s="0" t="s">
        <v>337</v>
      </c>
      <c r="I2482" s="0" t="n">
        <v>195089</v>
      </c>
      <c r="J2482" s="0" t="n">
        <v>35059</v>
      </c>
      <c r="K2482" s="0" t="n">
        <v>7898556010023</v>
      </c>
      <c r="L2482" s="0" t="s">
        <v>3254</v>
      </c>
      <c r="N2482" s="0" t="n">
        <v>24</v>
      </c>
      <c r="O2482" s="60" t="n">
        <v>127.58</v>
      </c>
    </row>
    <row r="2483" customFormat="false" ht="15" hidden="false" customHeight="false" outlineLevel="0" collapsed="false">
      <c r="A2483" s="0" t="n">
        <v>3</v>
      </c>
      <c r="B2483" s="59" t="n">
        <v>46234</v>
      </c>
      <c r="C2483" s="0" t="n">
        <v>11</v>
      </c>
      <c r="D2483" s="0" t="s">
        <v>2126</v>
      </c>
      <c r="E2483" s="0" t="n">
        <v>10017</v>
      </c>
      <c r="F2483" s="0" t="s">
        <v>337</v>
      </c>
      <c r="I2483" s="0" t="n">
        <v>195089</v>
      </c>
      <c r="J2483" s="0" t="n">
        <v>38545</v>
      </c>
      <c r="K2483" s="0" t="n">
        <v>7898556010030</v>
      </c>
      <c r="L2483" s="0" t="s">
        <v>3255</v>
      </c>
      <c r="N2483" s="0" t="n">
        <v>24</v>
      </c>
      <c r="O2483" s="60" t="n">
        <v>127.58</v>
      </c>
    </row>
    <row r="2484" customFormat="false" ht="15" hidden="false" customHeight="false" outlineLevel="0" collapsed="false">
      <c r="A2484" s="0" t="n">
        <v>3</v>
      </c>
      <c r="B2484" s="59" t="n">
        <v>46234</v>
      </c>
      <c r="C2484" s="0" t="n">
        <v>11</v>
      </c>
      <c r="D2484" s="0" t="s">
        <v>2126</v>
      </c>
      <c r="E2484" s="0" t="n">
        <v>10017</v>
      </c>
      <c r="F2484" s="0" t="s">
        <v>337</v>
      </c>
      <c r="I2484" s="0" t="n">
        <v>195089</v>
      </c>
      <c r="J2484" s="0" t="n">
        <v>46640</v>
      </c>
      <c r="K2484" s="0" t="n">
        <v>7898916462110</v>
      </c>
      <c r="L2484" s="0" t="s">
        <v>3256</v>
      </c>
      <c r="N2484" s="0" t="n">
        <v>12</v>
      </c>
      <c r="O2484" s="60" t="n">
        <v>36.48</v>
      </c>
    </row>
    <row r="2485" customFormat="false" ht="15" hidden="false" customHeight="false" outlineLevel="0" collapsed="false">
      <c r="A2485" s="0" t="n">
        <v>3</v>
      </c>
      <c r="B2485" s="59" t="n">
        <v>46234</v>
      </c>
      <c r="C2485" s="0" t="n">
        <v>11</v>
      </c>
      <c r="D2485" s="0" t="s">
        <v>2126</v>
      </c>
      <c r="E2485" s="0" t="n">
        <v>10017</v>
      </c>
      <c r="F2485" s="0" t="s">
        <v>337</v>
      </c>
      <c r="I2485" s="0" t="n">
        <v>195089</v>
      </c>
      <c r="J2485" s="0" t="n">
        <v>48225</v>
      </c>
      <c r="K2485" s="0" t="n">
        <v>7897013586255</v>
      </c>
      <c r="L2485" s="0" t="s">
        <v>3257</v>
      </c>
      <c r="N2485" s="0" t="n">
        <v>10</v>
      </c>
      <c r="O2485" s="60" t="n">
        <v>30.24</v>
      </c>
    </row>
    <row r="2486" customFormat="false" ht="15" hidden="false" customHeight="false" outlineLevel="0" collapsed="false">
      <c r="A2486" s="0" t="n">
        <v>3</v>
      </c>
      <c r="B2486" s="59" t="n">
        <v>46234</v>
      </c>
      <c r="C2486" s="0" t="n">
        <v>11</v>
      </c>
      <c r="D2486" s="0" t="s">
        <v>2126</v>
      </c>
      <c r="E2486" s="0" t="n">
        <v>10017</v>
      </c>
      <c r="F2486" s="0" t="s">
        <v>337</v>
      </c>
      <c r="I2486" s="0" t="n">
        <v>195089</v>
      </c>
      <c r="J2486" s="0" t="n">
        <v>48887</v>
      </c>
      <c r="K2486" s="0" t="n">
        <v>7897013585678</v>
      </c>
      <c r="L2486" s="0" t="s">
        <v>3258</v>
      </c>
      <c r="N2486" s="0" t="n">
        <v>10</v>
      </c>
      <c r="O2486" s="60" t="n">
        <v>127.7</v>
      </c>
    </row>
    <row r="2487" customFormat="false" ht="15" hidden="false" customHeight="false" outlineLevel="0" collapsed="false">
      <c r="A2487" s="0" t="n">
        <v>3</v>
      </c>
      <c r="B2487" s="59" t="n">
        <v>46234</v>
      </c>
      <c r="C2487" s="0" t="n">
        <v>11</v>
      </c>
      <c r="D2487" s="0" t="s">
        <v>2126</v>
      </c>
      <c r="E2487" s="0" t="n">
        <v>10017</v>
      </c>
      <c r="F2487" s="0" t="s">
        <v>337</v>
      </c>
      <c r="I2487" s="0" t="n">
        <v>195089</v>
      </c>
      <c r="J2487" s="0" t="n">
        <v>48895</v>
      </c>
      <c r="K2487" s="0" t="n">
        <v>7897013585654</v>
      </c>
      <c r="L2487" s="0" t="s">
        <v>3259</v>
      </c>
      <c r="N2487" s="0" t="n">
        <v>10</v>
      </c>
      <c r="O2487" s="60" t="n">
        <v>50.9</v>
      </c>
    </row>
    <row r="2488" customFormat="false" ht="15" hidden="false" customHeight="false" outlineLevel="0" collapsed="false">
      <c r="A2488" s="0" t="n">
        <v>3</v>
      </c>
      <c r="B2488" s="59" t="n">
        <v>46234</v>
      </c>
      <c r="C2488" s="0" t="n">
        <v>11</v>
      </c>
      <c r="D2488" s="0" t="s">
        <v>2126</v>
      </c>
      <c r="E2488" s="0" t="n">
        <v>10017</v>
      </c>
      <c r="F2488" s="0" t="s">
        <v>337</v>
      </c>
      <c r="I2488" s="0" t="n">
        <v>195089</v>
      </c>
      <c r="J2488" s="0" t="n">
        <v>53839</v>
      </c>
      <c r="K2488" s="0" t="n">
        <v>7897013586279</v>
      </c>
      <c r="L2488" s="0" t="s">
        <v>3260</v>
      </c>
      <c r="N2488" s="0" t="n">
        <v>20</v>
      </c>
      <c r="O2488" s="60" t="n">
        <v>67.96</v>
      </c>
    </row>
    <row r="2489" customFormat="false" ht="15" hidden="false" customHeight="false" outlineLevel="0" collapsed="false">
      <c r="A2489" s="0" t="n">
        <v>3</v>
      </c>
      <c r="B2489" s="59" t="n">
        <v>46234</v>
      </c>
      <c r="C2489" s="0" t="n">
        <v>11</v>
      </c>
      <c r="D2489" s="0" t="s">
        <v>2126</v>
      </c>
      <c r="E2489" s="0" t="n">
        <v>10017</v>
      </c>
      <c r="F2489" s="0" t="s">
        <v>337</v>
      </c>
      <c r="I2489" s="0" t="n">
        <v>195089</v>
      </c>
      <c r="J2489" s="0" t="n">
        <v>53840</v>
      </c>
      <c r="K2489" s="0" t="n">
        <v>7897013585661</v>
      </c>
      <c r="L2489" s="0" t="s">
        <v>3261</v>
      </c>
      <c r="N2489" s="0" t="n">
        <v>10</v>
      </c>
      <c r="O2489" s="60" t="n">
        <v>76.8</v>
      </c>
    </row>
    <row r="2490" customFormat="false" ht="15" hidden="false" customHeight="false" outlineLevel="0" collapsed="false">
      <c r="A2490" s="0" t="n">
        <v>3</v>
      </c>
      <c r="B2490" s="59" t="n">
        <v>46234</v>
      </c>
      <c r="C2490" s="0" t="n">
        <v>11</v>
      </c>
      <c r="D2490" s="0" t="s">
        <v>2126</v>
      </c>
      <c r="E2490" s="0" t="n">
        <v>10017</v>
      </c>
      <c r="F2490" s="0" t="s">
        <v>337</v>
      </c>
      <c r="I2490" s="0" t="n">
        <v>195089</v>
      </c>
      <c r="J2490" s="0" t="n">
        <v>57381</v>
      </c>
      <c r="K2490" s="0" t="n">
        <v>7896016441417</v>
      </c>
      <c r="L2490" s="0" t="s">
        <v>3262</v>
      </c>
      <c r="N2490" s="0" t="n">
        <v>24</v>
      </c>
      <c r="O2490" s="60" t="n">
        <v>106.56</v>
      </c>
    </row>
    <row r="2491" customFormat="false" ht="15" hidden="false" customHeight="false" outlineLevel="0" collapsed="false">
      <c r="A2491" s="0" t="n">
        <v>3</v>
      </c>
      <c r="B2491" s="59" t="n">
        <v>46234</v>
      </c>
      <c r="C2491" s="0" t="n">
        <v>11</v>
      </c>
      <c r="D2491" s="0" t="s">
        <v>2126</v>
      </c>
      <c r="E2491" s="0" t="n">
        <v>10017</v>
      </c>
      <c r="F2491" s="0" t="s">
        <v>337</v>
      </c>
      <c r="I2491" s="0" t="n">
        <v>195089</v>
      </c>
      <c r="J2491" s="0" t="n">
        <v>59714</v>
      </c>
      <c r="K2491" s="0" t="n">
        <v>7896005210192</v>
      </c>
      <c r="L2491" s="0" t="s">
        <v>3263</v>
      </c>
      <c r="N2491" s="0" t="n">
        <v>100</v>
      </c>
      <c r="O2491" s="60" t="n">
        <v>228.5</v>
      </c>
    </row>
    <row r="2492" customFormat="false" ht="15" hidden="false" customHeight="false" outlineLevel="0" collapsed="false">
      <c r="A2492" s="0" t="n">
        <v>3</v>
      </c>
      <c r="B2492" s="59" t="n">
        <v>46234</v>
      </c>
      <c r="C2492" s="0" t="n">
        <v>11</v>
      </c>
      <c r="D2492" s="0" t="s">
        <v>2126</v>
      </c>
      <c r="E2492" s="0" t="n">
        <v>10017</v>
      </c>
      <c r="F2492" s="0" t="s">
        <v>337</v>
      </c>
      <c r="I2492" s="0" t="n">
        <v>195089</v>
      </c>
      <c r="J2492" s="0" t="n">
        <v>63251</v>
      </c>
      <c r="K2492" s="0" t="n">
        <v>7897013585685</v>
      </c>
      <c r="L2492" s="0" t="s">
        <v>3264</v>
      </c>
      <c r="N2492" s="0" t="n">
        <v>10</v>
      </c>
      <c r="O2492" s="60" t="n">
        <v>143</v>
      </c>
    </row>
    <row r="2493" customFormat="false" ht="15" hidden="false" customHeight="false" outlineLevel="0" collapsed="false">
      <c r="A2493" s="0" t="n">
        <v>3</v>
      </c>
      <c r="B2493" s="59" t="n">
        <v>46234</v>
      </c>
      <c r="C2493" s="0" t="n">
        <v>11</v>
      </c>
      <c r="D2493" s="0" t="s">
        <v>2126</v>
      </c>
      <c r="E2493" s="0" t="n">
        <v>10017</v>
      </c>
      <c r="F2493" s="0" t="s">
        <v>337</v>
      </c>
      <c r="I2493" s="0" t="n">
        <v>195089</v>
      </c>
      <c r="J2493" s="0" t="n">
        <v>64788</v>
      </c>
      <c r="K2493" s="0" t="n">
        <v>7898029650022</v>
      </c>
      <c r="L2493" s="0" t="s">
        <v>3265</v>
      </c>
      <c r="N2493" s="0" t="n">
        <v>24</v>
      </c>
      <c r="O2493" s="60" t="n">
        <v>60.67</v>
      </c>
    </row>
    <row r="2494" customFormat="false" ht="15" hidden="false" customHeight="false" outlineLevel="0" collapsed="false">
      <c r="A2494" s="0" t="n">
        <v>3</v>
      </c>
      <c r="B2494" s="59" t="n">
        <v>46234</v>
      </c>
      <c r="C2494" s="0" t="n">
        <v>11</v>
      </c>
      <c r="D2494" s="0" t="s">
        <v>2126</v>
      </c>
      <c r="E2494" s="0" t="n">
        <v>10017</v>
      </c>
      <c r="F2494" s="0" t="s">
        <v>337</v>
      </c>
      <c r="I2494" s="0" t="n">
        <v>195089</v>
      </c>
      <c r="J2494" s="0" t="n">
        <v>69570</v>
      </c>
      <c r="K2494" s="0" t="n">
        <v>7896051167457</v>
      </c>
      <c r="L2494" s="0" t="s">
        <v>3266</v>
      </c>
      <c r="N2494" s="0" t="n">
        <v>81</v>
      </c>
      <c r="O2494" s="60" t="n">
        <v>215.7</v>
      </c>
    </row>
    <row r="2495" customFormat="false" ht="15" hidden="false" customHeight="false" outlineLevel="0" collapsed="false">
      <c r="A2495" s="0" t="n">
        <v>3</v>
      </c>
      <c r="B2495" s="59" t="n">
        <v>46234</v>
      </c>
      <c r="C2495" s="0" t="n">
        <v>11</v>
      </c>
      <c r="D2495" s="0" t="s">
        <v>2126</v>
      </c>
      <c r="E2495" s="0" t="n">
        <v>10017</v>
      </c>
      <c r="F2495" s="0" t="s">
        <v>337</v>
      </c>
      <c r="I2495" s="0" t="n">
        <v>195089</v>
      </c>
      <c r="J2495" s="0" t="n">
        <v>81818</v>
      </c>
      <c r="K2495" s="0" t="n">
        <v>7896031230362</v>
      </c>
      <c r="L2495" s="0" t="s">
        <v>3267</v>
      </c>
      <c r="N2495" s="0" t="n">
        <v>24</v>
      </c>
      <c r="O2495" s="60" t="n">
        <v>178.56</v>
      </c>
    </row>
    <row r="2496" customFormat="false" ht="15" hidden="false" customHeight="false" outlineLevel="0" collapsed="false">
      <c r="A2496" s="0" t="n">
        <v>3</v>
      </c>
      <c r="B2496" s="59" t="n">
        <v>46234</v>
      </c>
      <c r="C2496" s="0" t="n">
        <v>11</v>
      </c>
      <c r="D2496" s="0" t="s">
        <v>2126</v>
      </c>
      <c r="E2496" s="0" t="n">
        <v>10017</v>
      </c>
      <c r="F2496" s="0" t="s">
        <v>337</v>
      </c>
      <c r="I2496" s="0" t="n">
        <v>195089</v>
      </c>
      <c r="J2496" s="0" t="n">
        <v>81939</v>
      </c>
      <c r="K2496" s="0" t="n">
        <v>7890264800170</v>
      </c>
      <c r="L2496" s="0" t="s">
        <v>3268</v>
      </c>
      <c r="N2496" s="0" t="n">
        <v>2</v>
      </c>
      <c r="O2496" s="60" t="n">
        <v>76.04</v>
      </c>
    </row>
    <row r="2497" customFormat="false" ht="15" hidden="false" customHeight="false" outlineLevel="0" collapsed="false">
      <c r="A2497" s="0" t="n">
        <v>3</v>
      </c>
      <c r="B2497" s="59" t="n">
        <v>46234</v>
      </c>
      <c r="C2497" s="0" t="n">
        <v>11</v>
      </c>
      <c r="D2497" s="0" t="s">
        <v>2126</v>
      </c>
      <c r="E2497" s="0" t="n">
        <v>10017</v>
      </c>
      <c r="F2497" s="0" t="s">
        <v>337</v>
      </c>
      <c r="I2497" s="0" t="n">
        <v>195089</v>
      </c>
      <c r="J2497" s="0" t="n">
        <v>81940</v>
      </c>
      <c r="K2497" s="0" t="n">
        <v>703387018469</v>
      </c>
      <c r="L2497" s="0" t="s">
        <v>3269</v>
      </c>
      <c r="N2497" s="0" t="n">
        <v>2</v>
      </c>
      <c r="O2497" s="60" t="n">
        <v>82.18</v>
      </c>
    </row>
    <row r="2498" customFormat="false" ht="15" hidden="false" customHeight="false" outlineLevel="0" collapsed="false">
      <c r="A2498" s="0" t="n">
        <v>3</v>
      </c>
      <c r="B2498" s="59" t="n">
        <v>46234</v>
      </c>
      <c r="C2498" s="0" t="n">
        <v>11</v>
      </c>
      <c r="D2498" s="0" t="s">
        <v>2126</v>
      </c>
      <c r="E2498" s="0" t="n">
        <v>1699</v>
      </c>
      <c r="F2498" s="0" t="s">
        <v>61</v>
      </c>
      <c r="I2498" s="0" t="n">
        <v>309542</v>
      </c>
      <c r="J2498" s="0" t="n">
        <v>102314</v>
      </c>
      <c r="K2498" s="0" t="n">
        <v>7896547500089</v>
      </c>
      <c r="L2498" s="0" t="s">
        <v>3270</v>
      </c>
      <c r="N2498" s="0" t="n">
        <v>24</v>
      </c>
      <c r="O2498" s="60" t="n">
        <v>111.8</v>
      </c>
    </row>
    <row r="2499" customFormat="false" ht="15" hidden="false" customHeight="false" outlineLevel="0" collapsed="false">
      <c r="A2499" s="0" t="n">
        <v>3</v>
      </c>
      <c r="B2499" s="59" t="n">
        <v>46234</v>
      </c>
      <c r="C2499" s="0" t="n">
        <v>11</v>
      </c>
      <c r="D2499" s="0" t="s">
        <v>2126</v>
      </c>
      <c r="E2499" s="0" t="n">
        <v>1699</v>
      </c>
      <c r="F2499" s="0" t="s">
        <v>61</v>
      </c>
      <c r="I2499" s="0" t="n">
        <v>309542</v>
      </c>
      <c r="J2499" s="0" t="n">
        <v>102325</v>
      </c>
      <c r="K2499" s="0" t="n">
        <v>7896002100014</v>
      </c>
      <c r="L2499" s="0" t="s">
        <v>3271</v>
      </c>
      <c r="N2499" s="0" t="n">
        <v>12</v>
      </c>
      <c r="O2499" s="60" t="n">
        <v>127.9</v>
      </c>
    </row>
    <row r="2500" customFormat="false" ht="15" hidden="false" customHeight="false" outlineLevel="0" collapsed="false">
      <c r="A2500" s="0" t="n">
        <v>3</v>
      </c>
      <c r="B2500" s="59" t="n">
        <v>46234</v>
      </c>
      <c r="C2500" s="0" t="n">
        <v>11</v>
      </c>
      <c r="D2500" s="0" t="s">
        <v>2126</v>
      </c>
      <c r="E2500" s="0" t="n">
        <v>1699</v>
      </c>
      <c r="F2500" s="0" t="s">
        <v>61</v>
      </c>
      <c r="I2500" s="0" t="n">
        <v>309542</v>
      </c>
      <c r="J2500" s="0" t="n">
        <v>102328</v>
      </c>
      <c r="K2500" s="0" t="n">
        <v>7896022610005</v>
      </c>
      <c r="L2500" s="0" t="s">
        <v>3272</v>
      </c>
      <c r="N2500" s="0" t="n">
        <v>6</v>
      </c>
      <c r="O2500" s="60" t="n">
        <v>118.9</v>
      </c>
    </row>
    <row r="2501" customFormat="false" ht="15" hidden="false" customHeight="false" outlineLevel="0" collapsed="false">
      <c r="A2501" s="0" t="n">
        <v>3</v>
      </c>
      <c r="B2501" s="59" t="n">
        <v>46234</v>
      </c>
      <c r="C2501" s="0" t="n">
        <v>11</v>
      </c>
      <c r="D2501" s="0" t="s">
        <v>2126</v>
      </c>
      <c r="E2501" s="0" t="n">
        <v>1699</v>
      </c>
      <c r="F2501" s="0" t="s">
        <v>61</v>
      </c>
      <c r="I2501" s="0" t="n">
        <v>309542</v>
      </c>
      <c r="J2501" s="0" t="n">
        <v>102330</v>
      </c>
      <c r="K2501" s="0" t="n">
        <v>7896547500263</v>
      </c>
      <c r="L2501" s="0" t="s">
        <v>3273</v>
      </c>
      <c r="N2501" s="0" t="n">
        <v>18</v>
      </c>
      <c r="O2501" s="60" t="n">
        <v>260.7</v>
      </c>
    </row>
    <row r="2502" customFormat="false" ht="15" hidden="false" customHeight="false" outlineLevel="0" collapsed="false">
      <c r="A2502" s="0" t="n">
        <v>3</v>
      </c>
      <c r="B2502" s="59" t="n">
        <v>46234</v>
      </c>
      <c r="C2502" s="0" t="n">
        <v>11</v>
      </c>
      <c r="D2502" s="0" t="s">
        <v>2126</v>
      </c>
      <c r="E2502" s="0" t="n">
        <v>1699</v>
      </c>
      <c r="F2502" s="0" t="s">
        <v>61</v>
      </c>
      <c r="I2502" s="0" t="n">
        <v>309542</v>
      </c>
      <c r="J2502" s="0" t="n">
        <v>102457</v>
      </c>
      <c r="K2502" s="0" t="n">
        <v>7896031253347</v>
      </c>
      <c r="L2502" s="0" t="s">
        <v>2985</v>
      </c>
      <c r="N2502" s="0" t="n">
        <v>24</v>
      </c>
      <c r="O2502" s="60" t="n">
        <v>211.9</v>
      </c>
    </row>
    <row r="2503" customFormat="false" ht="15" hidden="false" customHeight="false" outlineLevel="0" collapsed="false">
      <c r="A2503" s="0" t="n">
        <v>3</v>
      </c>
      <c r="B2503" s="59" t="n">
        <v>46234</v>
      </c>
      <c r="C2503" s="0" t="n">
        <v>11</v>
      </c>
      <c r="D2503" s="0" t="s">
        <v>2126</v>
      </c>
      <c r="E2503" s="0" t="n">
        <v>1699</v>
      </c>
      <c r="F2503" s="0" t="s">
        <v>61</v>
      </c>
      <c r="I2503" s="0" t="n">
        <v>309542</v>
      </c>
      <c r="J2503" s="0" t="n">
        <v>105668</v>
      </c>
      <c r="K2503" s="0" t="n">
        <v>7896547500126</v>
      </c>
      <c r="L2503" s="0" t="s">
        <v>3274</v>
      </c>
      <c r="N2503" s="0" t="n">
        <v>72</v>
      </c>
      <c r="O2503" s="60" t="n">
        <v>352.2</v>
      </c>
    </row>
    <row r="2504" customFormat="false" ht="15" hidden="false" customHeight="false" outlineLevel="0" collapsed="false">
      <c r="A2504" s="0" t="n">
        <v>3</v>
      </c>
      <c r="B2504" s="59" t="n">
        <v>46234</v>
      </c>
      <c r="C2504" s="0" t="n">
        <v>11</v>
      </c>
      <c r="D2504" s="0" t="s">
        <v>2126</v>
      </c>
      <c r="E2504" s="0" t="n">
        <v>1699</v>
      </c>
      <c r="F2504" s="0" t="s">
        <v>61</v>
      </c>
      <c r="I2504" s="0" t="n">
        <v>309542</v>
      </c>
      <c r="J2504" s="0" t="n">
        <v>20485</v>
      </c>
      <c r="K2504" s="0" t="n">
        <v>7898342050240</v>
      </c>
      <c r="L2504" s="0" t="s">
        <v>3275</v>
      </c>
      <c r="N2504" s="0" t="n">
        <v>50</v>
      </c>
      <c r="O2504" s="60" t="n">
        <v>197.9</v>
      </c>
    </row>
    <row r="2505" customFormat="false" ht="15" hidden="false" customHeight="false" outlineLevel="0" collapsed="false">
      <c r="A2505" s="0" t="n">
        <v>3</v>
      </c>
      <c r="B2505" s="59" t="n">
        <v>46234</v>
      </c>
      <c r="C2505" s="0" t="n">
        <v>11</v>
      </c>
      <c r="D2505" s="0" t="s">
        <v>2126</v>
      </c>
      <c r="E2505" s="0" t="n">
        <v>1699</v>
      </c>
      <c r="F2505" s="0" t="s">
        <v>61</v>
      </c>
      <c r="I2505" s="0" t="n">
        <v>309542</v>
      </c>
      <c r="J2505" s="0" t="n">
        <v>21105</v>
      </c>
      <c r="K2505" s="0" t="n">
        <v>7898172660725</v>
      </c>
      <c r="L2505" s="0" t="s">
        <v>3276</v>
      </c>
      <c r="N2505" s="0" t="n">
        <v>36</v>
      </c>
      <c r="O2505" s="60" t="n">
        <v>150</v>
      </c>
    </row>
    <row r="2506" customFormat="false" ht="15" hidden="false" customHeight="false" outlineLevel="0" collapsed="false">
      <c r="A2506" s="0" t="n">
        <v>3</v>
      </c>
      <c r="B2506" s="59" t="n">
        <v>46234</v>
      </c>
      <c r="C2506" s="0" t="n">
        <v>11</v>
      </c>
      <c r="D2506" s="0" t="s">
        <v>2126</v>
      </c>
      <c r="E2506" s="0" t="n">
        <v>1699</v>
      </c>
      <c r="F2506" s="0" t="s">
        <v>61</v>
      </c>
      <c r="I2506" s="0" t="n">
        <v>309542</v>
      </c>
      <c r="J2506" s="0" t="n">
        <v>22589</v>
      </c>
      <c r="K2506" s="0" t="n">
        <v>7896547501178</v>
      </c>
      <c r="L2506" s="0" t="s">
        <v>3277</v>
      </c>
      <c r="N2506" s="0" t="n">
        <v>12</v>
      </c>
      <c r="O2506" s="60" t="n">
        <v>56.2</v>
      </c>
    </row>
    <row r="2507" customFormat="false" ht="15" hidden="false" customHeight="false" outlineLevel="0" collapsed="false">
      <c r="A2507" s="0" t="n">
        <v>3</v>
      </c>
      <c r="B2507" s="59" t="n">
        <v>46234</v>
      </c>
      <c r="C2507" s="0" t="n">
        <v>11</v>
      </c>
      <c r="D2507" s="0" t="s">
        <v>2126</v>
      </c>
      <c r="E2507" s="0" t="n">
        <v>1699</v>
      </c>
      <c r="F2507" s="0" t="s">
        <v>61</v>
      </c>
      <c r="I2507" s="0" t="n">
        <v>309542</v>
      </c>
      <c r="J2507" s="0" t="n">
        <v>23413</v>
      </c>
      <c r="K2507" s="0" t="n">
        <v>7898542022900</v>
      </c>
      <c r="L2507" s="0" t="s">
        <v>2987</v>
      </c>
      <c r="N2507" s="0" t="n">
        <v>72</v>
      </c>
      <c r="O2507" s="60" t="n">
        <v>92.2</v>
      </c>
    </row>
    <row r="2508" customFormat="false" ht="15" hidden="false" customHeight="false" outlineLevel="0" collapsed="false">
      <c r="A2508" s="0" t="n">
        <v>3</v>
      </c>
      <c r="B2508" s="59" t="n">
        <v>46234</v>
      </c>
      <c r="C2508" s="0" t="n">
        <v>11</v>
      </c>
      <c r="D2508" s="0" t="s">
        <v>2126</v>
      </c>
      <c r="E2508" s="0" t="n">
        <v>1699</v>
      </c>
      <c r="F2508" s="0" t="s">
        <v>61</v>
      </c>
      <c r="I2508" s="0" t="n">
        <v>309542</v>
      </c>
      <c r="J2508" s="0" t="n">
        <v>24516</v>
      </c>
      <c r="K2508" s="0" t="n">
        <v>7791293032443</v>
      </c>
      <c r="L2508" s="0" t="s">
        <v>3278</v>
      </c>
      <c r="N2508" s="0" t="n">
        <v>12</v>
      </c>
      <c r="O2508" s="60" t="n">
        <v>166.9</v>
      </c>
    </row>
    <row r="2509" customFormat="false" ht="15" hidden="false" customHeight="false" outlineLevel="0" collapsed="false">
      <c r="A2509" s="0" t="n">
        <v>3</v>
      </c>
      <c r="B2509" s="59" t="n">
        <v>46234</v>
      </c>
      <c r="C2509" s="0" t="n">
        <v>11</v>
      </c>
      <c r="D2509" s="0" t="s">
        <v>2126</v>
      </c>
      <c r="E2509" s="0" t="n">
        <v>1699</v>
      </c>
      <c r="F2509" s="0" t="s">
        <v>61</v>
      </c>
      <c r="I2509" s="0" t="n">
        <v>309542</v>
      </c>
      <c r="J2509" s="0" t="n">
        <v>25579</v>
      </c>
      <c r="K2509" s="0" t="n">
        <v>7506306241183</v>
      </c>
      <c r="L2509" s="0" t="s">
        <v>2988</v>
      </c>
      <c r="N2509" s="0" t="n">
        <v>12</v>
      </c>
      <c r="O2509" s="60" t="n">
        <v>167.9</v>
      </c>
    </row>
    <row r="2510" customFormat="false" ht="15" hidden="false" customHeight="false" outlineLevel="0" collapsed="false">
      <c r="A2510" s="0" t="n">
        <v>3</v>
      </c>
      <c r="B2510" s="59" t="n">
        <v>46234</v>
      </c>
      <c r="C2510" s="0" t="n">
        <v>11</v>
      </c>
      <c r="D2510" s="0" t="s">
        <v>2126</v>
      </c>
      <c r="E2510" s="0" t="n">
        <v>1699</v>
      </c>
      <c r="F2510" s="0" t="s">
        <v>61</v>
      </c>
      <c r="I2510" s="0" t="n">
        <v>309542</v>
      </c>
      <c r="J2510" s="0" t="n">
        <v>37982</v>
      </c>
      <c r="K2510" s="0" t="n">
        <v>7896219183107</v>
      </c>
      <c r="L2510" s="0" t="s">
        <v>2993</v>
      </c>
      <c r="N2510" s="0" t="n">
        <v>24</v>
      </c>
      <c r="O2510" s="60" t="n">
        <v>106</v>
      </c>
    </row>
    <row r="2511" customFormat="false" ht="15" hidden="false" customHeight="false" outlineLevel="0" collapsed="false">
      <c r="A2511" s="0" t="n">
        <v>3</v>
      </c>
      <c r="B2511" s="59" t="n">
        <v>46234</v>
      </c>
      <c r="C2511" s="0" t="n">
        <v>11</v>
      </c>
      <c r="D2511" s="0" t="s">
        <v>2126</v>
      </c>
      <c r="E2511" s="0" t="n">
        <v>1699</v>
      </c>
      <c r="F2511" s="0" t="s">
        <v>61</v>
      </c>
      <c r="I2511" s="0" t="n">
        <v>309542</v>
      </c>
      <c r="J2511" s="0" t="n">
        <v>39711</v>
      </c>
      <c r="K2511" s="0" t="n">
        <v>7896037915157</v>
      </c>
      <c r="L2511" s="0" t="s">
        <v>3279</v>
      </c>
      <c r="N2511" s="0" t="n">
        <v>6</v>
      </c>
      <c r="O2511" s="60" t="n">
        <v>187.9</v>
      </c>
    </row>
    <row r="2512" customFormat="false" ht="15" hidden="false" customHeight="false" outlineLevel="0" collapsed="false">
      <c r="A2512" s="0" t="n">
        <v>3</v>
      </c>
      <c r="B2512" s="59" t="n">
        <v>46234</v>
      </c>
      <c r="C2512" s="0" t="n">
        <v>11</v>
      </c>
      <c r="D2512" s="0" t="s">
        <v>2126</v>
      </c>
      <c r="E2512" s="0" t="n">
        <v>1699</v>
      </c>
      <c r="F2512" s="0" t="s">
        <v>61</v>
      </c>
      <c r="I2512" s="0" t="n">
        <v>309542</v>
      </c>
      <c r="J2512" s="0" t="n">
        <v>69324</v>
      </c>
      <c r="K2512" s="0" t="n">
        <v>7896037918899</v>
      </c>
      <c r="L2512" s="0" t="s">
        <v>3280</v>
      </c>
      <c r="N2512" s="0" t="n">
        <v>6</v>
      </c>
      <c r="O2512" s="60" t="n">
        <v>187.9</v>
      </c>
    </row>
    <row r="2513" customFormat="false" ht="15" hidden="false" customHeight="false" outlineLevel="0" collapsed="false">
      <c r="A2513" s="0" t="n">
        <v>3</v>
      </c>
      <c r="B2513" s="59" t="n">
        <v>46234</v>
      </c>
      <c r="C2513" s="0" t="n">
        <v>11</v>
      </c>
      <c r="D2513" s="0" t="s">
        <v>2126</v>
      </c>
      <c r="E2513" s="0" t="n">
        <v>1699</v>
      </c>
      <c r="F2513" s="0" t="s">
        <v>61</v>
      </c>
      <c r="I2513" s="0" t="n">
        <v>309542</v>
      </c>
      <c r="J2513" s="0" t="n">
        <v>75111</v>
      </c>
      <c r="K2513" s="0" t="n">
        <v>7896219184265</v>
      </c>
      <c r="L2513" s="0" t="s">
        <v>3281</v>
      </c>
      <c r="N2513" s="0" t="n">
        <v>60</v>
      </c>
      <c r="O2513" s="60" t="n">
        <v>47</v>
      </c>
    </row>
    <row r="2514" customFormat="false" ht="15" hidden="false" customHeight="false" outlineLevel="0" collapsed="false">
      <c r="A2514" s="0" t="n">
        <v>3</v>
      </c>
      <c r="B2514" s="59" t="n">
        <v>46234</v>
      </c>
      <c r="C2514" s="0" t="n">
        <v>11</v>
      </c>
      <c r="D2514" s="0" t="s">
        <v>2126</v>
      </c>
      <c r="E2514" s="0" t="n">
        <v>1699</v>
      </c>
      <c r="F2514" s="0" t="s">
        <v>61</v>
      </c>
      <c r="I2514" s="0" t="n">
        <v>309542</v>
      </c>
      <c r="J2514" s="0" t="n">
        <v>75114</v>
      </c>
      <c r="K2514" s="0" t="n">
        <v>7896219184340</v>
      </c>
      <c r="L2514" s="0" t="s">
        <v>3282</v>
      </c>
      <c r="N2514" s="0" t="n">
        <v>60</v>
      </c>
      <c r="O2514" s="60" t="n">
        <v>47</v>
      </c>
    </row>
    <row r="2515" customFormat="false" ht="15" hidden="false" customHeight="false" outlineLevel="0" collapsed="false">
      <c r="A2515" s="0" t="n">
        <v>3</v>
      </c>
      <c r="B2515" s="59" t="n">
        <v>46234</v>
      </c>
      <c r="C2515" s="0" t="n">
        <v>11</v>
      </c>
      <c r="D2515" s="0" t="s">
        <v>2126</v>
      </c>
      <c r="E2515" s="0" t="n">
        <v>1699</v>
      </c>
      <c r="F2515" s="0" t="s">
        <v>61</v>
      </c>
      <c r="I2515" s="0" t="n">
        <v>309542</v>
      </c>
      <c r="J2515" s="0" t="n">
        <v>77429</v>
      </c>
      <c r="K2515" s="0" t="n">
        <v>7896219184258</v>
      </c>
      <c r="L2515" s="0" t="s">
        <v>3283</v>
      </c>
      <c r="N2515" s="0" t="n">
        <v>30</v>
      </c>
      <c r="O2515" s="60" t="n">
        <v>44</v>
      </c>
    </row>
    <row r="2516" customFormat="false" ht="15" hidden="false" customHeight="false" outlineLevel="0" collapsed="false">
      <c r="A2516" s="0" t="n">
        <v>3</v>
      </c>
      <c r="B2516" s="59" t="n">
        <v>46234</v>
      </c>
      <c r="C2516" s="0" t="n">
        <v>11</v>
      </c>
      <c r="D2516" s="0" t="s">
        <v>2126</v>
      </c>
      <c r="E2516" s="0" t="n">
        <v>1699</v>
      </c>
      <c r="F2516" s="0" t="s">
        <v>61</v>
      </c>
      <c r="I2516" s="0" t="n">
        <v>309542</v>
      </c>
      <c r="J2516" s="0" t="n">
        <v>78365</v>
      </c>
      <c r="K2516" s="0" t="n">
        <v>7896037918912</v>
      </c>
      <c r="L2516" s="0" t="s">
        <v>3284</v>
      </c>
      <c r="N2516" s="0" t="n">
        <v>6</v>
      </c>
      <c r="O2516" s="60" t="n">
        <v>187.9</v>
      </c>
    </row>
    <row r="2517" customFormat="false" ht="15" hidden="false" customHeight="false" outlineLevel="0" collapsed="false">
      <c r="A2517" s="0" t="n">
        <v>3</v>
      </c>
      <c r="B2517" s="59" t="n">
        <v>46234</v>
      </c>
      <c r="C2517" s="0" t="n">
        <v>11</v>
      </c>
      <c r="D2517" s="0" t="s">
        <v>2126</v>
      </c>
      <c r="E2517" s="0" t="n">
        <v>1699</v>
      </c>
      <c r="F2517" s="0" t="s">
        <v>61</v>
      </c>
      <c r="I2517" s="0" t="n">
        <v>309542</v>
      </c>
      <c r="J2517" s="0" t="n">
        <v>80434</v>
      </c>
      <c r="K2517" s="0" t="n">
        <v>17896219183326</v>
      </c>
      <c r="L2517" s="0" t="s">
        <v>3285</v>
      </c>
      <c r="N2517" s="0" t="n">
        <v>24</v>
      </c>
      <c r="O2517" s="60" t="n">
        <v>84.9</v>
      </c>
    </row>
    <row r="2518" customFormat="false" ht="15" hidden="false" customHeight="false" outlineLevel="0" collapsed="false">
      <c r="A2518" s="0" t="n">
        <v>3</v>
      </c>
      <c r="B2518" s="59" t="n">
        <v>46234</v>
      </c>
      <c r="C2518" s="0" t="n">
        <v>11</v>
      </c>
      <c r="D2518" s="0" t="s">
        <v>2126</v>
      </c>
      <c r="E2518" s="0" t="n">
        <v>1699</v>
      </c>
      <c r="F2518" s="0" t="s">
        <v>61</v>
      </c>
      <c r="I2518" s="0" t="n">
        <v>309542</v>
      </c>
      <c r="J2518" s="0" t="n">
        <v>81941</v>
      </c>
      <c r="K2518" s="0" t="n">
        <v>7896219184333</v>
      </c>
      <c r="L2518" s="0" t="s">
        <v>3286</v>
      </c>
      <c r="N2518" s="0" t="n">
        <v>30</v>
      </c>
      <c r="O2518" s="60" t="n">
        <v>44</v>
      </c>
    </row>
    <row r="2519" customFormat="false" ht="15" hidden="false" customHeight="false" outlineLevel="0" collapsed="false">
      <c r="A2519" s="0" t="n">
        <v>3</v>
      </c>
      <c r="B2519" s="59" t="n">
        <v>46234</v>
      </c>
      <c r="C2519" s="0" t="n">
        <v>11</v>
      </c>
      <c r="D2519" s="0" t="s">
        <v>2126</v>
      </c>
      <c r="E2519" s="0" t="n">
        <v>1666</v>
      </c>
      <c r="F2519" s="0" t="s">
        <v>214</v>
      </c>
      <c r="I2519" s="0" t="n">
        <v>568665</v>
      </c>
      <c r="J2519" s="0" t="n">
        <v>24990</v>
      </c>
      <c r="K2519" s="0" t="n">
        <v>78935761</v>
      </c>
      <c r="L2519" s="0" t="s">
        <v>2214</v>
      </c>
      <c r="N2519" s="0" t="n">
        <v>30</v>
      </c>
      <c r="O2519" s="60" t="n">
        <v>508.21</v>
      </c>
    </row>
    <row r="2520" customFormat="false" ht="15" hidden="false" customHeight="false" outlineLevel="0" collapsed="false">
      <c r="A2520" s="0" t="n">
        <v>3</v>
      </c>
      <c r="B2520" s="59" t="n">
        <v>46234</v>
      </c>
      <c r="C2520" s="0" t="n">
        <v>11</v>
      </c>
      <c r="D2520" s="0" t="s">
        <v>2126</v>
      </c>
      <c r="E2520" s="0" t="n">
        <v>1666</v>
      </c>
      <c r="F2520" s="0" t="s">
        <v>214</v>
      </c>
      <c r="I2520" s="0" t="n">
        <v>568665</v>
      </c>
      <c r="J2520" s="0" t="n">
        <v>37535</v>
      </c>
      <c r="K2520" s="0" t="n">
        <v>78942073</v>
      </c>
      <c r="L2520" s="0" t="s">
        <v>2215</v>
      </c>
      <c r="N2520" s="0" t="n">
        <v>10</v>
      </c>
      <c r="O2520" s="60" t="n">
        <v>159.99</v>
      </c>
    </row>
    <row r="2521" customFormat="false" ht="15" hidden="false" customHeight="false" outlineLevel="0" collapsed="false">
      <c r="A2521" s="0" t="n">
        <v>3</v>
      </c>
      <c r="B2521" s="59" t="n">
        <v>46234</v>
      </c>
      <c r="C2521" s="0" t="n">
        <v>11</v>
      </c>
      <c r="D2521" s="0" t="s">
        <v>2126</v>
      </c>
      <c r="E2521" s="0" t="n">
        <v>1666</v>
      </c>
      <c r="F2521" s="0" t="s">
        <v>214</v>
      </c>
      <c r="I2521" s="0" t="n">
        <v>568665</v>
      </c>
      <c r="J2521" s="0" t="n">
        <v>37536</v>
      </c>
      <c r="K2521" s="0" t="n">
        <v>78942066</v>
      </c>
      <c r="L2521" s="0" t="s">
        <v>2216</v>
      </c>
      <c r="N2521" s="0" t="n">
        <v>80</v>
      </c>
      <c r="O2521" s="60" t="n">
        <v>1317.58</v>
      </c>
    </row>
    <row r="2522" customFormat="false" ht="15" hidden="false" customHeight="false" outlineLevel="0" collapsed="false">
      <c r="A2522" s="0" t="n">
        <v>3</v>
      </c>
      <c r="B2522" s="59" t="n">
        <v>46234</v>
      </c>
      <c r="C2522" s="0" t="n">
        <v>11</v>
      </c>
      <c r="D2522" s="0" t="s">
        <v>2126</v>
      </c>
      <c r="E2522" s="0" t="n">
        <v>1666</v>
      </c>
      <c r="F2522" s="0" t="s">
        <v>214</v>
      </c>
      <c r="I2522" s="0" t="n">
        <v>568665</v>
      </c>
      <c r="J2522" s="0" t="n">
        <v>40750</v>
      </c>
      <c r="K2522" s="0" t="n">
        <v>78943032</v>
      </c>
      <c r="L2522" s="0" t="s">
        <v>2639</v>
      </c>
      <c r="N2522" s="0" t="n">
        <v>40</v>
      </c>
      <c r="O2522" s="60" t="n">
        <v>639.97</v>
      </c>
    </row>
    <row r="2523" customFormat="false" ht="15" hidden="false" customHeight="false" outlineLevel="0" collapsed="false">
      <c r="A2523" s="0" t="n">
        <v>3</v>
      </c>
      <c r="B2523" s="59" t="n">
        <v>46234</v>
      </c>
      <c r="C2523" s="0" t="n">
        <v>11</v>
      </c>
      <c r="D2523" s="0" t="s">
        <v>2126</v>
      </c>
      <c r="E2523" s="0" t="n">
        <v>1666</v>
      </c>
      <c r="F2523" s="0" t="s">
        <v>214</v>
      </c>
      <c r="I2523" s="0" t="n">
        <v>568665</v>
      </c>
      <c r="J2523" s="0" t="n">
        <v>50760</v>
      </c>
      <c r="K2523" s="0" t="n">
        <v>78943087</v>
      </c>
      <c r="L2523" s="0" t="s">
        <v>3287</v>
      </c>
      <c r="N2523" s="0" t="n">
        <v>10</v>
      </c>
      <c r="O2523" s="60" t="n">
        <v>145.87</v>
      </c>
    </row>
    <row r="2524" customFormat="false" ht="15" hidden="false" customHeight="false" outlineLevel="0" collapsed="false">
      <c r="A2524" s="0" t="n">
        <v>3</v>
      </c>
      <c r="B2524" s="59" t="n">
        <v>46234</v>
      </c>
      <c r="C2524" s="0" t="n">
        <v>11</v>
      </c>
      <c r="D2524" s="0" t="s">
        <v>2126</v>
      </c>
      <c r="E2524" s="0" t="n">
        <v>1666</v>
      </c>
      <c r="F2524" s="0" t="s">
        <v>214</v>
      </c>
      <c r="I2524" s="0" t="n">
        <v>568665</v>
      </c>
      <c r="J2524" s="0" t="n">
        <v>67177</v>
      </c>
      <c r="K2524" s="0" t="n">
        <v>78944466</v>
      </c>
      <c r="L2524" s="0" t="s">
        <v>2218</v>
      </c>
      <c r="N2524" s="0" t="n">
        <v>120</v>
      </c>
      <c r="O2524" s="60" t="n">
        <v>1581.1</v>
      </c>
    </row>
    <row r="2525" customFormat="false" ht="15" hidden="false" customHeight="false" outlineLevel="0" collapsed="false">
      <c r="A2525" s="0" t="n">
        <v>3</v>
      </c>
      <c r="B2525" s="59" t="n">
        <v>46234</v>
      </c>
      <c r="C2525" s="0" t="n">
        <v>11</v>
      </c>
      <c r="D2525" s="0" t="s">
        <v>2126</v>
      </c>
      <c r="E2525" s="0" t="n">
        <v>1666</v>
      </c>
      <c r="F2525" s="0" t="s">
        <v>214</v>
      </c>
      <c r="I2525" s="0" t="n">
        <v>568665</v>
      </c>
      <c r="J2525" s="0" t="n">
        <v>68068</v>
      </c>
      <c r="K2525" s="0" t="n">
        <v>78946354</v>
      </c>
      <c r="L2525" s="0" t="s">
        <v>3288</v>
      </c>
      <c r="N2525" s="0" t="n">
        <v>10</v>
      </c>
      <c r="O2525" s="60" t="n">
        <v>131.76</v>
      </c>
    </row>
    <row r="2526" customFormat="false" ht="15" hidden="false" customHeight="false" outlineLevel="0" collapsed="false">
      <c r="A2526" s="0" t="n">
        <v>3</v>
      </c>
      <c r="B2526" s="59" t="n">
        <v>46234</v>
      </c>
      <c r="C2526" s="0" t="n">
        <v>11</v>
      </c>
      <c r="D2526" s="0" t="s">
        <v>2126</v>
      </c>
      <c r="E2526" s="0" t="n">
        <v>1666</v>
      </c>
      <c r="F2526" s="0" t="s">
        <v>214</v>
      </c>
      <c r="I2526" s="0" t="n">
        <v>568665</v>
      </c>
      <c r="J2526" s="0" t="n">
        <v>77084</v>
      </c>
      <c r="K2526" s="0" t="n">
        <v>78947535</v>
      </c>
      <c r="L2526" s="0" t="s">
        <v>2640</v>
      </c>
      <c r="N2526" s="0" t="n">
        <v>30</v>
      </c>
      <c r="O2526" s="60" t="n">
        <v>522.32</v>
      </c>
    </row>
    <row r="2527" customFormat="false" ht="15" hidden="false" customHeight="false" outlineLevel="0" collapsed="false">
      <c r="A2527" s="0" t="n">
        <v>3</v>
      </c>
      <c r="B2527" s="59" t="n">
        <v>46234</v>
      </c>
      <c r="C2527" s="0" t="n">
        <v>11</v>
      </c>
      <c r="D2527" s="0" t="s">
        <v>2126</v>
      </c>
      <c r="E2527" s="0" t="n">
        <v>1666</v>
      </c>
      <c r="F2527" s="0" t="s">
        <v>214</v>
      </c>
      <c r="I2527" s="0" t="n">
        <v>568665</v>
      </c>
      <c r="J2527" s="0" t="n">
        <v>78026</v>
      </c>
      <c r="K2527" s="0" t="n">
        <v>78947504</v>
      </c>
      <c r="L2527" s="0" t="s">
        <v>3289</v>
      </c>
      <c r="N2527" s="0" t="n">
        <v>20</v>
      </c>
      <c r="O2527" s="60" t="n">
        <v>301.16</v>
      </c>
    </row>
    <row r="2528" customFormat="false" ht="15" hidden="false" customHeight="false" outlineLevel="0" collapsed="false">
      <c r="A2528" s="0" t="n">
        <v>3</v>
      </c>
      <c r="B2528" s="59" t="n">
        <v>46234</v>
      </c>
      <c r="C2528" s="0" t="n">
        <v>11</v>
      </c>
      <c r="D2528" s="0" t="s">
        <v>2126</v>
      </c>
      <c r="E2528" s="0" t="n">
        <v>1666</v>
      </c>
      <c r="F2528" s="0" t="s">
        <v>214</v>
      </c>
      <c r="I2528" s="0" t="n">
        <v>568665</v>
      </c>
      <c r="J2528" s="0" t="n">
        <v>81691</v>
      </c>
      <c r="K2528" s="0" t="n">
        <v>78947610</v>
      </c>
      <c r="L2528" s="0" t="s">
        <v>2641</v>
      </c>
      <c r="N2528" s="0" t="n">
        <v>60</v>
      </c>
      <c r="O2528" s="60" t="n">
        <v>621.15</v>
      </c>
    </row>
    <row r="2529" customFormat="false" ht="15" hidden="false" customHeight="false" outlineLevel="0" collapsed="false">
      <c r="A2529" s="0" t="n">
        <v>3</v>
      </c>
      <c r="B2529" s="59" t="n">
        <v>46234</v>
      </c>
      <c r="C2529" s="0" t="n">
        <v>11</v>
      </c>
      <c r="D2529" s="0" t="s">
        <v>2126</v>
      </c>
      <c r="E2529" s="0" t="n">
        <v>1705</v>
      </c>
      <c r="F2529" s="0" t="s">
        <v>123</v>
      </c>
      <c r="I2529" s="0" t="n">
        <v>1227650</v>
      </c>
      <c r="J2529" s="0" t="n">
        <v>103139</v>
      </c>
      <c r="K2529" s="0" t="n">
        <v>7894900051759</v>
      </c>
      <c r="L2529" s="0" t="s">
        <v>2879</v>
      </c>
      <c r="N2529" s="0" t="n">
        <v>18</v>
      </c>
      <c r="O2529" s="60" t="n">
        <v>100.9</v>
      </c>
    </row>
    <row r="2530" customFormat="false" ht="15" hidden="false" customHeight="false" outlineLevel="0" collapsed="false">
      <c r="A2530" s="0" t="n">
        <v>3</v>
      </c>
      <c r="B2530" s="59" t="n">
        <v>46234</v>
      </c>
      <c r="C2530" s="0" t="n">
        <v>11</v>
      </c>
      <c r="D2530" s="0" t="s">
        <v>2126</v>
      </c>
      <c r="E2530" s="0" t="n">
        <v>1705</v>
      </c>
      <c r="F2530" s="0" t="s">
        <v>123</v>
      </c>
      <c r="I2530" s="0" t="n">
        <v>1227650</v>
      </c>
      <c r="J2530" s="0" t="n">
        <v>103140</v>
      </c>
      <c r="K2530" s="0" t="n">
        <v>7894900031751</v>
      </c>
      <c r="L2530" s="0" t="s">
        <v>2880</v>
      </c>
      <c r="N2530" s="0" t="n">
        <v>30</v>
      </c>
      <c r="O2530" s="60" t="n">
        <v>168.16</v>
      </c>
    </row>
    <row r="2531" customFormat="false" ht="15" hidden="false" customHeight="false" outlineLevel="0" collapsed="false">
      <c r="A2531" s="0" t="n">
        <v>3</v>
      </c>
      <c r="B2531" s="59" t="n">
        <v>46234</v>
      </c>
      <c r="C2531" s="0" t="n">
        <v>11</v>
      </c>
      <c r="D2531" s="0" t="s">
        <v>2126</v>
      </c>
      <c r="E2531" s="0" t="n">
        <v>1705</v>
      </c>
      <c r="F2531" s="0" t="s">
        <v>123</v>
      </c>
      <c r="I2531" s="0" t="n">
        <v>1227650</v>
      </c>
      <c r="J2531" s="0" t="n">
        <v>24324</v>
      </c>
      <c r="K2531" s="0" t="n">
        <v>70847022015</v>
      </c>
      <c r="L2531" s="0" t="s">
        <v>2565</v>
      </c>
      <c r="N2531" s="0" t="n">
        <v>48</v>
      </c>
      <c r="O2531" s="60" t="n">
        <v>403.11</v>
      </c>
    </row>
    <row r="2532" customFormat="false" ht="15" hidden="false" customHeight="false" outlineLevel="0" collapsed="false">
      <c r="A2532" s="0" t="n">
        <v>3</v>
      </c>
      <c r="B2532" s="59" t="n">
        <v>46234</v>
      </c>
      <c r="C2532" s="0" t="n">
        <v>11</v>
      </c>
      <c r="D2532" s="0" t="s">
        <v>2126</v>
      </c>
      <c r="E2532" s="0" t="n">
        <v>1705</v>
      </c>
      <c r="F2532" s="0" t="s">
        <v>123</v>
      </c>
      <c r="I2532" s="0" t="n">
        <v>1227650</v>
      </c>
      <c r="J2532" s="0" t="n">
        <v>24651</v>
      </c>
      <c r="K2532" s="0" t="n">
        <v>78936683</v>
      </c>
      <c r="L2532" s="0" t="s">
        <v>3290</v>
      </c>
      <c r="N2532" s="0" t="n">
        <v>96</v>
      </c>
      <c r="O2532" s="60" t="n">
        <v>626.19</v>
      </c>
    </row>
    <row r="2533" customFormat="false" ht="15" hidden="false" customHeight="false" outlineLevel="0" collapsed="false">
      <c r="A2533" s="0" t="n">
        <v>3</v>
      </c>
      <c r="B2533" s="59" t="n">
        <v>46234</v>
      </c>
      <c r="C2533" s="0" t="n">
        <v>11</v>
      </c>
      <c r="D2533" s="0" t="s">
        <v>2126</v>
      </c>
      <c r="E2533" s="0" t="n">
        <v>1705</v>
      </c>
      <c r="F2533" s="0" t="s">
        <v>123</v>
      </c>
      <c r="I2533" s="0" t="n">
        <v>1227650</v>
      </c>
      <c r="J2533" s="0" t="n">
        <v>41322</v>
      </c>
      <c r="K2533" s="0" t="n">
        <v>7897105200076</v>
      </c>
      <c r="L2533" s="0" t="s">
        <v>2883</v>
      </c>
      <c r="N2533" s="0" t="n">
        <v>18</v>
      </c>
      <c r="O2533" s="60" t="n">
        <v>60.79</v>
      </c>
    </row>
    <row r="2534" customFormat="false" ht="15" hidden="false" customHeight="false" outlineLevel="0" collapsed="false">
      <c r="A2534" s="0" t="n">
        <v>3</v>
      </c>
      <c r="B2534" s="59" t="n">
        <v>46234</v>
      </c>
      <c r="C2534" s="0" t="n">
        <v>11</v>
      </c>
      <c r="D2534" s="0" t="s">
        <v>2126</v>
      </c>
      <c r="E2534" s="0" t="n">
        <v>1705</v>
      </c>
      <c r="F2534" s="0" t="s">
        <v>123</v>
      </c>
      <c r="I2534" s="0" t="n">
        <v>1227650</v>
      </c>
      <c r="J2534" s="0" t="n">
        <v>66038</v>
      </c>
      <c r="K2534" s="0" t="n">
        <v>7898938890076</v>
      </c>
      <c r="L2534" s="0" t="s">
        <v>2566</v>
      </c>
      <c r="N2534" s="0" t="n">
        <v>24</v>
      </c>
      <c r="O2534" s="60" t="n">
        <v>201.55</v>
      </c>
    </row>
    <row r="2535" customFormat="false" ht="15" hidden="false" customHeight="false" outlineLevel="0" collapsed="false">
      <c r="A2535" s="0" t="n">
        <v>3</v>
      </c>
      <c r="B2535" s="59" t="n">
        <v>46234</v>
      </c>
      <c r="C2535" s="0" t="n">
        <v>11</v>
      </c>
      <c r="D2535" s="0" t="s">
        <v>2126</v>
      </c>
      <c r="E2535" s="0" t="n">
        <v>10009</v>
      </c>
      <c r="F2535" s="0" t="s">
        <v>375</v>
      </c>
      <c r="I2535" s="0" t="n">
        <v>1431918</v>
      </c>
      <c r="J2535" s="0" t="n">
        <v>100211</v>
      </c>
      <c r="K2535" s="0" t="n">
        <v>212</v>
      </c>
      <c r="L2535" s="0" t="s">
        <v>3046</v>
      </c>
      <c r="N2535" s="0" t="n">
        <v>20</v>
      </c>
      <c r="O2535" s="60" t="n">
        <v>158.1</v>
      </c>
    </row>
    <row r="2536" customFormat="false" ht="15" hidden="false" customHeight="false" outlineLevel="0" collapsed="false">
      <c r="A2536" s="0" t="n">
        <v>3</v>
      </c>
      <c r="B2536" s="59" t="n">
        <v>46234</v>
      </c>
      <c r="C2536" s="0" t="n">
        <v>11</v>
      </c>
      <c r="D2536" s="0" t="s">
        <v>2126</v>
      </c>
      <c r="E2536" s="0" t="n">
        <v>10009</v>
      </c>
      <c r="F2536" s="0" t="s">
        <v>375</v>
      </c>
      <c r="I2536" s="0" t="n">
        <v>1431918</v>
      </c>
      <c r="J2536" s="0" t="n">
        <v>100436</v>
      </c>
      <c r="K2536" s="0" t="n">
        <v>307</v>
      </c>
      <c r="L2536" s="0" t="s">
        <v>3047</v>
      </c>
      <c r="N2536" s="0" t="n">
        <v>20</v>
      </c>
      <c r="O2536" s="60" t="n">
        <v>280.61</v>
      </c>
    </row>
    <row r="2537" customFormat="false" ht="15" hidden="false" customHeight="false" outlineLevel="0" collapsed="false">
      <c r="A2537" s="0" t="n">
        <v>3</v>
      </c>
      <c r="B2537" s="59" t="n">
        <v>46234</v>
      </c>
      <c r="C2537" s="0" t="n">
        <v>11</v>
      </c>
      <c r="D2537" s="0" t="s">
        <v>2126</v>
      </c>
      <c r="E2537" s="0" t="n">
        <v>10009</v>
      </c>
      <c r="F2537" s="0" t="s">
        <v>375</v>
      </c>
      <c r="I2537" s="0" t="n">
        <v>1431918</v>
      </c>
      <c r="J2537" s="0" t="n">
        <v>107341</v>
      </c>
      <c r="K2537" s="0" t="n">
        <v>7896015605193</v>
      </c>
      <c r="L2537" s="0" t="s">
        <v>3048</v>
      </c>
      <c r="N2537" s="0" t="n">
        <v>1</v>
      </c>
      <c r="O2537" s="60" t="n">
        <v>146.12</v>
      </c>
    </row>
    <row r="2538" customFormat="false" ht="15" hidden="false" customHeight="false" outlineLevel="0" collapsed="false">
      <c r="A2538" s="0" t="n">
        <v>3</v>
      </c>
      <c r="B2538" s="59" t="n">
        <v>46234</v>
      </c>
      <c r="C2538" s="0" t="n">
        <v>11</v>
      </c>
      <c r="D2538" s="0" t="s">
        <v>2126</v>
      </c>
      <c r="E2538" s="0" t="n">
        <v>10009</v>
      </c>
      <c r="F2538" s="0" t="s">
        <v>375</v>
      </c>
      <c r="I2538" s="0" t="n">
        <v>1431918</v>
      </c>
      <c r="J2538" s="0" t="n">
        <v>43040</v>
      </c>
      <c r="K2538" s="0" t="n">
        <v>7891000069455</v>
      </c>
      <c r="L2538" s="0" t="s">
        <v>3049</v>
      </c>
      <c r="N2538" s="0" t="n">
        <v>1</v>
      </c>
      <c r="O2538" s="60" t="n">
        <v>158.1</v>
      </c>
    </row>
    <row r="2539" customFormat="false" ht="15" hidden="false" customHeight="false" outlineLevel="0" collapsed="false">
      <c r="A2539" s="0" t="n">
        <v>3</v>
      </c>
      <c r="B2539" s="59" t="n">
        <v>46234</v>
      </c>
      <c r="C2539" s="0" t="n">
        <v>11</v>
      </c>
      <c r="D2539" s="0" t="s">
        <v>2126</v>
      </c>
      <c r="E2539" s="0" t="n">
        <v>10009</v>
      </c>
      <c r="F2539" s="0" t="s">
        <v>375</v>
      </c>
      <c r="I2539" s="0" t="n">
        <v>1432680</v>
      </c>
      <c r="J2539" s="0" t="n">
        <v>20346</v>
      </c>
      <c r="K2539" s="0" t="n">
        <v>7891000102626</v>
      </c>
      <c r="L2539" s="0" t="s">
        <v>3291</v>
      </c>
      <c r="N2539" s="0" t="n">
        <v>8</v>
      </c>
      <c r="O2539" s="60" t="n">
        <v>30.67</v>
      </c>
    </row>
    <row r="2540" customFormat="false" ht="15" hidden="false" customHeight="false" outlineLevel="0" collapsed="false">
      <c r="A2540" s="0" t="n">
        <v>3</v>
      </c>
      <c r="B2540" s="59" t="n">
        <v>46234</v>
      </c>
      <c r="C2540" s="0" t="n">
        <v>11</v>
      </c>
      <c r="D2540" s="0" t="s">
        <v>2126</v>
      </c>
      <c r="E2540" s="0" t="n">
        <v>10009</v>
      </c>
      <c r="F2540" s="0" t="s">
        <v>375</v>
      </c>
      <c r="I2540" s="0" t="n">
        <v>1432680</v>
      </c>
      <c r="J2540" s="0" t="n">
        <v>102162</v>
      </c>
      <c r="K2540" s="0" t="n">
        <v>7891000001080</v>
      </c>
      <c r="L2540" s="0" t="s">
        <v>3292</v>
      </c>
      <c r="N2540" s="0" t="n">
        <v>12</v>
      </c>
      <c r="O2540" s="60" t="n">
        <v>264.92</v>
      </c>
    </row>
    <row r="2541" customFormat="false" ht="15" hidden="false" customHeight="false" outlineLevel="0" collapsed="false">
      <c r="A2541" s="0" t="n">
        <v>3</v>
      </c>
      <c r="B2541" s="59" t="n">
        <v>46234</v>
      </c>
      <c r="C2541" s="0" t="n">
        <v>11</v>
      </c>
      <c r="D2541" s="0" t="s">
        <v>2126</v>
      </c>
      <c r="E2541" s="0" t="n">
        <v>10009</v>
      </c>
      <c r="F2541" s="0" t="s">
        <v>375</v>
      </c>
      <c r="I2541" s="0" t="n">
        <v>1432680</v>
      </c>
      <c r="J2541" s="0" t="n">
        <v>103473</v>
      </c>
      <c r="K2541" s="0" t="n">
        <v>7891000367506</v>
      </c>
      <c r="L2541" s="0" t="s">
        <v>2322</v>
      </c>
      <c r="N2541" s="0" t="n">
        <v>32</v>
      </c>
      <c r="O2541" s="60" t="n">
        <v>51.72</v>
      </c>
    </row>
    <row r="2542" customFormat="false" ht="15" hidden="false" customHeight="false" outlineLevel="0" collapsed="false">
      <c r="A2542" s="0" t="n">
        <v>3</v>
      </c>
      <c r="B2542" s="59" t="n">
        <v>46234</v>
      </c>
      <c r="C2542" s="0" t="n">
        <v>11</v>
      </c>
      <c r="D2542" s="0" t="s">
        <v>2126</v>
      </c>
      <c r="E2542" s="0" t="n">
        <v>10009</v>
      </c>
      <c r="F2542" s="0" t="s">
        <v>375</v>
      </c>
      <c r="I2542" s="0" t="n">
        <v>1432680</v>
      </c>
      <c r="J2542" s="0" t="n">
        <v>12588</v>
      </c>
      <c r="K2542" s="0" t="n">
        <v>7891000067048</v>
      </c>
      <c r="L2542" s="0" t="s">
        <v>3293</v>
      </c>
      <c r="N2542" s="0" t="n">
        <v>6</v>
      </c>
      <c r="O2542" s="60" t="n">
        <v>33.63</v>
      </c>
    </row>
    <row r="2543" customFormat="false" ht="15" hidden="false" customHeight="false" outlineLevel="0" collapsed="false">
      <c r="A2543" s="0" t="n">
        <v>3</v>
      </c>
      <c r="B2543" s="59" t="n">
        <v>46234</v>
      </c>
      <c r="C2543" s="0" t="n">
        <v>11</v>
      </c>
      <c r="D2543" s="0" t="s">
        <v>2126</v>
      </c>
      <c r="E2543" s="0" t="n">
        <v>10009</v>
      </c>
      <c r="F2543" s="0" t="s">
        <v>375</v>
      </c>
      <c r="I2543" s="0" t="n">
        <v>1432680</v>
      </c>
      <c r="J2543" s="0" t="n">
        <v>13038</v>
      </c>
      <c r="K2543" s="0" t="n">
        <v>7891000077962</v>
      </c>
      <c r="L2543" s="0" t="s">
        <v>3294</v>
      </c>
      <c r="N2543" s="0" t="n">
        <v>12</v>
      </c>
      <c r="O2543" s="60" t="n">
        <v>47.73</v>
      </c>
    </row>
    <row r="2544" customFormat="false" ht="15" hidden="false" customHeight="false" outlineLevel="0" collapsed="false">
      <c r="A2544" s="0" t="n">
        <v>3</v>
      </c>
      <c r="B2544" s="59" t="n">
        <v>46234</v>
      </c>
      <c r="C2544" s="0" t="n">
        <v>11</v>
      </c>
      <c r="D2544" s="0" t="s">
        <v>2126</v>
      </c>
      <c r="E2544" s="0" t="n">
        <v>10009</v>
      </c>
      <c r="F2544" s="0" t="s">
        <v>375</v>
      </c>
      <c r="I2544" s="0" t="n">
        <v>1432680</v>
      </c>
      <c r="J2544" s="0" t="n">
        <v>13105</v>
      </c>
      <c r="K2544" s="0" t="n">
        <v>7891000077924</v>
      </c>
      <c r="L2544" s="0" t="s">
        <v>3295</v>
      </c>
      <c r="N2544" s="0" t="n">
        <v>12</v>
      </c>
      <c r="O2544" s="60" t="n">
        <v>47.73</v>
      </c>
    </row>
    <row r="2545" customFormat="false" ht="15" hidden="false" customHeight="false" outlineLevel="0" collapsed="false">
      <c r="A2545" s="0" t="n">
        <v>3</v>
      </c>
      <c r="B2545" s="59" t="n">
        <v>46234</v>
      </c>
      <c r="C2545" s="0" t="n">
        <v>11</v>
      </c>
      <c r="D2545" s="0" t="s">
        <v>2126</v>
      </c>
      <c r="E2545" s="0" t="n">
        <v>10009</v>
      </c>
      <c r="F2545" s="0" t="s">
        <v>375</v>
      </c>
      <c r="I2545" s="0" t="n">
        <v>1432680</v>
      </c>
      <c r="J2545" s="0" t="n">
        <v>13212</v>
      </c>
      <c r="K2545" s="0" t="n">
        <v>7891000077948</v>
      </c>
      <c r="L2545" s="0" t="s">
        <v>3296</v>
      </c>
      <c r="N2545" s="0" t="n">
        <v>12</v>
      </c>
      <c r="O2545" s="60" t="n">
        <v>47.73</v>
      </c>
    </row>
    <row r="2546" customFormat="false" ht="15" hidden="false" customHeight="false" outlineLevel="0" collapsed="false">
      <c r="A2546" s="0" t="n">
        <v>3</v>
      </c>
      <c r="B2546" s="59" t="n">
        <v>46234</v>
      </c>
      <c r="C2546" s="0" t="n">
        <v>11</v>
      </c>
      <c r="D2546" s="0" t="s">
        <v>2126</v>
      </c>
      <c r="E2546" s="0" t="n">
        <v>10009</v>
      </c>
      <c r="F2546" s="0" t="s">
        <v>375</v>
      </c>
      <c r="I2546" s="0" t="n">
        <v>1432680</v>
      </c>
      <c r="J2546" s="0" t="n">
        <v>14234</v>
      </c>
      <c r="K2546" s="0" t="n">
        <v>7891000081501</v>
      </c>
      <c r="L2546" s="0" t="s">
        <v>3297</v>
      </c>
      <c r="N2546" s="0" t="n">
        <v>6</v>
      </c>
      <c r="O2546" s="60" t="n">
        <v>68.9</v>
      </c>
    </row>
    <row r="2547" customFormat="false" ht="15" hidden="false" customHeight="false" outlineLevel="0" collapsed="false">
      <c r="A2547" s="0" t="n">
        <v>3</v>
      </c>
      <c r="B2547" s="59" t="n">
        <v>46234</v>
      </c>
      <c r="C2547" s="0" t="n">
        <v>11</v>
      </c>
      <c r="D2547" s="0" t="s">
        <v>2126</v>
      </c>
      <c r="E2547" s="0" t="n">
        <v>10009</v>
      </c>
      <c r="F2547" s="0" t="s">
        <v>375</v>
      </c>
      <c r="I2547" s="0" t="n">
        <v>1432680</v>
      </c>
      <c r="J2547" s="0" t="n">
        <v>15717</v>
      </c>
      <c r="K2547" s="0" t="n">
        <v>7891000089255</v>
      </c>
      <c r="L2547" s="0" t="s">
        <v>3298</v>
      </c>
      <c r="N2547" s="0" t="n">
        <v>15</v>
      </c>
      <c r="O2547" s="60" t="n">
        <v>65.66</v>
      </c>
    </row>
    <row r="2548" customFormat="false" ht="15" hidden="false" customHeight="false" outlineLevel="0" collapsed="false">
      <c r="A2548" s="0" t="n">
        <v>3</v>
      </c>
      <c r="B2548" s="59" t="n">
        <v>46234</v>
      </c>
      <c r="C2548" s="0" t="n">
        <v>11</v>
      </c>
      <c r="D2548" s="0" t="s">
        <v>2126</v>
      </c>
      <c r="E2548" s="0" t="n">
        <v>10009</v>
      </c>
      <c r="F2548" s="0" t="s">
        <v>375</v>
      </c>
      <c r="I2548" s="0" t="n">
        <v>1432680</v>
      </c>
      <c r="J2548" s="0" t="n">
        <v>19987</v>
      </c>
      <c r="K2548" s="0" t="n">
        <v>7891000101926</v>
      </c>
      <c r="L2548" s="0" t="s">
        <v>3299</v>
      </c>
      <c r="N2548" s="0" t="n">
        <v>6</v>
      </c>
      <c r="O2548" s="60" t="n">
        <v>33.63</v>
      </c>
    </row>
    <row r="2549" customFormat="false" ht="15" hidden="false" customHeight="false" outlineLevel="0" collapsed="false">
      <c r="A2549" s="0" t="n">
        <v>3</v>
      </c>
      <c r="B2549" s="59" t="n">
        <v>46234</v>
      </c>
      <c r="C2549" s="0" t="n">
        <v>11</v>
      </c>
      <c r="D2549" s="0" t="s">
        <v>2126</v>
      </c>
      <c r="E2549" s="0" t="n">
        <v>10009</v>
      </c>
      <c r="F2549" s="0" t="s">
        <v>375</v>
      </c>
      <c r="I2549" s="0" t="n">
        <v>1432680</v>
      </c>
      <c r="J2549" s="0" t="n">
        <v>28349</v>
      </c>
      <c r="K2549" s="0" t="n">
        <v>7891000258613</v>
      </c>
      <c r="L2549" s="0" t="s">
        <v>2328</v>
      </c>
      <c r="N2549" s="0" t="n">
        <v>3</v>
      </c>
      <c r="O2549" s="60" t="n">
        <v>31.51</v>
      </c>
    </row>
    <row r="2550" customFormat="false" ht="15" hidden="false" customHeight="false" outlineLevel="0" collapsed="false">
      <c r="A2550" s="0" t="n">
        <v>3</v>
      </c>
      <c r="B2550" s="59" t="n">
        <v>46234</v>
      </c>
      <c r="C2550" s="0" t="n">
        <v>11</v>
      </c>
      <c r="D2550" s="0" t="s">
        <v>2126</v>
      </c>
      <c r="E2550" s="0" t="n">
        <v>10009</v>
      </c>
      <c r="F2550" s="0" t="s">
        <v>375</v>
      </c>
      <c r="I2550" s="0" t="n">
        <v>1432680</v>
      </c>
      <c r="J2550" s="0" t="n">
        <v>43621</v>
      </c>
      <c r="K2550" s="0" t="n">
        <v>7891000357460</v>
      </c>
      <c r="L2550" s="0" t="s">
        <v>2330</v>
      </c>
      <c r="N2550" s="0" t="n">
        <v>4</v>
      </c>
      <c r="O2550" s="60" t="n">
        <v>34.16</v>
      </c>
    </row>
    <row r="2551" customFormat="false" ht="15" hidden="false" customHeight="false" outlineLevel="0" collapsed="false">
      <c r="A2551" s="0" t="n">
        <v>3</v>
      </c>
      <c r="B2551" s="59" t="n">
        <v>46234</v>
      </c>
      <c r="C2551" s="0" t="n">
        <v>11</v>
      </c>
      <c r="D2551" s="0" t="s">
        <v>2126</v>
      </c>
      <c r="E2551" s="0" t="n">
        <v>10009</v>
      </c>
      <c r="F2551" s="0" t="s">
        <v>375</v>
      </c>
      <c r="I2551" s="0" t="n">
        <v>1432680</v>
      </c>
      <c r="J2551" s="0" t="n">
        <v>51852</v>
      </c>
      <c r="K2551" s="0" t="n">
        <v>7891000372586</v>
      </c>
      <c r="L2551" s="0" t="s">
        <v>3300</v>
      </c>
      <c r="N2551" s="0" t="n">
        <v>12</v>
      </c>
      <c r="O2551" s="60" t="n">
        <v>47.73</v>
      </c>
    </row>
    <row r="2552" customFormat="false" ht="15" hidden="false" customHeight="false" outlineLevel="0" collapsed="false">
      <c r="A2552" s="0" t="n">
        <v>3</v>
      </c>
      <c r="B2552" s="59" t="n">
        <v>46234</v>
      </c>
      <c r="C2552" s="0" t="n">
        <v>11</v>
      </c>
      <c r="D2552" s="0" t="s">
        <v>2126</v>
      </c>
      <c r="E2552" s="0" t="n">
        <v>10009</v>
      </c>
      <c r="F2552" s="0" t="s">
        <v>375</v>
      </c>
      <c r="I2552" s="0" t="n">
        <v>1432680</v>
      </c>
      <c r="J2552" s="0" t="n">
        <v>52108</v>
      </c>
      <c r="K2552" s="0" t="n">
        <v>7891000364253</v>
      </c>
      <c r="L2552" s="0" t="s">
        <v>3301</v>
      </c>
      <c r="N2552" s="0" t="n">
        <v>12</v>
      </c>
      <c r="O2552" s="60" t="n">
        <v>47.73</v>
      </c>
    </row>
    <row r="2553" customFormat="false" ht="15" hidden="false" customHeight="false" outlineLevel="0" collapsed="false">
      <c r="A2553" s="0" t="n">
        <v>3</v>
      </c>
      <c r="B2553" s="59" t="n">
        <v>46234</v>
      </c>
      <c r="C2553" s="0" t="n">
        <v>11</v>
      </c>
      <c r="D2553" s="0" t="s">
        <v>2126</v>
      </c>
      <c r="E2553" s="0" t="n">
        <v>10009</v>
      </c>
      <c r="F2553" s="0" t="s">
        <v>375</v>
      </c>
      <c r="I2553" s="0" t="n">
        <v>1432680</v>
      </c>
      <c r="J2553" s="0" t="n">
        <v>55393</v>
      </c>
      <c r="K2553" s="0" t="n">
        <v>7891000307083</v>
      </c>
      <c r="L2553" s="0" t="s">
        <v>3302</v>
      </c>
      <c r="N2553" s="0" t="n">
        <v>3</v>
      </c>
      <c r="O2553" s="60" t="n">
        <v>20.8</v>
      </c>
    </row>
    <row r="2554" customFormat="false" ht="15" hidden="false" customHeight="false" outlineLevel="0" collapsed="false">
      <c r="A2554" s="0" t="n">
        <v>3</v>
      </c>
      <c r="B2554" s="59" t="n">
        <v>46234</v>
      </c>
      <c r="C2554" s="0" t="n">
        <v>11</v>
      </c>
      <c r="D2554" s="0" t="s">
        <v>2126</v>
      </c>
      <c r="E2554" s="0" t="n">
        <v>10009</v>
      </c>
      <c r="F2554" s="0" t="s">
        <v>375</v>
      </c>
      <c r="I2554" s="0" t="n">
        <v>1432680</v>
      </c>
      <c r="J2554" s="0" t="n">
        <v>55824</v>
      </c>
      <c r="K2554" s="0" t="n">
        <v>7891000373262</v>
      </c>
      <c r="L2554" s="0" t="s">
        <v>3303</v>
      </c>
      <c r="N2554" s="0" t="n">
        <v>12</v>
      </c>
      <c r="O2554" s="60" t="n">
        <v>47.73</v>
      </c>
    </row>
    <row r="2555" customFormat="false" ht="15" hidden="false" customHeight="false" outlineLevel="0" collapsed="false">
      <c r="A2555" s="0" t="n">
        <v>3</v>
      </c>
      <c r="B2555" s="59" t="n">
        <v>46234</v>
      </c>
      <c r="C2555" s="0" t="n">
        <v>11</v>
      </c>
      <c r="D2555" s="0" t="s">
        <v>2126</v>
      </c>
      <c r="E2555" s="0" t="n">
        <v>10009</v>
      </c>
      <c r="F2555" s="0" t="s">
        <v>375</v>
      </c>
      <c r="I2555" s="0" t="n">
        <v>1432680</v>
      </c>
      <c r="J2555" s="0" t="n">
        <v>64063</v>
      </c>
      <c r="K2555" s="0" t="n">
        <v>7891000389171</v>
      </c>
      <c r="L2555" s="0" t="s">
        <v>3304</v>
      </c>
      <c r="N2555" s="0" t="n">
        <v>6</v>
      </c>
      <c r="O2555" s="60" t="n">
        <v>34.61</v>
      </c>
    </row>
    <row r="2556" customFormat="false" ht="15" hidden="false" customHeight="false" outlineLevel="0" collapsed="false">
      <c r="A2556" s="0" t="n">
        <v>3</v>
      </c>
      <c r="B2556" s="59" t="n">
        <v>46234</v>
      </c>
      <c r="C2556" s="0" t="n">
        <v>11</v>
      </c>
      <c r="D2556" s="0" t="s">
        <v>2126</v>
      </c>
      <c r="E2556" s="0" t="n">
        <v>10009</v>
      </c>
      <c r="F2556" s="0" t="s">
        <v>375</v>
      </c>
      <c r="I2556" s="0" t="n">
        <v>1432680</v>
      </c>
      <c r="J2556" s="0" t="n">
        <v>69723</v>
      </c>
      <c r="K2556" s="0" t="n">
        <v>7891000402931</v>
      </c>
      <c r="L2556" s="0" t="s">
        <v>3305</v>
      </c>
      <c r="N2556" s="0" t="n">
        <v>3</v>
      </c>
      <c r="O2556" s="60" t="n">
        <v>17.81</v>
      </c>
    </row>
    <row r="2557" customFormat="false" ht="15" hidden="false" customHeight="false" outlineLevel="0" collapsed="false">
      <c r="A2557" s="0" t="n">
        <v>3</v>
      </c>
      <c r="B2557" s="59" t="n">
        <v>46234</v>
      </c>
      <c r="C2557" s="0" t="n">
        <v>11</v>
      </c>
      <c r="D2557" s="0" t="s">
        <v>2126</v>
      </c>
      <c r="E2557" s="0" t="n">
        <v>10009</v>
      </c>
      <c r="F2557" s="0" t="s">
        <v>375</v>
      </c>
      <c r="I2557" s="0" t="n">
        <v>1432680</v>
      </c>
      <c r="J2557" s="0" t="n">
        <v>81969</v>
      </c>
      <c r="K2557" s="0" t="n">
        <v>7891000243688</v>
      </c>
      <c r="L2557" s="0" t="s">
        <v>3306</v>
      </c>
      <c r="N2557" s="0" t="n">
        <v>2</v>
      </c>
      <c r="O2557" s="60" t="n">
        <v>40.77</v>
      </c>
    </row>
    <row r="2558" customFormat="false" ht="15" hidden="false" customHeight="false" outlineLevel="0" collapsed="false">
      <c r="A2558" s="0" t="n">
        <v>3</v>
      </c>
      <c r="B2558" s="59" t="n">
        <v>46234</v>
      </c>
      <c r="C2558" s="0" t="n">
        <v>11</v>
      </c>
      <c r="D2558" s="0" t="s">
        <v>2126</v>
      </c>
      <c r="E2558" s="0" t="n">
        <v>10009</v>
      </c>
      <c r="F2558" s="0" t="s">
        <v>375</v>
      </c>
      <c r="I2558" s="0" t="n">
        <v>1433260</v>
      </c>
      <c r="J2558" s="0" t="n">
        <v>102412</v>
      </c>
      <c r="K2558" s="0" t="n">
        <v>78912359</v>
      </c>
      <c r="L2558" s="0" t="s">
        <v>2695</v>
      </c>
      <c r="N2558" s="0" t="n">
        <v>120</v>
      </c>
      <c r="O2558" s="60" t="n">
        <v>175.64</v>
      </c>
    </row>
    <row r="2559" customFormat="false" ht="15" hidden="false" customHeight="false" outlineLevel="0" collapsed="false">
      <c r="A2559" s="0" t="n">
        <v>3</v>
      </c>
      <c r="B2559" s="59" t="n">
        <v>46234</v>
      </c>
      <c r="C2559" s="0" t="n">
        <v>11</v>
      </c>
      <c r="D2559" s="0" t="s">
        <v>2126</v>
      </c>
      <c r="E2559" s="0" t="n">
        <v>10009</v>
      </c>
      <c r="F2559" s="0" t="s">
        <v>375</v>
      </c>
      <c r="I2559" s="0" t="n">
        <v>1433260</v>
      </c>
      <c r="J2559" s="0" t="n">
        <v>103585</v>
      </c>
      <c r="K2559" s="0" t="n">
        <v>78907485</v>
      </c>
      <c r="L2559" s="0" t="s">
        <v>3307</v>
      </c>
      <c r="N2559" s="0" t="n">
        <v>15</v>
      </c>
      <c r="O2559" s="60" t="n">
        <v>43.35</v>
      </c>
    </row>
    <row r="2560" customFormat="false" ht="15" hidden="false" customHeight="false" outlineLevel="0" collapsed="false">
      <c r="A2560" s="0" t="n">
        <v>3</v>
      </c>
      <c r="B2560" s="59" t="n">
        <v>46234</v>
      </c>
      <c r="C2560" s="0" t="n">
        <v>11</v>
      </c>
      <c r="D2560" s="0" t="s">
        <v>2126</v>
      </c>
      <c r="E2560" s="0" t="n">
        <v>10009</v>
      </c>
      <c r="F2560" s="0" t="s">
        <v>375</v>
      </c>
      <c r="I2560" s="0" t="n">
        <v>1433260</v>
      </c>
      <c r="J2560" s="0" t="n">
        <v>103586</v>
      </c>
      <c r="K2560" s="0" t="n">
        <v>78907461</v>
      </c>
      <c r="L2560" s="0" t="s">
        <v>2696</v>
      </c>
      <c r="N2560" s="0" t="n">
        <v>15</v>
      </c>
      <c r="O2560" s="60" t="n">
        <v>43.34</v>
      </c>
    </row>
    <row r="2561" customFormat="false" ht="15" hidden="false" customHeight="false" outlineLevel="0" collapsed="false">
      <c r="A2561" s="0" t="n">
        <v>3</v>
      </c>
      <c r="B2561" s="59" t="n">
        <v>46234</v>
      </c>
      <c r="C2561" s="0" t="n">
        <v>11</v>
      </c>
      <c r="D2561" s="0" t="s">
        <v>2126</v>
      </c>
      <c r="E2561" s="0" t="n">
        <v>10009</v>
      </c>
      <c r="F2561" s="0" t="s">
        <v>375</v>
      </c>
      <c r="I2561" s="0" t="n">
        <v>1433260</v>
      </c>
      <c r="J2561" s="0" t="n">
        <v>103587</v>
      </c>
      <c r="K2561" s="0" t="n">
        <v>78907492</v>
      </c>
      <c r="L2561" s="0" t="s">
        <v>2697</v>
      </c>
      <c r="N2561" s="0" t="n">
        <v>15</v>
      </c>
      <c r="O2561" s="60" t="n">
        <v>43.34</v>
      </c>
    </row>
    <row r="2562" customFormat="false" ht="15" hidden="false" customHeight="false" outlineLevel="0" collapsed="false">
      <c r="A2562" s="0" t="n">
        <v>3</v>
      </c>
      <c r="B2562" s="59" t="n">
        <v>46234</v>
      </c>
      <c r="C2562" s="0" t="n">
        <v>11</v>
      </c>
      <c r="D2562" s="0" t="s">
        <v>2126</v>
      </c>
      <c r="E2562" s="0" t="n">
        <v>10009</v>
      </c>
      <c r="F2562" s="0" t="s">
        <v>375</v>
      </c>
      <c r="I2562" s="0" t="n">
        <v>1433260</v>
      </c>
      <c r="J2562" s="0" t="n">
        <v>104691</v>
      </c>
      <c r="K2562" s="0" t="n">
        <v>78907478</v>
      </c>
      <c r="L2562" s="0" t="s">
        <v>2698</v>
      </c>
      <c r="N2562" s="0" t="n">
        <v>15</v>
      </c>
      <c r="O2562" s="60" t="n">
        <v>43.34</v>
      </c>
    </row>
    <row r="2563" customFormat="false" ht="15" hidden="false" customHeight="false" outlineLevel="0" collapsed="false">
      <c r="A2563" s="0" t="n">
        <v>3</v>
      </c>
      <c r="B2563" s="59" t="n">
        <v>46234</v>
      </c>
      <c r="C2563" s="0" t="n">
        <v>11</v>
      </c>
      <c r="D2563" s="0" t="s">
        <v>2126</v>
      </c>
      <c r="E2563" s="0" t="n">
        <v>10009</v>
      </c>
      <c r="F2563" s="0" t="s">
        <v>375</v>
      </c>
      <c r="I2563" s="0" t="n">
        <v>1433260</v>
      </c>
      <c r="J2563" s="0" t="n">
        <v>11844</v>
      </c>
      <c r="K2563" s="0" t="n">
        <v>7891000070673</v>
      </c>
      <c r="L2563" s="0" t="s">
        <v>3308</v>
      </c>
      <c r="N2563" s="0" t="n">
        <v>20</v>
      </c>
      <c r="O2563" s="60" t="n">
        <v>103.51</v>
      </c>
    </row>
    <row r="2564" customFormat="false" ht="15" hidden="false" customHeight="false" outlineLevel="0" collapsed="false">
      <c r="A2564" s="0" t="n">
        <v>3</v>
      </c>
      <c r="B2564" s="59" t="n">
        <v>46234</v>
      </c>
      <c r="C2564" s="0" t="n">
        <v>11</v>
      </c>
      <c r="D2564" s="0" t="s">
        <v>2126</v>
      </c>
      <c r="E2564" s="0" t="n">
        <v>10009</v>
      </c>
      <c r="F2564" s="0" t="s">
        <v>375</v>
      </c>
      <c r="I2564" s="0" t="n">
        <v>1433260</v>
      </c>
      <c r="J2564" s="0" t="n">
        <v>22040</v>
      </c>
      <c r="K2564" s="0" t="n">
        <v>78907355</v>
      </c>
      <c r="L2564" s="0" t="s">
        <v>3309</v>
      </c>
      <c r="N2564" s="0" t="n">
        <v>15</v>
      </c>
      <c r="O2564" s="60" t="n">
        <v>43.34</v>
      </c>
    </row>
    <row r="2565" customFormat="false" ht="15" hidden="false" customHeight="false" outlineLevel="0" collapsed="false">
      <c r="A2565" s="0" t="n">
        <v>3</v>
      </c>
      <c r="B2565" s="59" t="n">
        <v>46234</v>
      </c>
      <c r="C2565" s="0" t="n">
        <v>11</v>
      </c>
      <c r="D2565" s="0" t="s">
        <v>2126</v>
      </c>
      <c r="E2565" s="0" t="n">
        <v>10009</v>
      </c>
      <c r="F2565" s="0" t="s">
        <v>375</v>
      </c>
      <c r="I2565" s="0" t="n">
        <v>1433260</v>
      </c>
      <c r="J2565" s="0" t="n">
        <v>24776</v>
      </c>
      <c r="K2565" s="0" t="n">
        <v>78930230</v>
      </c>
      <c r="L2565" s="0" t="s">
        <v>2701</v>
      </c>
      <c r="N2565" s="0" t="n">
        <v>30</v>
      </c>
      <c r="O2565" s="60" t="n">
        <v>43.91</v>
      </c>
    </row>
    <row r="2566" customFormat="false" ht="15" hidden="false" customHeight="false" outlineLevel="0" collapsed="false">
      <c r="A2566" s="0" t="n">
        <v>3</v>
      </c>
      <c r="B2566" s="59" t="n">
        <v>46234</v>
      </c>
      <c r="C2566" s="0" t="n">
        <v>11</v>
      </c>
      <c r="D2566" s="0" t="s">
        <v>2126</v>
      </c>
      <c r="E2566" s="0" t="n">
        <v>10009</v>
      </c>
      <c r="F2566" s="0" t="s">
        <v>375</v>
      </c>
      <c r="I2566" s="0" t="n">
        <v>1433260</v>
      </c>
      <c r="J2566" s="0" t="n">
        <v>27690</v>
      </c>
      <c r="K2566" s="0" t="n">
        <v>7891000111161</v>
      </c>
      <c r="L2566" s="0" t="s">
        <v>2327</v>
      </c>
      <c r="N2566" s="0" t="n">
        <v>4</v>
      </c>
      <c r="O2566" s="60" t="n">
        <v>41.91</v>
      </c>
    </row>
    <row r="2567" customFormat="false" ht="15" hidden="false" customHeight="false" outlineLevel="0" collapsed="false">
      <c r="A2567" s="0" t="n">
        <v>3</v>
      </c>
      <c r="B2567" s="59" t="n">
        <v>46234</v>
      </c>
      <c r="C2567" s="0" t="n">
        <v>11</v>
      </c>
      <c r="D2567" s="0" t="s">
        <v>2126</v>
      </c>
      <c r="E2567" s="0" t="n">
        <v>10009</v>
      </c>
      <c r="F2567" s="0" t="s">
        <v>375</v>
      </c>
      <c r="I2567" s="0" t="n">
        <v>1433260</v>
      </c>
      <c r="J2567" s="0" t="n">
        <v>48868</v>
      </c>
      <c r="K2567" s="0" t="n">
        <v>7891000359822</v>
      </c>
      <c r="L2567" s="0" t="s">
        <v>3310</v>
      </c>
      <c r="N2567" s="0" t="n">
        <v>27</v>
      </c>
      <c r="O2567" s="60" t="n">
        <v>59.47</v>
      </c>
    </row>
    <row r="2568" customFormat="false" ht="15" hidden="false" customHeight="false" outlineLevel="0" collapsed="false">
      <c r="A2568" s="0" t="n">
        <v>3</v>
      </c>
      <c r="B2568" s="59" t="n">
        <v>46234</v>
      </c>
      <c r="C2568" s="0" t="n">
        <v>11</v>
      </c>
      <c r="D2568" s="0" t="s">
        <v>2126</v>
      </c>
      <c r="E2568" s="0" t="n">
        <v>10009</v>
      </c>
      <c r="F2568" s="0" t="s">
        <v>375</v>
      </c>
      <c r="I2568" s="0" t="n">
        <v>1433260</v>
      </c>
      <c r="J2568" s="0" t="n">
        <v>51145</v>
      </c>
      <c r="K2568" s="0" t="n">
        <v>7891008124828</v>
      </c>
      <c r="L2568" s="0" t="s">
        <v>2710</v>
      </c>
      <c r="N2568" s="0" t="n">
        <v>16</v>
      </c>
      <c r="O2568" s="60" t="n">
        <v>108.59</v>
      </c>
    </row>
    <row r="2569" customFormat="false" ht="15" hidden="false" customHeight="false" outlineLevel="0" collapsed="false">
      <c r="A2569" s="0" t="n">
        <v>3</v>
      </c>
      <c r="B2569" s="59" t="n">
        <v>46234</v>
      </c>
      <c r="C2569" s="0" t="n">
        <v>11</v>
      </c>
      <c r="D2569" s="0" t="s">
        <v>2126</v>
      </c>
      <c r="E2569" s="0" t="n">
        <v>10009</v>
      </c>
      <c r="F2569" s="0" t="s">
        <v>375</v>
      </c>
      <c r="I2569" s="0" t="n">
        <v>1433260</v>
      </c>
      <c r="J2569" s="0" t="n">
        <v>51146</v>
      </c>
      <c r="K2569" s="0" t="n">
        <v>7891008123975</v>
      </c>
      <c r="L2569" s="0" t="s">
        <v>2711</v>
      </c>
      <c r="N2569" s="0" t="n">
        <v>16</v>
      </c>
      <c r="O2569" s="60" t="n">
        <v>108.59</v>
      </c>
    </row>
    <row r="2570" customFormat="false" ht="15" hidden="false" customHeight="false" outlineLevel="0" collapsed="false">
      <c r="A2570" s="0" t="n">
        <v>3</v>
      </c>
      <c r="B2570" s="59" t="n">
        <v>46234</v>
      </c>
      <c r="C2570" s="0" t="n">
        <v>11</v>
      </c>
      <c r="D2570" s="0" t="s">
        <v>2126</v>
      </c>
      <c r="E2570" s="0" t="n">
        <v>10009</v>
      </c>
      <c r="F2570" s="0" t="s">
        <v>375</v>
      </c>
      <c r="I2570" s="0" t="n">
        <v>1433260</v>
      </c>
      <c r="J2570" s="0" t="n">
        <v>51705</v>
      </c>
      <c r="K2570" s="0" t="n">
        <v>7891008124026</v>
      </c>
      <c r="L2570" s="0" t="s">
        <v>2712</v>
      </c>
      <c r="N2570" s="0" t="n">
        <v>16</v>
      </c>
      <c r="O2570" s="60" t="n">
        <v>108.59</v>
      </c>
    </row>
    <row r="2571" customFormat="false" ht="15" hidden="false" customHeight="false" outlineLevel="0" collapsed="false">
      <c r="A2571" s="0" t="n">
        <v>3</v>
      </c>
      <c r="B2571" s="59" t="n">
        <v>46234</v>
      </c>
      <c r="C2571" s="0" t="n">
        <v>11</v>
      </c>
      <c r="D2571" s="0" t="s">
        <v>2126</v>
      </c>
      <c r="E2571" s="0" t="n">
        <v>10009</v>
      </c>
      <c r="F2571" s="0" t="s">
        <v>375</v>
      </c>
      <c r="I2571" s="0" t="n">
        <v>1433260</v>
      </c>
      <c r="J2571" s="0" t="n">
        <v>53486</v>
      </c>
      <c r="K2571" s="0" t="n">
        <v>7891008125214</v>
      </c>
      <c r="L2571" s="0" t="s">
        <v>2713</v>
      </c>
      <c r="N2571" s="0" t="n">
        <v>16</v>
      </c>
      <c r="O2571" s="60" t="n">
        <v>108.61</v>
      </c>
    </row>
    <row r="2572" customFormat="false" ht="15" hidden="false" customHeight="false" outlineLevel="0" collapsed="false">
      <c r="A2572" s="0" t="n">
        <v>3</v>
      </c>
      <c r="B2572" s="59" t="n">
        <v>46234</v>
      </c>
      <c r="C2572" s="0" t="n">
        <v>11</v>
      </c>
      <c r="D2572" s="0" t="s">
        <v>2126</v>
      </c>
      <c r="E2572" s="0" t="n">
        <v>10009</v>
      </c>
      <c r="F2572" s="0" t="s">
        <v>375</v>
      </c>
      <c r="I2572" s="0" t="n">
        <v>1433260</v>
      </c>
      <c r="J2572" s="0" t="n">
        <v>54907</v>
      </c>
      <c r="K2572" s="0" t="n">
        <v>7891000376768</v>
      </c>
      <c r="L2572" s="0" t="s">
        <v>3311</v>
      </c>
      <c r="N2572" s="0" t="n">
        <v>30</v>
      </c>
      <c r="O2572" s="60" t="n">
        <v>65.55</v>
      </c>
    </row>
    <row r="2573" customFormat="false" ht="15" hidden="false" customHeight="false" outlineLevel="0" collapsed="false">
      <c r="A2573" s="0" t="n">
        <v>3</v>
      </c>
      <c r="B2573" s="59" t="n">
        <v>46234</v>
      </c>
      <c r="C2573" s="0" t="n">
        <v>11</v>
      </c>
      <c r="D2573" s="0" t="s">
        <v>2126</v>
      </c>
      <c r="E2573" s="0" t="n">
        <v>10009</v>
      </c>
      <c r="F2573" s="0" t="s">
        <v>375</v>
      </c>
      <c r="I2573" s="0" t="n">
        <v>1433260</v>
      </c>
      <c r="J2573" s="0" t="n">
        <v>58706</v>
      </c>
      <c r="K2573" s="0" t="n">
        <v>7891000376843</v>
      </c>
      <c r="L2573" s="0" t="s">
        <v>3312</v>
      </c>
      <c r="N2573" s="0" t="n">
        <v>30</v>
      </c>
      <c r="O2573" s="60" t="n">
        <v>65.44</v>
      </c>
    </row>
    <row r="2574" customFormat="false" ht="15" hidden="false" customHeight="false" outlineLevel="0" collapsed="false">
      <c r="A2574" s="0" t="n">
        <v>3</v>
      </c>
      <c r="B2574" s="59" t="n">
        <v>46234</v>
      </c>
      <c r="C2574" s="0" t="n">
        <v>11</v>
      </c>
      <c r="D2574" s="0" t="s">
        <v>2126</v>
      </c>
      <c r="E2574" s="0" t="n">
        <v>10009</v>
      </c>
      <c r="F2574" s="0" t="s">
        <v>375</v>
      </c>
      <c r="I2574" s="0" t="n">
        <v>1433260</v>
      </c>
      <c r="J2574" s="0" t="n">
        <v>61564</v>
      </c>
      <c r="K2574" s="0" t="n">
        <v>7891000366141</v>
      </c>
      <c r="L2574" s="0" t="s">
        <v>3313</v>
      </c>
      <c r="N2574" s="0" t="n">
        <v>27</v>
      </c>
      <c r="O2574" s="60" t="n">
        <v>70.68</v>
      </c>
    </row>
    <row r="2575" customFormat="false" ht="15" hidden="false" customHeight="false" outlineLevel="0" collapsed="false">
      <c r="A2575" s="0" t="n">
        <v>3</v>
      </c>
      <c r="B2575" s="59" t="n">
        <v>46234</v>
      </c>
      <c r="C2575" s="0" t="n">
        <v>11</v>
      </c>
      <c r="D2575" s="0" t="s">
        <v>2126</v>
      </c>
      <c r="E2575" s="0" t="n">
        <v>10009</v>
      </c>
      <c r="F2575" s="0" t="s">
        <v>375</v>
      </c>
      <c r="I2575" s="0" t="n">
        <v>1433260</v>
      </c>
      <c r="J2575" s="0" t="n">
        <v>63187</v>
      </c>
      <c r="K2575" s="0" t="n">
        <v>7891000397107</v>
      </c>
      <c r="L2575" s="0" t="s">
        <v>2715</v>
      </c>
      <c r="N2575" s="0" t="n">
        <v>16</v>
      </c>
      <c r="O2575" s="60" t="n">
        <v>108.59</v>
      </c>
    </row>
    <row r="2576" customFormat="false" ht="15" hidden="false" customHeight="false" outlineLevel="0" collapsed="false">
      <c r="A2576" s="0" t="n">
        <v>3</v>
      </c>
      <c r="B2576" s="59" t="n">
        <v>46234</v>
      </c>
      <c r="C2576" s="0" t="n">
        <v>11</v>
      </c>
      <c r="D2576" s="0" t="s">
        <v>2126</v>
      </c>
      <c r="E2576" s="0" t="n">
        <v>1613</v>
      </c>
      <c r="F2576" s="0" t="s">
        <v>178</v>
      </c>
      <c r="I2576" s="0" t="n">
        <v>1613517</v>
      </c>
      <c r="J2576" s="0" t="n">
        <v>100034</v>
      </c>
      <c r="K2576" s="0" t="n">
        <v>35</v>
      </c>
      <c r="L2576" s="0" t="s">
        <v>2999</v>
      </c>
      <c r="N2576" s="0" t="n">
        <v>45</v>
      </c>
      <c r="O2576" s="60" t="n">
        <v>635.18</v>
      </c>
    </row>
    <row r="2577" customFormat="false" ht="15" hidden="false" customHeight="false" outlineLevel="0" collapsed="false">
      <c r="A2577" s="0" t="n">
        <v>3</v>
      </c>
      <c r="B2577" s="59" t="n">
        <v>46234</v>
      </c>
      <c r="C2577" s="0" t="n">
        <v>11</v>
      </c>
      <c r="D2577" s="0" t="s">
        <v>2126</v>
      </c>
      <c r="E2577" s="0" t="n">
        <v>1613</v>
      </c>
      <c r="F2577" s="0" t="s">
        <v>178</v>
      </c>
      <c r="I2577" s="0" t="n">
        <v>1613517</v>
      </c>
      <c r="J2577" s="0" t="n">
        <v>100042</v>
      </c>
      <c r="K2577" s="0" t="n">
        <v>43</v>
      </c>
      <c r="L2577" s="0" t="s">
        <v>3314</v>
      </c>
      <c r="N2577" s="0" t="n">
        <v>11</v>
      </c>
      <c r="O2577" s="60" t="n">
        <v>287.35</v>
      </c>
    </row>
    <row r="2578" customFormat="false" ht="15" hidden="false" customHeight="false" outlineLevel="0" collapsed="false">
      <c r="A2578" s="0" t="n">
        <v>3</v>
      </c>
      <c r="B2578" s="59" t="n">
        <v>46234</v>
      </c>
      <c r="C2578" s="0" t="n">
        <v>11</v>
      </c>
      <c r="D2578" s="0" t="s">
        <v>2126</v>
      </c>
      <c r="E2578" s="0" t="n">
        <v>1613</v>
      </c>
      <c r="F2578" s="0" t="s">
        <v>178</v>
      </c>
      <c r="I2578" s="0" t="n">
        <v>1613517</v>
      </c>
      <c r="J2578" s="0" t="n">
        <v>100055</v>
      </c>
      <c r="K2578" s="0" t="n">
        <v>56</v>
      </c>
      <c r="L2578" s="0" t="s">
        <v>3315</v>
      </c>
      <c r="N2578" s="0" t="n">
        <v>20</v>
      </c>
      <c r="O2578" s="60" t="n">
        <v>234.79</v>
      </c>
    </row>
    <row r="2579" customFormat="false" ht="15" hidden="false" customHeight="false" outlineLevel="0" collapsed="false">
      <c r="A2579" s="0" t="n">
        <v>3</v>
      </c>
      <c r="B2579" s="59" t="n">
        <v>46234</v>
      </c>
      <c r="C2579" s="0" t="n">
        <v>11</v>
      </c>
      <c r="D2579" s="0" t="s">
        <v>2126</v>
      </c>
      <c r="E2579" s="0" t="n">
        <v>1613</v>
      </c>
      <c r="F2579" s="0" t="s">
        <v>178</v>
      </c>
      <c r="I2579" s="0" t="n">
        <v>1613517</v>
      </c>
      <c r="J2579" s="0" t="n">
        <v>100073</v>
      </c>
      <c r="K2579" s="0" t="n">
        <v>74</v>
      </c>
      <c r="L2579" s="0" t="s">
        <v>2279</v>
      </c>
      <c r="N2579" s="0" t="n">
        <v>108</v>
      </c>
      <c r="O2579" s="60" t="n">
        <v>1254</v>
      </c>
    </row>
    <row r="2580" customFormat="false" ht="15" hidden="false" customHeight="false" outlineLevel="0" collapsed="false">
      <c r="A2580" s="0" t="n">
        <v>3</v>
      </c>
      <c r="B2580" s="59" t="n">
        <v>46234</v>
      </c>
      <c r="C2580" s="0" t="n">
        <v>11</v>
      </c>
      <c r="D2580" s="0" t="s">
        <v>2126</v>
      </c>
      <c r="E2580" s="0" t="n">
        <v>1613</v>
      </c>
      <c r="F2580" s="0" t="s">
        <v>178</v>
      </c>
      <c r="I2580" s="0" t="n">
        <v>1613517</v>
      </c>
      <c r="J2580" s="0" t="n">
        <v>102407</v>
      </c>
      <c r="K2580" s="0" t="n">
        <v>7893000394117</v>
      </c>
      <c r="L2580" s="0" t="s">
        <v>2427</v>
      </c>
      <c r="N2580" s="0" t="n">
        <v>48</v>
      </c>
      <c r="O2580" s="60" t="n">
        <v>232.08</v>
      </c>
    </row>
    <row r="2581" customFormat="false" ht="15" hidden="false" customHeight="false" outlineLevel="0" collapsed="false">
      <c r="A2581" s="0" t="n">
        <v>3</v>
      </c>
      <c r="B2581" s="59" t="n">
        <v>46234</v>
      </c>
      <c r="C2581" s="0" t="n">
        <v>11</v>
      </c>
      <c r="D2581" s="0" t="s">
        <v>2126</v>
      </c>
      <c r="E2581" s="0" t="n">
        <v>1613</v>
      </c>
      <c r="F2581" s="0" t="s">
        <v>178</v>
      </c>
      <c r="I2581" s="0" t="n">
        <v>1613517</v>
      </c>
      <c r="J2581" s="0" t="n">
        <v>105663</v>
      </c>
      <c r="K2581" s="0" t="n">
        <v>7893000980006</v>
      </c>
      <c r="L2581" s="0" t="s">
        <v>3316</v>
      </c>
      <c r="N2581" s="0" t="n">
        <v>36</v>
      </c>
      <c r="O2581" s="60" t="n">
        <v>237.42</v>
      </c>
    </row>
    <row r="2582" customFormat="false" ht="15" hidden="false" customHeight="false" outlineLevel="0" collapsed="false">
      <c r="A2582" s="0" t="n">
        <v>3</v>
      </c>
      <c r="B2582" s="59" t="n">
        <v>46234</v>
      </c>
      <c r="C2582" s="0" t="n">
        <v>11</v>
      </c>
      <c r="D2582" s="0" t="s">
        <v>2126</v>
      </c>
      <c r="E2582" s="0" t="n">
        <v>1613</v>
      </c>
      <c r="F2582" s="0" t="s">
        <v>178</v>
      </c>
      <c r="I2582" s="0" t="n">
        <v>1613517</v>
      </c>
      <c r="J2582" s="0" t="n">
        <v>23695</v>
      </c>
      <c r="K2582" s="0" t="n">
        <v>7891515474126</v>
      </c>
      <c r="L2582" s="0" t="s">
        <v>2789</v>
      </c>
      <c r="N2582" s="0" t="n">
        <v>225</v>
      </c>
      <c r="O2582" s="60" t="n">
        <v>376.22</v>
      </c>
    </row>
    <row r="2583" customFormat="false" ht="15" hidden="false" customHeight="false" outlineLevel="0" collapsed="false">
      <c r="A2583" s="0" t="n">
        <v>3</v>
      </c>
      <c r="B2583" s="59" t="n">
        <v>46234</v>
      </c>
      <c r="C2583" s="0" t="n">
        <v>11</v>
      </c>
      <c r="D2583" s="0" t="s">
        <v>2126</v>
      </c>
      <c r="E2583" s="0" t="n">
        <v>1613</v>
      </c>
      <c r="F2583" s="0" t="s">
        <v>178</v>
      </c>
      <c r="I2583" s="0" t="n">
        <v>1613517</v>
      </c>
      <c r="J2583" s="0" t="n">
        <v>110181</v>
      </c>
      <c r="K2583" s="0" t="n">
        <v>37389</v>
      </c>
      <c r="L2583" s="0" t="s">
        <v>2978</v>
      </c>
      <c r="N2583" s="0" t="n">
        <v>75</v>
      </c>
      <c r="O2583" s="60" t="n">
        <v>893.25</v>
      </c>
    </row>
    <row r="2584" customFormat="false" ht="15" hidden="false" customHeight="false" outlineLevel="0" collapsed="false">
      <c r="A2584" s="0" t="n">
        <v>3</v>
      </c>
      <c r="B2584" s="59" t="n">
        <v>46234</v>
      </c>
      <c r="C2584" s="0" t="n">
        <v>11</v>
      </c>
      <c r="D2584" s="0" t="s">
        <v>2126</v>
      </c>
      <c r="E2584" s="0" t="n">
        <v>1613</v>
      </c>
      <c r="F2584" s="0" t="s">
        <v>178</v>
      </c>
      <c r="I2584" s="0" t="n">
        <v>1613517</v>
      </c>
      <c r="J2584" s="0" t="n">
        <v>59205</v>
      </c>
      <c r="K2584" s="0" t="n">
        <v>7891515606824</v>
      </c>
      <c r="L2584" s="0" t="s">
        <v>3317</v>
      </c>
      <c r="N2584" s="0" t="n">
        <v>42</v>
      </c>
      <c r="O2584" s="60" t="n">
        <v>254.19</v>
      </c>
    </row>
    <row r="2585" customFormat="false" ht="15" hidden="false" customHeight="false" outlineLevel="0" collapsed="false">
      <c r="A2585" s="0" t="n">
        <v>3</v>
      </c>
      <c r="B2585" s="59" t="n">
        <v>46234</v>
      </c>
      <c r="C2585" s="0" t="n">
        <v>11</v>
      </c>
      <c r="D2585" s="0" t="s">
        <v>2126</v>
      </c>
      <c r="E2585" s="0" t="n">
        <v>1608</v>
      </c>
      <c r="F2585" s="0" t="s">
        <v>42</v>
      </c>
      <c r="I2585" s="0" t="n">
        <v>1703152</v>
      </c>
      <c r="J2585" s="0" t="n">
        <v>101947</v>
      </c>
      <c r="K2585" s="0" t="n">
        <v>7891079001028</v>
      </c>
      <c r="L2585" s="0" t="s">
        <v>2742</v>
      </c>
      <c r="N2585" s="0" t="n">
        <v>50</v>
      </c>
      <c r="O2585" s="60" t="n">
        <v>109</v>
      </c>
    </row>
    <row r="2586" customFormat="false" ht="15" hidden="false" customHeight="false" outlineLevel="0" collapsed="false">
      <c r="A2586" s="0" t="n">
        <v>3</v>
      </c>
      <c r="B2586" s="59" t="n">
        <v>46234</v>
      </c>
      <c r="C2586" s="0" t="n">
        <v>11</v>
      </c>
      <c r="D2586" s="0" t="s">
        <v>2126</v>
      </c>
      <c r="E2586" s="0" t="n">
        <v>1608</v>
      </c>
      <c r="F2586" s="0" t="s">
        <v>42</v>
      </c>
      <c r="I2586" s="0" t="n">
        <v>1703152</v>
      </c>
      <c r="J2586" s="0" t="n">
        <v>101948</v>
      </c>
      <c r="K2586" s="0" t="n">
        <v>7891079001011</v>
      </c>
      <c r="L2586" s="0" t="s">
        <v>3318</v>
      </c>
      <c r="N2586" s="0" t="n">
        <v>100</v>
      </c>
      <c r="O2586" s="60" t="n">
        <v>218</v>
      </c>
    </row>
    <row r="2587" customFormat="false" ht="15" hidden="false" customHeight="false" outlineLevel="0" collapsed="false">
      <c r="A2587" s="0" t="n">
        <v>3</v>
      </c>
      <c r="B2587" s="59" t="n">
        <v>46234</v>
      </c>
      <c r="C2587" s="0" t="n">
        <v>11</v>
      </c>
      <c r="D2587" s="0" t="s">
        <v>2126</v>
      </c>
      <c r="E2587" s="0" t="n">
        <v>1608</v>
      </c>
      <c r="F2587" s="0" t="s">
        <v>42</v>
      </c>
      <c r="I2587" s="0" t="n">
        <v>1703152</v>
      </c>
      <c r="J2587" s="0" t="n">
        <v>101953</v>
      </c>
      <c r="K2587" s="0" t="n">
        <v>7891079000229</v>
      </c>
      <c r="L2587" s="0" t="s">
        <v>3319</v>
      </c>
      <c r="N2587" s="0" t="n">
        <v>150</v>
      </c>
      <c r="O2587" s="60" t="n">
        <v>315</v>
      </c>
    </row>
    <row r="2588" customFormat="false" ht="15" hidden="false" customHeight="false" outlineLevel="0" collapsed="false">
      <c r="A2588" s="0" t="n">
        <v>3</v>
      </c>
      <c r="B2588" s="59" t="n">
        <v>46234</v>
      </c>
      <c r="C2588" s="0" t="n">
        <v>11</v>
      </c>
      <c r="D2588" s="0" t="s">
        <v>2126</v>
      </c>
      <c r="E2588" s="0" t="n">
        <v>1608</v>
      </c>
      <c r="F2588" s="0" t="s">
        <v>42</v>
      </c>
      <c r="I2588" s="0" t="n">
        <v>1703152</v>
      </c>
      <c r="J2588" s="0" t="n">
        <v>101954</v>
      </c>
      <c r="K2588" s="0" t="n">
        <v>7891079000212</v>
      </c>
      <c r="L2588" s="0" t="s">
        <v>3320</v>
      </c>
      <c r="N2588" s="0" t="n">
        <v>50</v>
      </c>
      <c r="O2588" s="60" t="n">
        <v>105</v>
      </c>
    </row>
    <row r="2589" customFormat="false" ht="15" hidden="false" customHeight="false" outlineLevel="0" collapsed="false">
      <c r="A2589" s="0" t="n">
        <v>3</v>
      </c>
      <c r="B2589" s="59" t="n">
        <v>46234</v>
      </c>
      <c r="C2589" s="0" t="n">
        <v>11</v>
      </c>
      <c r="D2589" s="0" t="s">
        <v>2126</v>
      </c>
      <c r="E2589" s="0" t="n">
        <v>1608</v>
      </c>
      <c r="F2589" s="0" t="s">
        <v>42</v>
      </c>
      <c r="I2589" s="0" t="n">
        <v>1703152</v>
      </c>
      <c r="J2589" s="0" t="n">
        <v>104192</v>
      </c>
      <c r="K2589" s="0" t="n">
        <v>7891079011515</v>
      </c>
      <c r="L2589" s="0" t="s">
        <v>3321</v>
      </c>
      <c r="N2589" s="0" t="n">
        <v>3</v>
      </c>
      <c r="O2589" s="60" t="n">
        <v>21.36</v>
      </c>
    </row>
    <row r="2590" customFormat="false" ht="15" hidden="false" customHeight="false" outlineLevel="0" collapsed="false">
      <c r="A2590" s="0" t="n">
        <v>3</v>
      </c>
      <c r="B2590" s="59" t="n">
        <v>46234</v>
      </c>
      <c r="C2590" s="0" t="n">
        <v>11</v>
      </c>
      <c r="D2590" s="0" t="s">
        <v>2126</v>
      </c>
      <c r="E2590" s="0" t="n">
        <v>1608</v>
      </c>
      <c r="F2590" s="0" t="s">
        <v>42</v>
      </c>
      <c r="I2590" s="0" t="n">
        <v>1703152</v>
      </c>
      <c r="J2590" s="0" t="n">
        <v>107858</v>
      </c>
      <c r="K2590" s="0" t="n">
        <v>7896707341590</v>
      </c>
      <c r="L2590" s="0" t="s">
        <v>3322</v>
      </c>
      <c r="N2590" s="0" t="n">
        <v>1</v>
      </c>
      <c r="O2590" s="60" t="n">
        <v>25.14</v>
      </c>
    </row>
    <row r="2591" customFormat="false" ht="15" hidden="false" customHeight="false" outlineLevel="0" collapsed="false">
      <c r="A2591" s="0" t="n">
        <v>3</v>
      </c>
      <c r="B2591" s="59" t="n">
        <v>46234</v>
      </c>
      <c r="C2591" s="0" t="n">
        <v>11</v>
      </c>
      <c r="D2591" s="0" t="s">
        <v>2126</v>
      </c>
      <c r="E2591" s="0" t="n">
        <v>1608</v>
      </c>
      <c r="F2591" s="0" t="s">
        <v>42</v>
      </c>
      <c r="I2591" s="0" t="n">
        <v>1703152</v>
      </c>
      <c r="J2591" s="0" t="n">
        <v>27996</v>
      </c>
      <c r="K2591" s="0" t="n">
        <v>7891079013083</v>
      </c>
      <c r="L2591" s="0" t="s">
        <v>3323</v>
      </c>
      <c r="N2591" s="0" t="n">
        <v>24</v>
      </c>
      <c r="O2591" s="60" t="n">
        <v>105.12</v>
      </c>
    </row>
    <row r="2592" customFormat="false" ht="15" hidden="false" customHeight="false" outlineLevel="0" collapsed="false">
      <c r="A2592" s="0" t="n">
        <v>3</v>
      </c>
      <c r="B2592" s="59" t="n">
        <v>46234</v>
      </c>
      <c r="C2592" s="0" t="n">
        <v>11</v>
      </c>
      <c r="D2592" s="0" t="s">
        <v>2126</v>
      </c>
      <c r="E2592" s="0" t="n">
        <v>1608</v>
      </c>
      <c r="F2592" s="0" t="s">
        <v>42</v>
      </c>
      <c r="I2592" s="0" t="n">
        <v>1703152</v>
      </c>
      <c r="J2592" s="0" t="n">
        <v>27997</v>
      </c>
      <c r="K2592" s="0" t="n">
        <v>7891079013106</v>
      </c>
      <c r="L2592" s="0" t="s">
        <v>3324</v>
      </c>
      <c r="N2592" s="0" t="n">
        <v>12</v>
      </c>
      <c r="O2592" s="60" t="n">
        <v>52.56</v>
      </c>
    </row>
    <row r="2593" customFormat="false" ht="15" hidden="false" customHeight="false" outlineLevel="0" collapsed="false">
      <c r="A2593" s="0" t="n">
        <v>3</v>
      </c>
      <c r="B2593" s="59" t="n">
        <v>46234</v>
      </c>
      <c r="C2593" s="0" t="n">
        <v>11</v>
      </c>
      <c r="D2593" s="0" t="s">
        <v>2126</v>
      </c>
      <c r="E2593" s="0" t="n">
        <v>1608</v>
      </c>
      <c r="F2593" s="0" t="s">
        <v>42</v>
      </c>
      <c r="I2593" s="0" t="n">
        <v>1703152</v>
      </c>
      <c r="J2593" s="0" t="n">
        <v>28034</v>
      </c>
      <c r="K2593" s="0" t="n">
        <v>7891079013069</v>
      </c>
      <c r="L2593" s="0" t="s">
        <v>3325</v>
      </c>
      <c r="N2593" s="0" t="n">
        <v>24</v>
      </c>
      <c r="O2593" s="60" t="n">
        <v>105.12</v>
      </c>
    </row>
    <row r="2594" customFormat="false" ht="15" hidden="false" customHeight="false" outlineLevel="0" collapsed="false">
      <c r="A2594" s="0" t="n">
        <v>3</v>
      </c>
      <c r="B2594" s="59" t="n">
        <v>46234</v>
      </c>
      <c r="C2594" s="0" t="n">
        <v>11</v>
      </c>
      <c r="D2594" s="0" t="s">
        <v>2126</v>
      </c>
      <c r="E2594" s="0" t="n">
        <v>1608</v>
      </c>
      <c r="F2594" s="0" t="s">
        <v>42</v>
      </c>
      <c r="I2594" s="0" t="n">
        <v>1703152</v>
      </c>
      <c r="J2594" s="0" t="n">
        <v>59756</v>
      </c>
      <c r="K2594" s="0" t="n">
        <v>7896707305189</v>
      </c>
      <c r="L2594" s="0" t="s">
        <v>3326</v>
      </c>
      <c r="N2594" s="0" t="n">
        <v>100</v>
      </c>
      <c r="O2594" s="60" t="n">
        <v>11.08</v>
      </c>
    </row>
    <row r="2595" customFormat="false" ht="15" hidden="false" customHeight="false" outlineLevel="0" collapsed="false">
      <c r="A2595" s="0" t="n">
        <v>3</v>
      </c>
      <c r="B2595" s="59" t="n">
        <v>46234</v>
      </c>
      <c r="C2595" s="0" t="n">
        <v>11</v>
      </c>
      <c r="D2595" s="0" t="s">
        <v>2126</v>
      </c>
      <c r="E2595" s="0" t="n">
        <v>1608</v>
      </c>
      <c r="F2595" s="0" t="s">
        <v>42</v>
      </c>
      <c r="I2595" s="0" t="n">
        <v>1703152</v>
      </c>
      <c r="J2595" s="0" t="n">
        <v>80052</v>
      </c>
      <c r="K2595" s="0" t="n">
        <v>7891079006016</v>
      </c>
      <c r="L2595" s="0" t="s">
        <v>3327</v>
      </c>
      <c r="N2595" s="0" t="n">
        <v>3</v>
      </c>
      <c r="O2595" s="60" t="n">
        <v>20.67</v>
      </c>
    </row>
    <row r="2596" customFormat="false" ht="15" hidden="false" customHeight="false" outlineLevel="0" collapsed="false">
      <c r="A2596" s="0" t="n">
        <v>3</v>
      </c>
      <c r="B2596" s="59" t="n">
        <v>46234</v>
      </c>
      <c r="C2596" s="0" t="n">
        <v>11</v>
      </c>
      <c r="D2596" s="0" t="s">
        <v>2126</v>
      </c>
      <c r="E2596" s="0" t="n">
        <v>1705</v>
      </c>
      <c r="F2596" s="0" t="s">
        <v>123</v>
      </c>
      <c r="I2596" s="0" t="n">
        <v>1962474</v>
      </c>
      <c r="J2596" s="0" t="n">
        <v>30188</v>
      </c>
      <c r="K2596" s="0" t="n">
        <v>78908901</v>
      </c>
      <c r="L2596" s="0" t="s">
        <v>3050</v>
      </c>
      <c r="N2596" s="0" t="n">
        <v>45</v>
      </c>
      <c r="O2596" s="60" t="n">
        <v>87.56</v>
      </c>
    </row>
    <row r="2597" customFormat="false" ht="15" hidden="false" customHeight="false" outlineLevel="0" collapsed="false">
      <c r="A2597" s="0" t="n">
        <v>3</v>
      </c>
      <c r="B2597" s="59" t="n">
        <v>46234</v>
      </c>
      <c r="C2597" s="0" t="n">
        <v>11</v>
      </c>
      <c r="D2597" s="0" t="s">
        <v>2126</v>
      </c>
      <c r="E2597" s="0" t="n">
        <v>1705</v>
      </c>
      <c r="F2597" s="0" t="s">
        <v>123</v>
      </c>
      <c r="I2597" s="0" t="n">
        <v>1962474</v>
      </c>
      <c r="J2597" s="0" t="n">
        <v>103142</v>
      </c>
      <c r="K2597" s="0" t="n">
        <v>7894900011753</v>
      </c>
      <c r="L2597" s="0" t="s">
        <v>2581</v>
      </c>
      <c r="N2597" s="0" t="n">
        <v>120</v>
      </c>
      <c r="O2597" s="60" t="n">
        <v>756.13</v>
      </c>
    </row>
    <row r="2598" customFormat="false" ht="15" hidden="false" customHeight="false" outlineLevel="0" collapsed="false">
      <c r="A2598" s="0" t="n">
        <v>3</v>
      </c>
      <c r="B2598" s="59" t="n">
        <v>46234</v>
      </c>
      <c r="C2598" s="0" t="n">
        <v>11</v>
      </c>
      <c r="D2598" s="0" t="s">
        <v>2126</v>
      </c>
      <c r="E2598" s="0" t="n">
        <v>1705</v>
      </c>
      <c r="F2598" s="0" t="s">
        <v>123</v>
      </c>
      <c r="I2598" s="0" t="n">
        <v>1962474</v>
      </c>
      <c r="J2598" s="0" t="n">
        <v>103146</v>
      </c>
      <c r="K2598" s="0" t="n">
        <v>7894900031515</v>
      </c>
      <c r="L2598" s="0" t="s">
        <v>2583</v>
      </c>
      <c r="N2598" s="0" t="n">
        <v>30</v>
      </c>
      <c r="O2598" s="60" t="n">
        <v>222.91</v>
      </c>
    </row>
    <row r="2599" customFormat="false" ht="15" hidden="false" customHeight="false" outlineLevel="0" collapsed="false">
      <c r="A2599" s="0" t="n">
        <v>3</v>
      </c>
      <c r="B2599" s="59" t="n">
        <v>46234</v>
      </c>
      <c r="C2599" s="0" t="n">
        <v>11</v>
      </c>
      <c r="D2599" s="0" t="s">
        <v>2126</v>
      </c>
      <c r="E2599" s="0" t="n">
        <v>1705</v>
      </c>
      <c r="F2599" s="0" t="s">
        <v>123</v>
      </c>
      <c r="I2599" s="0" t="n">
        <v>1962474</v>
      </c>
      <c r="J2599" s="0" t="n">
        <v>103159</v>
      </c>
      <c r="K2599" s="0" t="n">
        <v>7894900050011</v>
      </c>
      <c r="L2599" s="0" t="s">
        <v>2770</v>
      </c>
      <c r="N2599" s="0" t="n">
        <v>24</v>
      </c>
      <c r="O2599" s="60" t="n">
        <v>67.27</v>
      </c>
    </row>
    <row r="2600" customFormat="false" ht="15" hidden="false" customHeight="false" outlineLevel="0" collapsed="false">
      <c r="A2600" s="0" t="n">
        <v>3</v>
      </c>
      <c r="B2600" s="59" t="n">
        <v>46234</v>
      </c>
      <c r="C2600" s="0" t="n">
        <v>11</v>
      </c>
      <c r="D2600" s="0" t="s">
        <v>2126</v>
      </c>
      <c r="E2600" s="0" t="n">
        <v>1705</v>
      </c>
      <c r="F2600" s="0" t="s">
        <v>123</v>
      </c>
      <c r="I2600" s="0" t="n">
        <v>1962474</v>
      </c>
      <c r="J2600" s="0" t="n">
        <v>103160</v>
      </c>
      <c r="K2600" s="0" t="n">
        <v>7894900030013</v>
      </c>
      <c r="L2600" s="0" t="s">
        <v>2563</v>
      </c>
      <c r="N2600" s="0" t="n">
        <v>24</v>
      </c>
      <c r="O2600" s="60" t="n">
        <v>67.27</v>
      </c>
    </row>
    <row r="2601" customFormat="false" ht="15" hidden="false" customHeight="false" outlineLevel="0" collapsed="false">
      <c r="A2601" s="0" t="n">
        <v>3</v>
      </c>
      <c r="B2601" s="59" t="n">
        <v>46234</v>
      </c>
      <c r="C2601" s="0" t="n">
        <v>11</v>
      </c>
      <c r="D2601" s="0" t="s">
        <v>2126</v>
      </c>
      <c r="E2601" s="0" t="n">
        <v>1705</v>
      </c>
      <c r="F2601" s="0" t="s">
        <v>123</v>
      </c>
      <c r="I2601" s="0" t="n">
        <v>1962474</v>
      </c>
      <c r="J2601" s="0" t="n">
        <v>103161</v>
      </c>
      <c r="K2601" s="0" t="n">
        <v>7894900010015</v>
      </c>
      <c r="L2601" s="0" t="s">
        <v>2584</v>
      </c>
      <c r="N2601" s="0" t="n">
        <v>72</v>
      </c>
      <c r="O2601" s="60" t="n">
        <v>226.48</v>
      </c>
    </row>
    <row r="2602" customFormat="false" ht="15" hidden="false" customHeight="false" outlineLevel="0" collapsed="false">
      <c r="A2602" s="0" t="n">
        <v>3</v>
      </c>
      <c r="B2602" s="59" t="n">
        <v>46234</v>
      </c>
      <c r="C2602" s="0" t="n">
        <v>11</v>
      </c>
      <c r="D2602" s="0" t="s">
        <v>2126</v>
      </c>
      <c r="E2602" s="0" t="n">
        <v>1705</v>
      </c>
      <c r="F2602" s="0" t="s">
        <v>123</v>
      </c>
      <c r="I2602" s="0" t="n">
        <v>1962474</v>
      </c>
      <c r="J2602" s="0" t="n">
        <v>104472</v>
      </c>
      <c r="K2602" s="0" t="n">
        <v>7897105200038</v>
      </c>
      <c r="L2602" s="0" t="s">
        <v>2585</v>
      </c>
      <c r="N2602" s="0" t="n">
        <v>36</v>
      </c>
      <c r="O2602" s="60" t="n">
        <v>161.87</v>
      </c>
    </row>
    <row r="2603" customFormat="false" ht="15" hidden="false" customHeight="false" outlineLevel="0" collapsed="false">
      <c r="A2603" s="0" t="n">
        <v>3</v>
      </c>
      <c r="B2603" s="59" t="n">
        <v>46234</v>
      </c>
      <c r="C2603" s="0" t="n">
        <v>11</v>
      </c>
      <c r="D2603" s="0" t="s">
        <v>2126</v>
      </c>
      <c r="E2603" s="0" t="n">
        <v>1705</v>
      </c>
      <c r="F2603" s="0" t="s">
        <v>123</v>
      </c>
      <c r="I2603" s="0" t="n">
        <v>1962474</v>
      </c>
      <c r="J2603" s="0" t="n">
        <v>105323</v>
      </c>
      <c r="K2603" s="0" t="n">
        <v>7894900701753</v>
      </c>
      <c r="L2603" s="0" t="s">
        <v>2586</v>
      </c>
      <c r="N2603" s="0" t="n">
        <v>60</v>
      </c>
      <c r="O2603" s="60" t="n">
        <v>362.34</v>
      </c>
    </row>
    <row r="2604" customFormat="false" ht="15" hidden="false" customHeight="false" outlineLevel="0" collapsed="false">
      <c r="A2604" s="0" t="n">
        <v>3</v>
      </c>
      <c r="B2604" s="59" t="n">
        <v>46234</v>
      </c>
      <c r="C2604" s="0" t="n">
        <v>11</v>
      </c>
      <c r="D2604" s="0" t="s">
        <v>2126</v>
      </c>
      <c r="E2604" s="0" t="n">
        <v>1705</v>
      </c>
      <c r="F2604" s="0" t="s">
        <v>123</v>
      </c>
      <c r="I2604" s="0" t="n">
        <v>1962474</v>
      </c>
      <c r="J2604" s="0" t="n">
        <v>10830</v>
      </c>
      <c r="K2604" s="0" t="n">
        <v>7894900701517</v>
      </c>
      <c r="L2604" s="0" t="s">
        <v>2589</v>
      </c>
      <c r="N2604" s="0" t="n">
        <v>60</v>
      </c>
      <c r="O2604" s="60" t="n">
        <v>508.72</v>
      </c>
    </row>
    <row r="2605" customFormat="false" ht="15" hidden="false" customHeight="false" outlineLevel="0" collapsed="false">
      <c r="A2605" s="0" t="n">
        <v>3</v>
      </c>
      <c r="B2605" s="59" t="n">
        <v>46234</v>
      </c>
      <c r="C2605" s="0" t="n">
        <v>11</v>
      </c>
      <c r="D2605" s="0" t="s">
        <v>2126</v>
      </c>
      <c r="E2605" s="0" t="n">
        <v>1705</v>
      </c>
      <c r="F2605" s="0" t="s">
        <v>123</v>
      </c>
      <c r="I2605" s="0" t="n">
        <v>1962474</v>
      </c>
      <c r="J2605" s="0" t="n">
        <v>22346</v>
      </c>
      <c r="K2605" s="0" t="n">
        <v>7894900150018</v>
      </c>
      <c r="L2605" s="0" t="s">
        <v>3328</v>
      </c>
      <c r="N2605" s="0" t="n">
        <v>48</v>
      </c>
      <c r="O2605" s="60" t="n">
        <v>135.98</v>
      </c>
    </row>
    <row r="2606" customFormat="false" ht="15" hidden="false" customHeight="false" outlineLevel="0" collapsed="false">
      <c r="A2606" s="0" t="n">
        <v>3</v>
      </c>
      <c r="B2606" s="59" t="n">
        <v>46234</v>
      </c>
      <c r="C2606" s="0" t="n">
        <v>11</v>
      </c>
      <c r="D2606" s="0" t="s">
        <v>2126</v>
      </c>
      <c r="E2606" s="0" t="n">
        <v>1705</v>
      </c>
      <c r="F2606" s="0" t="s">
        <v>123</v>
      </c>
      <c r="I2606" s="0" t="n">
        <v>1962474</v>
      </c>
      <c r="J2606" s="0" t="n">
        <v>29509</v>
      </c>
      <c r="K2606" s="0" t="n">
        <v>78933873</v>
      </c>
      <c r="L2606" s="0" t="s">
        <v>2596</v>
      </c>
      <c r="N2606" s="0" t="n">
        <v>30</v>
      </c>
      <c r="O2606" s="60" t="n">
        <v>55.95</v>
      </c>
    </row>
    <row r="2607" customFormat="false" ht="15" hidden="false" customHeight="false" outlineLevel="0" collapsed="false">
      <c r="A2607" s="0" t="n">
        <v>3</v>
      </c>
      <c r="B2607" s="59" t="n">
        <v>46234</v>
      </c>
      <c r="C2607" s="0" t="n">
        <v>11</v>
      </c>
      <c r="D2607" s="0" t="s">
        <v>2126</v>
      </c>
      <c r="E2607" s="0" t="n">
        <v>1705</v>
      </c>
      <c r="F2607" s="0" t="s">
        <v>123</v>
      </c>
      <c r="I2607" s="0" t="n">
        <v>1962474</v>
      </c>
      <c r="J2607" s="0" t="n">
        <v>29614</v>
      </c>
      <c r="K2607" s="0" t="n">
        <v>7894900550030</v>
      </c>
      <c r="L2607" s="0" t="s">
        <v>3052</v>
      </c>
      <c r="N2607" s="0" t="n">
        <v>18</v>
      </c>
      <c r="O2607" s="60" t="n">
        <v>88.74</v>
      </c>
    </row>
    <row r="2608" customFormat="false" ht="15" hidden="false" customHeight="false" outlineLevel="0" collapsed="false">
      <c r="A2608" s="0" t="n">
        <v>3</v>
      </c>
      <c r="B2608" s="59" t="n">
        <v>46234</v>
      </c>
      <c r="C2608" s="0" t="n">
        <v>11</v>
      </c>
      <c r="D2608" s="0" t="s">
        <v>2126</v>
      </c>
      <c r="E2608" s="0" t="n">
        <v>1705</v>
      </c>
      <c r="F2608" s="0" t="s">
        <v>123</v>
      </c>
      <c r="I2608" s="0" t="n">
        <v>1962474</v>
      </c>
      <c r="J2608" s="0" t="n">
        <v>30017</v>
      </c>
      <c r="K2608" s="0" t="n">
        <v>7894900680508</v>
      </c>
      <c r="L2608" s="0" t="s">
        <v>2594</v>
      </c>
      <c r="N2608" s="0" t="n">
        <v>24</v>
      </c>
      <c r="O2608" s="60" t="n">
        <v>83.48</v>
      </c>
    </row>
    <row r="2609" customFormat="false" ht="15" hidden="false" customHeight="false" outlineLevel="0" collapsed="false">
      <c r="A2609" s="0" t="n">
        <v>3</v>
      </c>
      <c r="B2609" s="59" t="n">
        <v>46234</v>
      </c>
      <c r="C2609" s="0" t="n">
        <v>11</v>
      </c>
      <c r="D2609" s="0" t="s">
        <v>2126</v>
      </c>
      <c r="E2609" s="0" t="n">
        <v>1705</v>
      </c>
      <c r="F2609" s="0" t="s">
        <v>123</v>
      </c>
      <c r="I2609" s="0" t="n">
        <v>1962474</v>
      </c>
      <c r="J2609" s="0" t="n">
        <v>34629</v>
      </c>
      <c r="K2609" s="0" t="n">
        <v>7894900027020</v>
      </c>
      <c r="L2609" s="0" t="s">
        <v>2777</v>
      </c>
      <c r="N2609" s="0" t="n">
        <v>36</v>
      </c>
      <c r="O2609" s="60" t="n">
        <v>354.23</v>
      </c>
    </row>
    <row r="2610" customFormat="false" ht="15" hidden="false" customHeight="false" outlineLevel="0" collapsed="false">
      <c r="A2610" s="0" t="n">
        <v>3</v>
      </c>
      <c r="B2610" s="59" t="n">
        <v>46234</v>
      </c>
      <c r="C2610" s="0" t="n">
        <v>11</v>
      </c>
      <c r="D2610" s="0" t="s">
        <v>2126</v>
      </c>
      <c r="E2610" s="0" t="n">
        <v>1705</v>
      </c>
      <c r="F2610" s="0" t="s">
        <v>123</v>
      </c>
      <c r="I2610" s="0" t="n">
        <v>1962474</v>
      </c>
      <c r="J2610" s="0" t="n">
        <v>37279</v>
      </c>
      <c r="K2610" s="0" t="n">
        <v>7894900027013</v>
      </c>
      <c r="L2610" s="0" t="s">
        <v>2581</v>
      </c>
      <c r="N2610" s="0" t="n">
        <v>150</v>
      </c>
      <c r="O2610" s="60" t="n">
        <v>1311.13</v>
      </c>
    </row>
    <row r="2611" customFormat="false" ht="15" hidden="false" customHeight="false" outlineLevel="0" collapsed="false">
      <c r="A2611" s="0" t="n">
        <v>3</v>
      </c>
      <c r="B2611" s="59" t="n">
        <v>46234</v>
      </c>
      <c r="C2611" s="0" t="n">
        <v>39</v>
      </c>
      <c r="D2611" s="0" t="s">
        <v>2239</v>
      </c>
      <c r="E2611" s="0" t="n">
        <v>1911</v>
      </c>
      <c r="F2611" s="0" t="s">
        <v>543</v>
      </c>
      <c r="I2611" s="0" t="n">
        <v>3861</v>
      </c>
      <c r="J2611" s="0" t="n">
        <v>75868</v>
      </c>
      <c r="K2611" s="0" t="n">
        <v>2269238</v>
      </c>
      <c r="L2611" s="0" t="s">
        <v>3329</v>
      </c>
      <c r="N2611" s="0" t="n">
        <v>6</v>
      </c>
      <c r="O2611" s="60" t="n">
        <v>648</v>
      </c>
    </row>
    <row r="2612" customFormat="false" ht="15" hidden="false" customHeight="false" outlineLevel="0" collapsed="false">
      <c r="A2612" s="0" t="n">
        <v>3</v>
      </c>
      <c r="B2612" s="59" t="n">
        <v>46234</v>
      </c>
      <c r="C2612" s="0" t="n">
        <v>39</v>
      </c>
      <c r="D2612" s="0" t="s">
        <v>2239</v>
      </c>
      <c r="E2612" s="0" t="n">
        <v>1895</v>
      </c>
      <c r="F2612" s="0" t="s">
        <v>160</v>
      </c>
      <c r="I2612" s="0" t="n">
        <v>45473</v>
      </c>
      <c r="J2612" s="0" t="n">
        <v>43686</v>
      </c>
      <c r="K2612" s="0" t="n">
        <v>7896030899249</v>
      </c>
      <c r="L2612" s="0" t="s">
        <v>3330</v>
      </c>
      <c r="N2612" s="0" t="n">
        <v>8</v>
      </c>
      <c r="O2612" s="60" t="n">
        <v>119.92</v>
      </c>
    </row>
    <row r="2613" customFormat="false" ht="15" hidden="false" customHeight="false" outlineLevel="0" collapsed="false">
      <c r="A2613" s="0" t="n">
        <v>3</v>
      </c>
      <c r="B2613" s="59" t="n">
        <v>46234</v>
      </c>
      <c r="C2613" s="0" t="n">
        <v>39</v>
      </c>
      <c r="D2613" s="0" t="s">
        <v>2239</v>
      </c>
      <c r="E2613" s="0" t="n">
        <v>1895</v>
      </c>
      <c r="F2613" s="0" t="s">
        <v>160</v>
      </c>
      <c r="I2613" s="0" t="n">
        <v>45473</v>
      </c>
      <c r="J2613" s="0" t="n">
        <v>45825</v>
      </c>
      <c r="K2613" s="0" t="n">
        <v>7898948000038</v>
      </c>
      <c r="L2613" s="0" t="s">
        <v>3331</v>
      </c>
      <c r="N2613" s="0" t="n">
        <v>8</v>
      </c>
      <c r="O2613" s="60" t="n">
        <v>151.92</v>
      </c>
    </row>
    <row r="2614" customFormat="false" ht="15" hidden="false" customHeight="false" outlineLevel="0" collapsed="false">
      <c r="A2614" s="0" t="n">
        <v>3</v>
      </c>
      <c r="B2614" s="59" t="n">
        <v>46234</v>
      </c>
      <c r="C2614" s="0" t="n">
        <v>171</v>
      </c>
      <c r="D2614" s="0" t="s">
        <v>2182</v>
      </c>
      <c r="E2614" s="0" t="n">
        <v>1718</v>
      </c>
      <c r="F2614" s="0" t="s">
        <v>410</v>
      </c>
      <c r="I2614" s="0" t="n">
        <v>685878</v>
      </c>
      <c r="J2614" s="0" t="n">
        <v>50323</v>
      </c>
      <c r="K2614" s="0" t="n">
        <v>7622210571786</v>
      </c>
      <c r="L2614" s="0" t="s">
        <v>3332</v>
      </c>
      <c r="N2614" s="0" t="n">
        <v>54</v>
      </c>
      <c r="O2614" s="60" t="n">
        <v>42.66</v>
      </c>
    </row>
    <row r="2615" customFormat="false" ht="15" hidden="false" customHeight="false" outlineLevel="0" collapsed="false">
      <c r="A2615" s="0" t="n">
        <v>3</v>
      </c>
      <c r="B2615" s="59" t="n">
        <v>46235</v>
      </c>
      <c r="C2615" s="0" t="n">
        <v>1</v>
      </c>
      <c r="D2615" s="0" t="s">
        <v>2118</v>
      </c>
      <c r="E2615" s="0" t="n">
        <v>10043</v>
      </c>
      <c r="F2615" s="0" t="s">
        <v>113</v>
      </c>
      <c r="I2615" s="0" t="n">
        <v>821</v>
      </c>
      <c r="J2615" s="0" t="n">
        <v>52096</v>
      </c>
      <c r="K2615" s="0" t="n">
        <v>144315</v>
      </c>
      <c r="L2615" s="0" t="s">
        <v>2415</v>
      </c>
      <c r="N2615" s="0" t="n">
        <v>180</v>
      </c>
      <c r="O2615" s="60" t="n">
        <v>270</v>
      </c>
    </row>
    <row r="2616" customFormat="false" ht="15" hidden="false" customHeight="false" outlineLevel="0" collapsed="false">
      <c r="A2616" s="0" t="n">
        <v>3</v>
      </c>
      <c r="B2616" s="59" t="n">
        <v>46235</v>
      </c>
      <c r="C2616" s="0" t="n">
        <v>6</v>
      </c>
      <c r="D2616" s="0" t="s">
        <v>2125</v>
      </c>
      <c r="E2616" s="0" t="n">
        <v>42</v>
      </c>
      <c r="F2616" s="0" t="s">
        <v>81</v>
      </c>
      <c r="I2616" s="0" t="n">
        <v>4448</v>
      </c>
      <c r="J2616" s="0" t="n">
        <v>109791</v>
      </c>
      <c r="K2616" s="0" t="n">
        <v>9667</v>
      </c>
      <c r="L2616" s="0" t="s">
        <v>2123</v>
      </c>
      <c r="N2616" s="0" t="n">
        <v>16</v>
      </c>
      <c r="O2616" s="60" t="n">
        <v>40</v>
      </c>
    </row>
    <row r="2617" customFormat="false" ht="15" hidden="false" customHeight="false" outlineLevel="0" collapsed="false">
      <c r="A2617" s="0" t="n">
        <v>3</v>
      </c>
      <c r="B2617" s="59" t="n">
        <v>46235</v>
      </c>
      <c r="C2617" s="0" t="n">
        <v>6</v>
      </c>
      <c r="D2617" s="0" t="s">
        <v>2125</v>
      </c>
      <c r="E2617" s="0" t="n">
        <v>42</v>
      </c>
      <c r="F2617" s="0" t="s">
        <v>81</v>
      </c>
      <c r="I2617" s="0" t="n">
        <v>4448</v>
      </c>
      <c r="J2617" s="0" t="n">
        <v>37359</v>
      </c>
      <c r="K2617" s="0" t="n">
        <v>55526</v>
      </c>
      <c r="L2617" s="0" t="s">
        <v>2194</v>
      </c>
      <c r="N2617" s="0" t="n">
        <v>8</v>
      </c>
      <c r="O2617" s="60" t="n">
        <v>40</v>
      </c>
    </row>
    <row r="2618" customFormat="false" ht="15" hidden="false" customHeight="false" outlineLevel="0" collapsed="false">
      <c r="A2618" s="0" t="n">
        <v>3</v>
      </c>
      <c r="B2618" s="59" t="n">
        <v>46235</v>
      </c>
      <c r="C2618" s="0" t="n">
        <v>6</v>
      </c>
      <c r="D2618" s="0" t="s">
        <v>2125</v>
      </c>
      <c r="E2618" s="0" t="n">
        <v>42</v>
      </c>
      <c r="F2618" s="0" t="s">
        <v>81</v>
      </c>
      <c r="I2618" s="0" t="n">
        <v>4448</v>
      </c>
      <c r="J2618" s="0" t="n">
        <v>37361</v>
      </c>
      <c r="K2618" s="0" t="n">
        <v>2240817</v>
      </c>
      <c r="L2618" s="0" t="s">
        <v>2124</v>
      </c>
      <c r="N2618" s="0" t="n">
        <v>100</v>
      </c>
      <c r="O2618" s="60" t="n">
        <v>200</v>
      </c>
    </row>
    <row r="2619" customFormat="false" ht="15" hidden="false" customHeight="false" outlineLevel="0" collapsed="false">
      <c r="A2619" s="0" t="n">
        <v>3</v>
      </c>
      <c r="B2619" s="59" t="n">
        <v>46235</v>
      </c>
      <c r="C2619" s="0" t="n">
        <v>6</v>
      </c>
      <c r="D2619" s="0" t="s">
        <v>2125</v>
      </c>
      <c r="E2619" s="0" t="n">
        <v>42</v>
      </c>
      <c r="F2619" s="0" t="s">
        <v>81</v>
      </c>
      <c r="I2619" s="0" t="n">
        <v>4449</v>
      </c>
      <c r="J2619" s="0" t="n">
        <v>100103</v>
      </c>
      <c r="K2619" s="0" t="n">
        <v>104</v>
      </c>
      <c r="L2619" s="0" t="s">
        <v>2193</v>
      </c>
      <c r="N2619" s="0" t="n">
        <v>40</v>
      </c>
      <c r="O2619" s="60" t="n">
        <v>250</v>
      </c>
    </row>
    <row r="2620" customFormat="false" ht="15" hidden="false" customHeight="false" outlineLevel="0" collapsed="false">
      <c r="A2620" s="0" t="n">
        <v>3</v>
      </c>
      <c r="B2620" s="59" t="n">
        <v>46235</v>
      </c>
      <c r="C2620" s="0" t="n">
        <v>6</v>
      </c>
      <c r="D2620" s="0" t="s">
        <v>2125</v>
      </c>
      <c r="E2620" s="0" t="n">
        <v>42</v>
      </c>
      <c r="F2620" s="0" t="s">
        <v>81</v>
      </c>
      <c r="I2620" s="0" t="n">
        <v>4450</v>
      </c>
      <c r="J2620" s="0" t="n">
        <v>100112</v>
      </c>
      <c r="K2620" s="0" t="n">
        <v>113</v>
      </c>
      <c r="L2620" s="0" t="s">
        <v>2263</v>
      </c>
      <c r="N2620" s="0" t="n">
        <v>27.495</v>
      </c>
      <c r="O2620" s="60" t="n">
        <v>109.72</v>
      </c>
    </row>
    <row r="2621" customFormat="false" ht="15" hidden="false" customHeight="false" outlineLevel="0" collapsed="false">
      <c r="A2621" s="0" t="n">
        <v>3</v>
      </c>
      <c r="B2621" s="59" t="n">
        <v>46235</v>
      </c>
      <c r="C2621" s="0" t="n">
        <v>6</v>
      </c>
      <c r="D2621" s="0" t="s">
        <v>2125</v>
      </c>
      <c r="E2621" s="0" t="n">
        <v>42</v>
      </c>
      <c r="F2621" s="0" t="s">
        <v>81</v>
      </c>
      <c r="I2621" s="0" t="n">
        <v>4450</v>
      </c>
      <c r="J2621" s="0" t="n">
        <v>100140</v>
      </c>
      <c r="K2621" s="0" t="n">
        <v>141</v>
      </c>
      <c r="L2621" s="0" t="s">
        <v>2192</v>
      </c>
      <c r="N2621" s="0" t="n">
        <v>0.234</v>
      </c>
      <c r="O2621" s="60" t="n">
        <v>18.72</v>
      </c>
    </row>
    <row r="2622" customFormat="false" ht="15" hidden="false" customHeight="false" outlineLevel="0" collapsed="false">
      <c r="A2622" s="0" t="n">
        <v>3</v>
      </c>
      <c r="B2622" s="59" t="n">
        <v>46236</v>
      </c>
      <c r="C2622" s="0" t="n">
        <v>1</v>
      </c>
      <c r="D2622" s="0" t="s">
        <v>2118</v>
      </c>
      <c r="E2622" s="0" t="n">
        <v>978</v>
      </c>
      <c r="F2622" s="0" t="s">
        <v>184</v>
      </c>
      <c r="I2622" s="0" t="n">
        <v>407</v>
      </c>
      <c r="J2622" s="0" t="n">
        <v>61368</v>
      </c>
      <c r="K2622" s="0" t="n">
        <v>2257907</v>
      </c>
      <c r="L2622" s="0" t="s">
        <v>2645</v>
      </c>
      <c r="N2622" s="0" t="n">
        <v>10</v>
      </c>
      <c r="O2622" s="60" t="n">
        <v>70</v>
      </c>
    </row>
    <row r="2623" customFormat="false" ht="15" hidden="false" customHeight="false" outlineLevel="0" collapsed="false">
      <c r="A2623" s="0" t="n">
        <v>3</v>
      </c>
      <c r="B2623" s="59" t="n">
        <v>46236</v>
      </c>
      <c r="C2623" s="0" t="n">
        <v>1</v>
      </c>
      <c r="D2623" s="0" t="s">
        <v>2118</v>
      </c>
      <c r="E2623" s="0" t="n">
        <v>978</v>
      </c>
      <c r="F2623" s="0" t="s">
        <v>184</v>
      </c>
      <c r="I2623" s="0" t="n">
        <v>407</v>
      </c>
      <c r="J2623" s="0" t="n">
        <v>61378</v>
      </c>
      <c r="K2623" s="0" t="n">
        <v>2257914</v>
      </c>
      <c r="L2623" s="0" t="s">
        <v>2646</v>
      </c>
      <c r="N2623" s="0" t="n">
        <v>30</v>
      </c>
      <c r="O2623" s="60" t="n">
        <v>255</v>
      </c>
    </row>
    <row r="2624" customFormat="false" ht="15" hidden="false" customHeight="false" outlineLevel="0" collapsed="false">
      <c r="A2624" s="0" t="n">
        <v>3</v>
      </c>
      <c r="B2624" s="59" t="n">
        <v>46236</v>
      </c>
      <c r="C2624" s="0" t="n">
        <v>1</v>
      </c>
      <c r="D2624" s="0" t="s">
        <v>2118</v>
      </c>
      <c r="E2624" s="0" t="n">
        <v>978</v>
      </c>
      <c r="F2624" s="0" t="s">
        <v>184</v>
      </c>
      <c r="I2624" s="0" t="n">
        <v>407</v>
      </c>
      <c r="J2624" s="0" t="n">
        <v>61379</v>
      </c>
      <c r="K2624" s="0" t="n">
        <v>2257921</v>
      </c>
      <c r="L2624" s="0" t="s">
        <v>2647</v>
      </c>
      <c r="N2624" s="0" t="n">
        <v>5</v>
      </c>
      <c r="O2624" s="60" t="n">
        <v>46</v>
      </c>
    </row>
    <row r="2625" customFormat="false" ht="15" hidden="false" customHeight="false" outlineLevel="0" collapsed="false">
      <c r="A2625" s="0" t="n">
        <v>3</v>
      </c>
      <c r="B2625" s="59" t="n">
        <v>46236</v>
      </c>
      <c r="C2625" s="0" t="n">
        <v>1</v>
      </c>
      <c r="D2625" s="0" t="s">
        <v>2118</v>
      </c>
      <c r="E2625" s="0" t="n">
        <v>978</v>
      </c>
      <c r="F2625" s="0" t="s">
        <v>184</v>
      </c>
      <c r="I2625" s="0" t="n">
        <v>407</v>
      </c>
      <c r="J2625" s="0" t="n">
        <v>62178</v>
      </c>
      <c r="K2625" s="0" t="n">
        <v>144599</v>
      </c>
      <c r="L2625" s="0" t="s">
        <v>2648</v>
      </c>
      <c r="N2625" s="0" t="n">
        <v>5</v>
      </c>
      <c r="O2625" s="60" t="n">
        <v>65</v>
      </c>
    </row>
    <row r="2626" customFormat="false" ht="15" hidden="false" customHeight="false" outlineLevel="0" collapsed="false">
      <c r="A2626" s="0" t="n">
        <v>3</v>
      </c>
      <c r="B2626" s="59" t="n">
        <v>46237</v>
      </c>
      <c r="C2626" s="0" t="n">
        <v>6</v>
      </c>
      <c r="D2626" s="0" t="s">
        <v>2125</v>
      </c>
      <c r="E2626" s="0" t="n">
        <v>42</v>
      </c>
      <c r="F2626" s="0" t="s">
        <v>81</v>
      </c>
      <c r="I2626" s="0" t="n">
        <v>4451</v>
      </c>
      <c r="J2626" s="0" t="n">
        <v>72679</v>
      </c>
      <c r="K2626" s="0" t="n">
        <v>246</v>
      </c>
      <c r="L2626" s="0" t="s">
        <v>2195</v>
      </c>
      <c r="N2626" s="0" t="n">
        <v>20</v>
      </c>
      <c r="O2626" s="60" t="n">
        <v>280</v>
      </c>
    </row>
    <row r="2627" customFormat="false" ht="15" hidden="false" customHeight="false" outlineLevel="0" collapsed="false">
      <c r="A2627" s="0" t="n">
        <v>3</v>
      </c>
      <c r="B2627" s="59" t="n">
        <v>46237</v>
      </c>
      <c r="C2627" s="0" t="n">
        <v>6</v>
      </c>
      <c r="D2627" s="0" t="s">
        <v>2125</v>
      </c>
      <c r="E2627" s="0" t="n">
        <v>42</v>
      </c>
      <c r="F2627" s="0" t="s">
        <v>81</v>
      </c>
      <c r="I2627" s="0" t="n">
        <v>4452</v>
      </c>
      <c r="J2627" s="0" t="n">
        <v>37361</v>
      </c>
      <c r="K2627" s="0" t="n">
        <v>2240817</v>
      </c>
      <c r="L2627" s="0" t="s">
        <v>2124</v>
      </c>
      <c r="N2627" s="0" t="n">
        <v>50</v>
      </c>
      <c r="O2627" s="60" t="n">
        <v>100</v>
      </c>
    </row>
    <row r="2628" customFormat="false" ht="15" hidden="false" customHeight="false" outlineLevel="0" collapsed="false">
      <c r="A2628" s="0" t="n">
        <v>3</v>
      </c>
      <c r="B2628" s="59" t="n">
        <v>46237</v>
      </c>
      <c r="C2628" s="0" t="n">
        <v>6</v>
      </c>
      <c r="D2628" s="0" t="s">
        <v>2125</v>
      </c>
      <c r="E2628" s="0" t="n">
        <v>42</v>
      </c>
      <c r="F2628" s="0" t="s">
        <v>81</v>
      </c>
      <c r="I2628" s="0" t="n">
        <v>4453</v>
      </c>
      <c r="J2628" s="0" t="n">
        <v>100103</v>
      </c>
      <c r="K2628" s="0" t="n">
        <v>104</v>
      </c>
      <c r="L2628" s="0" t="s">
        <v>2193</v>
      </c>
      <c r="N2628" s="0" t="n">
        <v>20</v>
      </c>
      <c r="O2628" s="60" t="n">
        <v>125</v>
      </c>
    </row>
    <row r="2629" customFormat="false" ht="15" hidden="false" customHeight="false" outlineLevel="0" collapsed="false">
      <c r="A2629" s="0" t="n">
        <v>3</v>
      </c>
      <c r="B2629" s="59" t="n">
        <v>46237</v>
      </c>
      <c r="C2629" s="0" t="n">
        <v>11</v>
      </c>
      <c r="D2629" s="0" t="s">
        <v>2126</v>
      </c>
      <c r="E2629" s="0" t="n">
        <v>10096</v>
      </c>
      <c r="F2629" s="0" t="s">
        <v>1235</v>
      </c>
      <c r="I2629" s="0" t="n">
        <v>110</v>
      </c>
      <c r="J2629" s="0" t="n">
        <v>61580</v>
      </c>
      <c r="K2629" s="0" t="n">
        <v>2258157</v>
      </c>
      <c r="L2629" s="0" t="s">
        <v>3008</v>
      </c>
      <c r="N2629" s="0" t="n">
        <v>15</v>
      </c>
      <c r="O2629" s="60" t="n">
        <v>180</v>
      </c>
    </row>
    <row r="2630" customFormat="false" ht="15" hidden="false" customHeight="false" outlineLevel="0" collapsed="false">
      <c r="A2630" s="0" t="n">
        <v>3</v>
      </c>
      <c r="B2630" s="59" t="n">
        <v>46237</v>
      </c>
      <c r="C2630" s="0" t="n">
        <v>11</v>
      </c>
      <c r="D2630" s="0" t="s">
        <v>2126</v>
      </c>
      <c r="E2630" s="0" t="n">
        <v>1828</v>
      </c>
      <c r="F2630" s="0" t="s">
        <v>280</v>
      </c>
      <c r="I2630" s="0" t="n">
        <v>1411</v>
      </c>
      <c r="J2630" s="0" t="n">
        <v>40034</v>
      </c>
      <c r="K2630" s="0" t="n">
        <v>742832367370</v>
      </c>
      <c r="L2630" s="0" t="s">
        <v>3333</v>
      </c>
      <c r="N2630" s="0" t="n">
        <v>20</v>
      </c>
      <c r="O2630" s="60" t="n">
        <v>107.6</v>
      </c>
    </row>
    <row r="2631" customFormat="false" ht="15" hidden="false" customHeight="false" outlineLevel="0" collapsed="false">
      <c r="A2631" s="0" t="n">
        <v>3</v>
      </c>
      <c r="B2631" s="59" t="n">
        <v>46237</v>
      </c>
      <c r="C2631" s="0" t="n">
        <v>11</v>
      </c>
      <c r="D2631" s="0" t="s">
        <v>2126</v>
      </c>
      <c r="E2631" s="0" t="n">
        <v>1828</v>
      </c>
      <c r="F2631" s="0" t="s">
        <v>280</v>
      </c>
      <c r="I2631" s="0" t="n">
        <v>1411</v>
      </c>
      <c r="J2631" s="0" t="n">
        <v>14247</v>
      </c>
      <c r="K2631" s="0" t="n">
        <v>2229416</v>
      </c>
      <c r="L2631" s="0" t="s">
        <v>2247</v>
      </c>
      <c r="N2631" s="0" t="n">
        <v>40</v>
      </c>
      <c r="O2631" s="60" t="n">
        <v>232</v>
      </c>
    </row>
    <row r="2632" customFormat="false" ht="15" hidden="false" customHeight="false" outlineLevel="0" collapsed="false">
      <c r="A2632" s="0" t="n">
        <v>3</v>
      </c>
      <c r="B2632" s="59" t="n">
        <v>46237</v>
      </c>
      <c r="C2632" s="0" t="n">
        <v>11</v>
      </c>
      <c r="D2632" s="0" t="s">
        <v>2126</v>
      </c>
      <c r="E2632" s="0" t="n">
        <v>1828</v>
      </c>
      <c r="F2632" s="0" t="s">
        <v>280</v>
      </c>
      <c r="I2632" s="0" t="n">
        <v>1411</v>
      </c>
      <c r="J2632" s="0" t="n">
        <v>14248</v>
      </c>
      <c r="K2632" s="0" t="n">
        <v>2229423</v>
      </c>
      <c r="L2632" s="0" t="s">
        <v>2248</v>
      </c>
      <c r="N2632" s="0" t="n">
        <v>35</v>
      </c>
      <c r="O2632" s="60" t="n">
        <v>246.7</v>
      </c>
    </row>
    <row r="2633" customFormat="false" ht="15" hidden="false" customHeight="false" outlineLevel="0" collapsed="false">
      <c r="A2633" s="0" t="n">
        <v>3</v>
      </c>
      <c r="B2633" s="59" t="n">
        <v>46237</v>
      </c>
      <c r="C2633" s="0" t="n">
        <v>11</v>
      </c>
      <c r="D2633" s="0" t="s">
        <v>2126</v>
      </c>
      <c r="E2633" s="0" t="n">
        <v>1828</v>
      </c>
      <c r="F2633" s="0" t="s">
        <v>280</v>
      </c>
      <c r="I2633" s="0" t="n">
        <v>1411</v>
      </c>
      <c r="J2633" s="0" t="n">
        <v>20541</v>
      </c>
      <c r="K2633" s="0" t="n">
        <v>2232829</v>
      </c>
      <c r="L2633" s="0" t="s">
        <v>2249</v>
      </c>
      <c r="N2633" s="0" t="n">
        <v>30</v>
      </c>
      <c r="O2633" s="60" t="n">
        <v>281.4</v>
      </c>
    </row>
    <row r="2634" customFormat="false" ht="15" hidden="false" customHeight="false" outlineLevel="0" collapsed="false">
      <c r="A2634" s="0" t="n">
        <v>3</v>
      </c>
      <c r="B2634" s="59" t="n">
        <v>46237</v>
      </c>
      <c r="C2634" s="0" t="n">
        <v>11</v>
      </c>
      <c r="D2634" s="0" t="s">
        <v>2126</v>
      </c>
      <c r="E2634" s="0" t="n">
        <v>1828</v>
      </c>
      <c r="F2634" s="0" t="s">
        <v>280</v>
      </c>
      <c r="I2634" s="0" t="n">
        <v>1411</v>
      </c>
      <c r="J2634" s="0" t="n">
        <v>81207</v>
      </c>
      <c r="K2634" s="0" t="n">
        <v>812085</v>
      </c>
      <c r="L2634" s="0" t="s">
        <v>3334</v>
      </c>
      <c r="N2634" s="0" t="n">
        <v>10</v>
      </c>
      <c r="O2634" s="60" t="n">
        <v>40</v>
      </c>
    </row>
    <row r="2635" customFormat="false" ht="15" hidden="false" customHeight="false" outlineLevel="0" collapsed="false">
      <c r="A2635" s="0" t="n">
        <v>3</v>
      </c>
      <c r="B2635" s="59" t="n">
        <v>46237</v>
      </c>
      <c r="C2635" s="0" t="n">
        <v>11</v>
      </c>
      <c r="D2635" s="0" t="s">
        <v>2126</v>
      </c>
      <c r="E2635" s="0" t="n">
        <v>1625</v>
      </c>
      <c r="F2635" s="0" t="s">
        <v>322</v>
      </c>
      <c r="I2635" s="0" t="n">
        <v>14912</v>
      </c>
      <c r="J2635" s="0" t="n">
        <v>29079</v>
      </c>
      <c r="K2635" s="0" t="n">
        <v>55515</v>
      </c>
      <c r="L2635" s="0" t="s">
        <v>2213</v>
      </c>
      <c r="N2635" s="0" t="n">
        <v>57.8</v>
      </c>
      <c r="O2635" s="60" t="n">
        <v>1849.6</v>
      </c>
    </row>
    <row r="2636" customFormat="false" ht="15" hidden="false" customHeight="false" outlineLevel="0" collapsed="false">
      <c r="A2636" s="0" t="n">
        <v>3</v>
      </c>
      <c r="B2636" s="59" t="n">
        <v>46237</v>
      </c>
      <c r="C2636" s="0" t="n">
        <v>11</v>
      </c>
      <c r="D2636" s="0" t="s">
        <v>2126</v>
      </c>
      <c r="E2636" s="0" t="n">
        <v>1625</v>
      </c>
      <c r="F2636" s="0" t="s">
        <v>322</v>
      </c>
      <c r="I2636" s="0" t="n">
        <v>14912</v>
      </c>
      <c r="J2636" s="0" t="n">
        <v>29079</v>
      </c>
      <c r="K2636" s="0" t="n">
        <v>55515</v>
      </c>
      <c r="L2636" s="0" t="s">
        <v>2213</v>
      </c>
      <c r="N2636" s="0" t="n">
        <v>61</v>
      </c>
      <c r="O2636" s="60" t="n">
        <v>1952</v>
      </c>
    </row>
    <row r="2637" customFormat="false" ht="15" hidden="false" customHeight="false" outlineLevel="0" collapsed="false">
      <c r="A2637" s="0" t="n">
        <v>3</v>
      </c>
      <c r="B2637" s="59" t="n">
        <v>46237</v>
      </c>
      <c r="C2637" s="0" t="n">
        <v>11</v>
      </c>
      <c r="D2637" s="0" t="s">
        <v>2126</v>
      </c>
      <c r="E2637" s="0" t="n">
        <v>1625</v>
      </c>
      <c r="F2637" s="0" t="s">
        <v>322</v>
      </c>
      <c r="I2637" s="0" t="n">
        <v>14912</v>
      </c>
      <c r="J2637" s="0" t="n">
        <v>29079</v>
      </c>
      <c r="K2637" s="0" t="n">
        <v>55515</v>
      </c>
      <c r="L2637" s="0" t="s">
        <v>2213</v>
      </c>
      <c r="N2637" s="0" t="n">
        <v>67.4</v>
      </c>
      <c r="O2637" s="60" t="n">
        <v>2156.8</v>
      </c>
    </row>
    <row r="2638" customFormat="false" ht="15" hidden="false" customHeight="false" outlineLevel="0" collapsed="false">
      <c r="A2638" s="0" t="n">
        <v>3</v>
      </c>
      <c r="B2638" s="59" t="n">
        <v>46237</v>
      </c>
      <c r="C2638" s="0" t="n">
        <v>11</v>
      </c>
      <c r="D2638" s="0" t="s">
        <v>2126</v>
      </c>
      <c r="E2638" s="0" t="n">
        <v>1625</v>
      </c>
      <c r="F2638" s="0" t="s">
        <v>322</v>
      </c>
      <c r="I2638" s="0" t="n">
        <v>14912</v>
      </c>
      <c r="J2638" s="0" t="n">
        <v>29080</v>
      </c>
      <c r="K2638" s="0" t="n">
        <v>55516</v>
      </c>
      <c r="L2638" s="0" t="s">
        <v>2137</v>
      </c>
      <c r="N2638" s="0" t="n">
        <v>52.8</v>
      </c>
      <c r="O2638" s="60" t="n">
        <v>1188</v>
      </c>
    </row>
    <row r="2639" customFormat="false" ht="15" hidden="false" customHeight="false" outlineLevel="0" collapsed="false">
      <c r="A2639" s="0" t="n">
        <v>3</v>
      </c>
      <c r="B2639" s="59" t="n">
        <v>46237</v>
      </c>
      <c r="C2639" s="0" t="n">
        <v>11</v>
      </c>
      <c r="D2639" s="0" t="s">
        <v>2126</v>
      </c>
      <c r="E2639" s="0" t="n">
        <v>1723</v>
      </c>
      <c r="F2639" s="0" t="s">
        <v>77</v>
      </c>
      <c r="I2639" s="0" t="n">
        <v>174238</v>
      </c>
      <c r="J2639" s="0" t="n">
        <v>29079</v>
      </c>
      <c r="K2639" s="0" t="n">
        <v>55515</v>
      </c>
      <c r="L2639" s="0" t="s">
        <v>2213</v>
      </c>
      <c r="N2639" s="0" t="n">
        <v>68.55</v>
      </c>
      <c r="O2639" s="60" t="n">
        <v>2193.6</v>
      </c>
    </row>
    <row r="2640" customFormat="false" ht="15" hidden="false" customHeight="false" outlineLevel="0" collapsed="false">
      <c r="A2640" s="0" t="n">
        <v>3</v>
      </c>
      <c r="B2640" s="59" t="n">
        <v>46237</v>
      </c>
      <c r="C2640" s="0" t="n">
        <v>11</v>
      </c>
      <c r="D2640" s="0" t="s">
        <v>2126</v>
      </c>
      <c r="E2640" s="0" t="n">
        <v>1723</v>
      </c>
      <c r="F2640" s="0" t="s">
        <v>77</v>
      </c>
      <c r="I2640" s="0" t="n">
        <v>174238</v>
      </c>
      <c r="J2640" s="0" t="n">
        <v>29080</v>
      </c>
      <c r="K2640" s="0" t="n">
        <v>55516</v>
      </c>
      <c r="L2640" s="0" t="s">
        <v>2137</v>
      </c>
      <c r="N2640" s="0" t="n">
        <v>49.7</v>
      </c>
      <c r="O2640" s="60" t="n">
        <v>1093.4</v>
      </c>
    </row>
    <row r="2641" customFormat="false" ht="15" hidden="false" customHeight="false" outlineLevel="0" collapsed="false">
      <c r="A2641" s="0" t="n">
        <v>3</v>
      </c>
      <c r="B2641" s="59" t="n">
        <v>46237</v>
      </c>
      <c r="C2641" s="0" t="n">
        <v>11</v>
      </c>
      <c r="D2641" s="0" t="s">
        <v>2126</v>
      </c>
      <c r="E2641" s="0" t="n">
        <v>1621</v>
      </c>
      <c r="F2641" s="0" t="s">
        <v>308</v>
      </c>
      <c r="I2641" s="0" t="n">
        <v>935472</v>
      </c>
      <c r="J2641" s="0" t="n">
        <v>103792</v>
      </c>
      <c r="K2641" s="0" t="n">
        <v>7891149010509</v>
      </c>
      <c r="L2641" s="0" t="s">
        <v>3335</v>
      </c>
      <c r="N2641" s="0" t="n">
        <v>12</v>
      </c>
      <c r="O2641" s="60" t="n">
        <v>37.340162</v>
      </c>
    </row>
    <row r="2642" customFormat="false" ht="15" hidden="false" customHeight="false" outlineLevel="0" collapsed="false">
      <c r="A2642" s="0" t="n">
        <v>3</v>
      </c>
      <c r="B2642" s="59" t="n">
        <v>46237</v>
      </c>
      <c r="C2642" s="0" t="n">
        <v>11</v>
      </c>
      <c r="D2642" s="0" t="s">
        <v>2126</v>
      </c>
      <c r="E2642" s="0" t="n">
        <v>1621</v>
      </c>
      <c r="F2642" s="0" t="s">
        <v>308</v>
      </c>
      <c r="I2642" s="0" t="n">
        <v>935472</v>
      </c>
      <c r="J2642" s="0" t="n">
        <v>104358</v>
      </c>
      <c r="K2642" s="0" t="n">
        <v>7891149440603</v>
      </c>
      <c r="L2642" s="0" t="s">
        <v>3336</v>
      </c>
      <c r="N2642" s="0" t="n">
        <v>24</v>
      </c>
      <c r="O2642" s="60" t="n">
        <v>70.64</v>
      </c>
    </row>
    <row r="2643" customFormat="false" ht="15" hidden="false" customHeight="false" outlineLevel="0" collapsed="false">
      <c r="A2643" s="0" t="n">
        <v>3</v>
      </c>
      <c r="B2643" s="59" t="n">
        <v>46237</v>
      </c>
      <c r="C2643" s="0" t="n">
        <v>11</v>
      </c>
      <c r="D2643" s="0" t="s">
        <v>2126</v>
      </c>
      <c r="E2643" s="0" t="n">
        <v>1621</v>
      </c>
      <c r="F2643" s="0" t="s">
        <v>308</v>
      </c>
      <c r="I2643" s="0" t="n">
        <v>935472</v>
      </c>
      <c r="J2643" s="0" t="n">
        <v>16185</v>
      </c>
      <c r="K2643" s="0" t="n">
        <v>7891149103102</v>
      </c>
      <c r="L2643" s="0" t="s">
        <v>2354</v>
      </c>
      <c r="N2643" s="0" t="n">
        <v>15</v>
      </c>
      <c r="O2643" s="60" t="n">
        <v>38.880087</v>
      </c>
    </row>
    <row r="2644" customFormat="false" ht="15" hidden="false" customHeight="false" outlineLevel="0" collapsed="false">
      <c r="A2644" s="0" t="n">
        <v>3</v>
      </c>
      <c r="B2644" s="59" t="n">
        <v>46237</v>
      </c>
      <c r="C2644" s="0" t="n">
        <v>11</v>
      </c>
      <c r="D2644" s="0" t="s">
        <v>2126</v>
      </c>
      <c r="E2644" s="0" t="n">
        <v>1621</v>
      </c>
      <c r="F2644" s="0" t="s">
        <v>308</v>
      </c>
      <c r="I2644" s="0" t="n">
        <v>935472</v>
      </c>
      <c r="J2644" s="0" t="n">
        <v>31032</v>
      </c>
      <c r="K2644" s="0" t="n">
        <v>7891991002561</v>
      </c>
      <c r="L2644" s="0" t="s">
        <v>2365</v>
      </c>
      <c r="N2644" s="0" t="n">
        <v>48</v>
      </c>
      <c r="O2644" s="60" t="n">
        <v>187.2</v>
      </c>
    </row>
    <row r="2645" customFormat="false" ht="15" hidden="false" customHeight="false" outlineLevel="0" collapsed="false">
      <c r="A2645" s="0" t="n">
        <v>3</v>
      </c>
      <c r="B2645" s="59" t="n">
        <v>46237</v>
      </c>
      <c r="C2645" s="0" t="n">
        <v>11</v>
      </c>
      <c r="D2645" s="0" t="s">
        <v>2126</v>
      </c>
      <c r="E2645" s="0" t="n">
        <v>1621</v>
      </c>
      <c r="F2645" s="0" t="s">
        <v>308</v>
      </c>
      <c r="I2645" s="0" t="n">
        <v>935472</v>
      </c>
      <c r="J2645" s="0" t="n">
        <v>33355</v>
      </c>
      <c r="K2645" s="0" t="n">
        <v>7891991010177</v>
      </c>
      <c r="L2645" s="0" t="s">
        <v>3337</v>
      </c>
      <c r="N2645" s="0" t="n">
        <v>15</v>
      </c>
      <c r="O2645" s="60" t="n">
        <v>45.379916</v>
      </c>
    </row>
    <row r="2646" customFormat="false" ht="15" hidden="false" customHeight="false" outlineLevel="0" collapsed="false">
      <c r="A2646" s="0" t="n">
        <v>3</v>
      </c>
      <c r="B2646" s="59" t="n">
        <v>46237</v>
      </c>
      <c r="C2646" s="0" t="n">
        <v>11</v>
      </c>
      <c r="D2646" s="0" t="s">
        <v>2126</v>
      </c>
      <c r="E2646" s="0" t="n">
        <v>1621</v>
      </c>
      <c r="F2646" s="0" t="s">
        <v>308</v>
      </c>
      <c r="I2646" s="0" t="n">
        <v>935472</v>
      </c>
      <c r="J2646" s="0" t="n">
        <v>40755</v>
      </c>
      <c r="K2646" s="0" t="n">
        <v>7892840813505</v>
      </c>
      <c r="L2646" s="0" t="s">
        <v>3338</v>
      </c>
      <c r="N2646" s="0" t="n">
        <v>24</v>
      </c>
      <c r="O2646" s="60" t="n">
        <v>70.64</v>
      </c>
    </row>
    <row r="2647" customFormat="false" ht="15" hidden="false" customHeight="false" outlineLevel="0" collapsed="false">
      <c r="A2647" s="0" t="n">
        <v>3</v>
      </c>
      <c r="B2647" s="59" t="n">
        <v>46237</v>
      </c>
      <c r="C2647" s="0" t="n">
        <v>11</v>
      </c>
      <c r="D2647" s="0" t="s">
        <v>2126</v>
      </c>
      <c r="E2647" s="0" t="n">
        <v>1621</v>
      </c>
      <c r="F2647" s="0" t="s">
        <v>308</v>
      </c>
      <c r="I2647" s="0" t="n">
        <v>935472</v>
      </c>
      <c r="J2647" s="0" t="n">
        <v>44674</v>
      </c>
      <c r="K2647" s="0" t="n">
        <v>7891991297424</v>
      </c>
      <c r="L2647" s="0" t="s">
        <v>3339</v>
      </c>
      <c r="N2647" s="0" t="n">
        <v>12</v>
      </c>
      <c r="O2647" s="60" t="n">
        <v>53.980118</v>
      </c>
    </row>
    <row r="2648" customFormat="false" ht="15" hidden="false" customHeight="false" outlineLevel="0" collapsed="false">
      <c r="A2648" s="0" t="n">
        <v>3</v>
      </c>
      <c r="B2648" s="59" t="n">
        <v>46237</v>
      </c>
      <c r="C2648" s="0" t="n">
        <v>11</v>
      </c>
      <c r="D2648" s="0" t="s">
        <v>2126</v>
      </c>
      <c r="E2648" s="0" t="n">
        <v>1621</v>
      </c>
      <c r="F2648" s="0" t="s">
        <v>308</v>
      </c>
      <c r="I2648" s="0" t="n">
        <v>935472</v>
      </c>
      <c r="J2648" s="0" t="n">
        <v>55510</v>
      </c>
      <c r="K2648" s="0" t="n">
        <v>7891991303347</v>
      </c>
      <c r="L2648" s="0" t="s">
        <v>3340</v>
      </c>
      <c r="N2648" s="0" t="n">
        <v>8</v>
      </c>
      <c r="O2648" s="60" t="n">
        <v>27.709806</v>
      </c>
    </row>
    <row r="2649" customFormat="false" ht="15" hidden="false" customHeight="false" outlineLevel="0" collapsed="false">
      <c r="A2649" s="0" t="n">
        <v>3</v>
      </c>
      <c r="B2649" s="59" t="n">
        <v>46237</v>
      </c>
      <c r="C2649" s="0" t="n">
        <v>11</v>
      </c>
      <c r="D2649" s="0" t="s">
        <v>2126</v>
      </c>
      <c r="E2649" s="0" t="n">
        <v>1621</v>
      </c>
      <c r="F2649" s="0" t="s">
        <v>308</v>
      </c>
      <c r="I2649" s="0" t="n">
        <v>935472</v>
      </c>
      <c r="J2649" s="0" t="n">
        <v>57246</v>
      </c>
      <c r="K2649" s="0" t="n">
        <v>7892840800406</v>
      </c>
      <c r="L2649" s="0" t="s">
        <v>3341</v>
      </c>
      <c r="N2649" s="0" t="n">
        <v>12</v>
      </c>
      <c r="O2649" s="60" t="n">
        <v>41.56</v>
      </c>
    </row>
    <row r="2650" customFormat="false" ht="15" hidden="false" customHeight="false" outlineLevel="0" collapsed="false">
      <c r="A2650" s="0" t="n">
        <v>3</v>
      </c>
      <c r="B2650" s="59" t="n">
        <v>46237</v>
      </c>
      <c r="C2650" s="0" t="n">
        <v>11</v>
      </c>
      <c r="D2650" s="0" t="s">
        <v>2126</v>
      </c>
      <c r="E2650" s="0" t="n">
        <v>1621</v>
      </c>
      <c r="F2650" s="0" t="s">
        <v>308</v>
      </c>
      <c r="I2650" s="0" t="n">
        <v>935472</v>
      </c>
      <c r="J2650" s="0" t="n">
        <v>66375</v>
      </c>
      <c r="K2650" s="0" t="n">
        <v>7891991306324</v>
      </c>
      <c r="L2650" s="0" t="s">
        <v>3342</v>
      </c>
      <c r="N2650" s="0" t="n">
        <v>8</v>
      </c>
      <c r="O2650" s="60" t="n">
        <v>26.02015</v>
      </c>
    </row>
    <row r="2651" customFormat="false" ht="15" hidden="false" customHeight="false" outlineLevel="0" collapsed="false">
      <c r="A2651" s="0" t="n">
        <v>3</v>
      </c>
      <c r="B2651" s="59" t="n">
        <v>46237</v>
      </c>
      <c r="C2651" s="0" t="n">
        <v>11</v>
      </c>
      <c r="D2651" s="0" t="s">
        <v>2126</v>
      </c>
      <c r="E2651" s="0" t="n">
        <v>1621</v>
      </c>
      <c r="F2651" s="0" t="s">
        <v>308</v>
      </c>
      <c r="I2651" s="0" t="n">
        <v>935472</v>
      </c>
      <c r="J2651" s="0" t="n">
        <v>78063</v>
      </c>
      <c r="K2651" s="0" t="n">
        <v>7891149108718</v>
      </c>
      <c r="L2651" s="0" t="s">
        <v>3343</v>
      </c>
      <c r="N2651" s="0" t="n">
        <v>48</v>
      </c>
      <c r="O2651" s="60" t="n">
        <v>319.089923</v>
      </c>
    </row>
    <row r="2652" customFormat="false" ht="15" hidden="false" customHeight="false" outlineLevel="0" collapsed="false">
      <c r="A2652" s="0" t="n">
        <v>3</v>
      </c>
      <c r="B2652" s="59" t="n">
        <v>46237</v>
      </c>
      <c r="C2652" s="0" t="n">
        <v>11</v>
      </c>
      <c r="D2652" s="0" t="s">
        <v>2126</v>
      </c>
      <c r="E2652" s="0" t="n">
        <v>1621</v>
      </c>
      <c r="F2652" s="0" t="s">
        <v>308</v>
      </c>
      <c r="I2652" s="0" t="n">
        <v>935472</v>
      </c>
      <c r="J2652" s="0" t="n">
        <v>78502</v>
      </c>
      <c r="K2652" s="0" t="n">
        <v>7891991306461</v>
      </c>
      <c r="L2652" s="0" t="s">
        <v>3344</v>
      </c>
      <c r="N2652" s="0" t="n">
        <v>8</v>
      </c>
      <c r="O2652" s="60" t="n">
        <v>24.879978</v>
      </c>
    </row>
    <row r="2653" customFormat="false" ht="15" hidden="false" customHeight="false" outlineLevel="0" collapsed="false">
      <c r="A2653" s="0" t="n">
        <v>3</v>
      </c>
      <c r="B2653" s="59" t="n">
        <v>46237</v>
      </c>
      <c r="C2653" s="0" t="n">
        <v>11</v>
      </c>
      <c r="D2653" s="0" t="s">
        <v>2126</v>
      </c>
      <c r="E2653" s="0" t="n">
        <v>1608</v>
      </c>
      <c r="F2653" s="0" t="s">
        <v>42</v>
      </c>
      <c r="I2653" s="0" t="n">
        <v>1704243</v>
      </c>
      <c r="J2653" s="0" t="n">
        <v>65341</v>
      </c>
      <c r="K2653" s="0" t="n">
        <v>7892840822309</v>
      </c>
      <c r="L2653" s="0" t="s">
        <v>3067</v>
      </c>
      <c r="N2653" s="0" t="n">
        <v>56</v>
      </c>
      <c r="O2653" s="60" t="n">
        <v>166.32</v>
      </c>
    </row>
    <row r="2654" customFormat="false" ht="15" hidden="false" customHeight="false" outlineLevel="0" collapsed="false">
      <c r="A2654" s="0" t="n">
        <v>3</v>
      </c>
      <c r="B2654" s="59" t="n">
        <v>46237</v>
      </c>
      <c r="C2654" s="0" t="n">
        <v>11</v>
      </c>
      <c r="D2654" s="0" t="s">
        <v>2126</v>
      </c>
      <c r="E2654" s="0" t="n">
        <v>1636</v>
      </c>
      <c r="F2654" s="0" t="s">
        <v>50</v>
      </c>
      <c r="I2654" s="0" t="n">
        <v>3229254</v>
      </c>
      <c r="J2654" s="0" t="n">
        <v>104602</v>
      </c>
      <c r="K2654" s="0" t="n">
        <v>7891104393104</v>
      </c>
      <c r="L2654" s="0" t="s">
        <v>3345</v>
      </c>
      <c r="N2654" s="0" t="n">
        <v>12</v>
      </c>
      <c r="O2654" s="60" t="n">
        <v>40.76</v>
      </c>
    </row>
    <row r="2655" customFormat="false" ht="15" hidden="false" customHeight="false" outlineLevel="0" collapsed="false">
      <c r="A2655" s="0" t="n">
        <v>3</v>
      </c>
      <c r="B2655" s="59" t="n">
        <v>46237</v>
      </c>
      <c r="C2655" s="0" t="n">
        <v>11</v>
      </c>
      <c r="D2655" s="0" t="s">
        <v>2126</v>
      </c>
      <c r="E2655" s="0" t="n">
        <v>1636</v>
      </c>
      <c r="F2655" s="0" t="s">
        <v>50</v>
      </c>
      <c r="I2655" s="0" t="n">
        <v>3229254</v>
      </c>
      <c r="J2655" s="0" t="n">
        <v>19094</v>
      </c>
      <c r="K2655" s="0" t="n">
        <v>7891152342017</v>
      </c>
      <c r="L2655" s="0" t="s">
        <v>3346</v>
      </c>
      <c r="N2655" s="0" t="n">
        <v>12</v>
      </c>
      <c r="O2655" s="60" t="n">
        <v>21.02</v>
      </c>
    </row>
    <row r="2656" customFormat="false" ht="15" hidden="false" customHeight="false" outlineLevel="0" collapsed="false">
      <c r="A2656" s="0" t="n">
        <v>3</v>
      </c>
      <c r="B2656" s="59" t="n">
        <v>46237</v>
      </c>
      <c r="C2656" s="0" t="n">
        <v>11</v>
      </c>
      <c r="D2656" s="0" t="s">
        <v>2126</v>
      </c>
      <c r="E2656" s="0" t="n">
        <v>1636</v>
      </c>
      <c r="F2656" s="0" t="s">
        <v>50</v>
      </c>
      <c r="I2656" s="0" t="n">
        <v>3229254</v>
      </c>
      <c r="J2656" s="0" t="n">
        <v>21158</v>
      </c>
      <c r="K2656" s="0" t="n">
        <v>7891152342123</v>
      </c>
      <c r="L2656" s="0" t="s">
        <v>3347</v>
      </c>
      <c r="N2656" s="0" t="n">
        <v>12</v>
      </c>
      <c r="O2656" s="60" t="n">
        <v>21.02</v>
      </c>
    </row>
    <row r="2657" customFormat="false" ht="15" hidden="false" customHeight="false" outlineLevel="0" collapsed="false">
      <c r="A2657" s="0" t="n">
        <v>3</v>
      </c>
      <c r="B2657" s="59" t="n">
        <v>46237</v>
      </c>
      <c r="C2657" s="0" t="n">
        <v>11</v>
      </c>
      <c r="D2657" s="0" t="s">
        <v>2126</v>
      </c>
      <c r="E2657" s="0" t="n">
        <v>1636</v>
      </c>
      <c r="F2657" s="0" t="s">
        <v>50</v>
      </c>
      <c r="I2657" s="0" t="n">
        <v>3229254</v>
      </c>
      <c r="J2657" s="0" t="n">
        <v>21159</v>
      </c>
      <c r="K2657" s="0" t="n">
        <v>7891152342116</v>
      </c>
      <c r="L2657" s="0" t="s">
        <v>3348</v>
      </c>
      <c r="N2657" s="0" t="n">
        <v>12</v>
      </c>
      <c r="O2657" s="60" t="n">
        <v>21.02</v>
      </c>
    </row>
    <row r="2658" customFormat="false" ht="15" hidden="false" customHeight="false" outlineLevel="0" collapsed="false">
      <c r="A2658" s="0" t="n">
        <v>3</v>
      </c>
      <c r="B2658" s="59" t="n">
        <v>46237</v>
      </c>
      <c r="C2658" s="0" t="n">
        <v>11</v>
      </c>
      <c r="D2658" s="0" t="s">
        <v>2126</v>
      </c>
      <c r="E2658" s="0" t="n">
        <v>1636</v>
      </c>
      <c r="F2658" s="0" t="s">
        <v>50</v>
      </c>
      <c r="I2658" s="0" t="n">
        <v>3229254</v>
      </c>
      <c r="J2658" s="0" t="n">
        <v>21160</v>
      </c>
      <c r="K2658" s="0" t="n">
        <v>7891152342031</v>
      </c>
      <c r="L2658" s="0" t="s">
        <v>3349</v>
      </c>
      <c r="N2658" s="0" t="n">
        <v>12</v>
      </c>
      <c r="O2658" s="60" t="n">
        <v>21.02</v>
      </c>
    </row>
    <row r="2659" customFormat="false" ht="15" hidden="false" customHeight="false" outlineLevel="0" collapsed="false">
      <c r="A2659" s="0" t="n">
        <v>3</v>
      </c>
      <c r="B2659" s="59" t="n">
        <v>46237</v>
      </c>
      <c r="C2659" s="0" t="n">
        <v>11</v>
      </c>
      <c r="D2659" s="0" t="s">
        <v>2126</v>
      </c>
      <c r="E2659" s="0" t="n">
        <v>1636</v>
      </c>
      <c r="F2659" s="0" t="s">
        <v>50</v>
      </c>
      <c r="I2659" s="0" t="n">
        <v>3229254</v>
      </c>
      <c r="J2659" s="0" t="n">
        <v>24761</v>
      </c>
      <c r="K2659" s="0" t="n">
        <v>7891152340419</v>
      </c>
      <c r="L2659" s="0" t="s">
        <v>3350</v>
      </c>
      <c r="N2659" s="0" t="n">
        <v>30</v>
      </c>
      <c r="O2659" s="60" t="n">
        <v>77.3</v>
      </c>
    </row>
    <row r="2660" customFormat="false" ht="15" hidden="false" customHeight="false" outlineLevel="0" collapsed="false">
      <c r="A2660" s="0" t="n">
        <v>3</v>
      </c>
      <c r="B2660" s="59" t="n">
        <v>46237</v>
      </c>
      <c r="C2660" s="0" t="n">
        <v>11</v>
      </c>
      <c r="D2660" s="0" t="s">
        <v>2126</v>
      </c>
      <c r="E2660" s="0" t="n">
        <v>1636</v>
      </c>
      <c r="F2660" s="0" t="s">
        <v>50</v>
      </c>
      <c r="I2660" s="0" t="n">
        <v>3229254</v>
      </c>
      <c r="J2660" s="0" t="n">
        <v>24762</v>
      </c>
      <c r="K2660" s="0" t="n">
        <v>7891152340433</v>
      </c>
      <c r="L2660" s="0" t="s">
        <v>3351</v>
      </c>
      <c r="N2660" s="0" t="n">
        <v>30</v>
      </c>
      <c r="O2660" s="60" t="n">
        <v>77.3</v>
      </c>
    </row>
    <row r="2661" customFormat="false" ht="15" hidden="false" customHeight="false" outlineLevel="0" collapsed="false">
      <c r="A2661" s="0" t="n">
        <v>3</v>
      </c>
      <c r="B2661" s="59" t="n">
        <v>46237</v>
      </c>
      <c r="C2661" s="0" t="n">
        <v>11</v>
      </c>
      <c r="D2661" s="0" t="s">
        <v>2126</v>
      </c>
      <c r="E2661" s="0" t="n">
        <v>1636</v>
      </c>
      <c r="F2661" s="0" t="s">
        <v>50</v>
      </c>
      <c r="I2661" s="0" t="n">
        <v>3229254</v>
      </c>
      <c r="J2661" s="0" t="n">
        <v>29112</v>
      </c>
      <c r="K2661" s="0" t="n">
        <v>7891152800517</v>
      </c>
      <c r="L2661" s="0" t="s">
        <v>3352</v>
      </c>
      <c r="N2661" s="0" t="n">
        <v>30</v>
      </c>
      <c r="O2661" s="60" t="n">
        <v>90.22</v>
      </c>
    </row>
    <row r="2662" customFormat="false" ht="15" hidden="false" customHeight="false" outlineLevel="0" collapsed="false">
      <c r="A2662" s="0" t="n">
        <v>3</v>
      </c>
      <c r="B2662" s="59" t="n">
        <v>46237</v>
      </c>
      <c r="C2662" s="0" t="n">
        <v>11</v>
      </c>
      <c r="D2662" s="0" t="s">
        <v>2126</v>
      </c>
      <c r="E2662" s="0" t="n">
        <v>1636</v>
      </c>
      <c r="F2662" s="0" t="s">
        <v>50</v>
      </c>
      <c r="I2662" s="0" t="n">
        <v>3229254</v>
      </c>
      <c r="J2662" s="0" t="n">
        <v>36033</v>
      </c>
      <c r="K2662" s="0" t="n">
        <v>7891152800951</v>
      </c>
      <c r="L2662" s="0" t="s">
        <v>3353</v>
      </c>
      <c r="N2662" s="0" t="n">
        <v>30</v>
      </c>
      <c r="O2662" s="60" t="n">
        <v>87.49</v>
      </c>
    </row>
    <row r="2663" customFormat="false" ht="15" hidden="false" customHeight="false" outlineLevel="0" collapsed="false">
      <c r="A2663" s="0" t="n">
        <v>3</v>
      </c>
      <c r="B2663" s="59" t="n">
        <v>46237</v>
      </c>
      <c r="C2663" s="0" t="n">
        <v>11</v>
      </c>
      <c r="D2663" s="0" t="s">
        <v>2126</v>
      </c>
      <c r="E2663" s="0" t="n">
        <v>1636</v>
      </c>
      <c r="F2663" s="0" t="s">
        <v>50</v>
      </c>
      <c r="I2663" s="0" t="n">
        <v>3229254</v>
      </c>
      <c r="J2663" s="0" t="n">
        <v>36034</v>
      </c>
      <c r="K2663" s="0" t="n">
        <v>7891152800937</v>
      </c>
      <c r="L2663" s="0" t="s">
        <v>3354</v>
      </c>
      <c r="N2663" s="0" t="n">
        <v>30</v>
      </c>
      <c r="O2663" s="60" t="n">
        <v>87.49</v>
      </c>
    </row>
    <row r="2664" customFormat="false" ht="15" hidden="false" customHeight="false" outlineLevel="0" collapsed="false">
      <c r="A2664" s="0" t="n">
        <v>3</v>
      </c>
      <c r="B2664" s="59" t="n">
        <v>46237</v>
      </c>
      <c r="C2664" s="0" t="n">
        <v>11</v>
      </c>
      <c r="D2664" s="0" t="s">
        <v>2126</v>
      </c>
      <c r="E2664" s="0" t="n">
        <v>1636</v>
      </c>
      <c r="F2664" s="0" t="s">
        <v>50</v>
      </c>
      <c r="I2664" s="0" t="n">
        <v>3229254</v>
      </c>
      <c r="J2664" s="0" t="n">
        <v>36225</v>
      </c>
      <c r="K2664" s="0" t="n">
        <v>7891152800968</v>
      </c>
      <c r="L2664" s="0" t="s">
        <v>3355</v>
      </c>
      <c r="N2664" s="0" t="n">
        <v>30</v>
      </c>
      <c r="O2664" s="60" t="n">
        <v>87.49</v>
      </c>
    </row>
    <row r="2665" customFormat="false" ht="15" hidden="false" customHeight="false" outlineLevel="0" collapsed="false">
      <c r="A2665" s="0" t="n">
        <v>3</v>
      </c>
      <c r="B2665" s="59" t="n">
        <v>46237</v>
      </c>
      <c r="C2665" s="0" t="n">
        <v>11</v>
      </c>
      <c r="D2665" s="0" t="s">
        <v>2126</v>
      </c>
      <c r="E2665" s="0" t="n">
        <v>1636</v>
      </c>
      <c r="F2665" s="0" t="s">
        <v>50</v>
      </c>
      <c r="I2665" s="0" t="n">
        <v>3229254</v>
      </c>
      <c r="J2665" s="0" t="n">
        <v>39867</v>
      </c>
      <c r="K2665" s="0" t="n">
        <v>7891152800746</v>
      </c>
      <c r="L2665" s="0" t="s">
        <v>3356</v>
      </c>
      <c r="N2665" s="0" t="n">
        <v>30</v>
      </c>
      <c r="O2665" s="60" t="n">
        <v>63.86</v>
      </c>
    </row>
    <row r="2666" customFormat="false" ht="15" hidden="false" customHeight="false" outlineLevel="0" collapsed="false">
      <c r="A2666" s="0" t="n">
        <v>3</v>
      </c>
      <c r="B2666" s="59" t="n">
        <v>46237</v>
      </c>
      <c r="C2666" s="0" t="n">
        <v>11</v>
      </c>
      <c r="D2666" s="0" t="s">
        <v>2126</v>
      </c>
      <c r="E2666" s="0" t="n">
        <v>1636</v>
      </c>
      <c r="F2666" s="0" t="s">
        <v>50</v>
      </c>
      <c r="I2666" s="0" t="n">
        <v>3229254</v>
      </c>
      <c r="J2666" s="0" t="n">
        <v>41566</v>
      </c>
      <c r="K2666" s="0" t="n">
        <v>7891152800753</v>
      </c>
      <c r="L2666" s="0" t="s">
        <v>3357</v>
      </c>
      <c r="N2666" s="0" t="n">
        <v>30</v>
      </c>
      <c r="O2666" s="60" t="n">
        <v>63.86</v>
      </c>
    </row>
    <row r="2667" customFormat="false" ht="15" hidden="false" customHeight="false" outlineLevel="0" collapsed="false">
      <c r="A2667" s="0" t="n">
        <v>3</v>
      </c>
      <c r="B2667" s="59" t="n">
        <v>46237</v>
      </c>
      <c r="C2667" s="0" t="n">
        <v>11</v>
      </c>
      <c r="D2667" s="0" t="s">
        <v>2126</v>
      </c>
      <c r="E2667" s="0" t="n">
        <v>1636</v>
      </c>
      <c r="F2667" s="0" t="s">
        <v>50</v>
      </c>
      <c r="I2667" s="0" t="n">
        <v>3229254</v>
      </c>
      <c r="J2667" s="0" t="n">
        <v>41919</v>
      </c>
      <c r="K2667" s="0" t="n">
        <v>7891152801354</v>
      </c>
      <c r="L2667" s="0" t="s">
        <v>3358</v>
      </c>
      <c r="N2667" s="0" t="n">
        <v>30</v>
      </c>
      <c r="O2667" s="60" t="n">
        <v>59.67</v>
      </c>
    </row>
    <row r="2668" customFormat="false" ht="15" hidden="false" customHeight="false" outlineLevel="0" collapsed="false">
      <c r="A2668" s="0" t="n">
        <v>3</v>
      </c>
      <c r="B2668" s="59" t="n">
        <v>46237</v>
      </c>
      <c r="C2668" s="0" t="n">
        <v>11</v>
      </c>
      <c r="D2668" s="0" t="s">
        <v>2126</v>
      </c>
      <c r="E2668" s="0" t="n">
        <v>1636</v>
      </c>
      <c r="F2668" s="0" t="s">
        <v>50</v>
      </c>
      <c r="I2668" s="0" t="n">
        <v>3229254</v>
      </c>
      <c r="J2668" s="0" t="n">
        <v>41944</v>
      </c>
      <c r="K2668" s="0" t="n">
        <v>7891152801286</v>
      </c>
      <c r="L2668" s="0" t="s">
        <v>3359</v>
      </c>
      <c r="N2668" s="0" t="n">
        <v>30</v>
      </c>
      <c r="O2668" s="60" t="n">
        <v>63.86</v>
      </c>
    </row>
    <row r="2669" customFormat="false" ht="15" hidden="false" customHeight="false" outlineLevel="0" collapsed="false">
      <c r="A2669" s="0" t="n">
        <v>3</v>
      </c>
      <c r="B2669" s="59" t="n">
        <v>46237</v>
      </c>
      <c r="C2669" s="0" t="n">
        <v>11</v>
      </c>
      <c r="D2669" s="0" t="s">
        <v>2126</v>
      </c>
      <c r="E2669" s="0" t="n">
        <v>1636</v>
      </c>
      <c r="F2669" s="0" t="s">
        <v>50</v>
      </c>
      <c r="I2669" s="0" t="n">
        <v>3229254</v>
      </c>
      <c r="J2669" s="0" t="n">
        <v>41945</v>
      </c>
      <c r="K2669" s="0" t="n">
        <v>7891152801323</v>
      </c>
      <c r="L2669" s="0" t="s">
        <v>3360</v>
      </c>
      <c r="N2669" s="0" t="n">
        <v>30</v>
      </c>
      <c r="O2669" s="60" t="n">
        <v>59.67</v>
      </c>
    </row>
    <row r="2670" customFormat="false" ht="15" hidden="false" customHeight="false" outlineLevel="0" collapsed="false">
      <c r="A2670" s="0" t="n">
        <v>3</v>
      </c>
      <c r="B2670" s="59" t="n">
        <v>46237</v>
      </c>
      <c r="C2670" s="0" t="n">
        <v>11</v>
      </c>
      <c r="D2670" s="0" t="s">
        <v>2126</v>
      </c>
      <c r="E2670" s="0" t="n">
        <v>1636</v>
      </c>
      <c r="F2670" s="0" t="s">
        <v>50</v>
      </c>
      <c r="I2670" s="0" t="n">
        <v>3229254</v>
      </c>
      <c r="J2670" s="0" t="n">
        <v>41947</v>
      </c>
      <c r="K2670" s="0" t="n">
        <v>7891152801330</v>
      </c>
      <c r="L2670" s="0" t="s">
        <v>3361</v>
      </c>
      <c r="N2670" s="0" t="n">
        <v>30</v>
      </c>
      <c r="O2670" s="60" t="n">
        <v>59.67</v>
      </c>
    </row>
    <row r="2671" customFormat="false" ht="15" hidden="false" customHeight="false" outlineLevel="0" collapsed="false">
      <c r="A2671" s="0" t="n">
        <v>3</v>
      </c>
      <c r="B2671" s="59" t="n">
        <v>46237</v>
      </c>
      <c r="C2671" s="0" t="n">
        <v>11</v>
      </c>
      <c r="D2671" s="0" t="s">
        <v>2126</v>
      </c>
      <c r="E2671" s="0" t="n">
        <v>1636</v>
      </c>
      <c r="F2671" s="0" t="s">
        <v>50</v>
      </c>
      <c r="I2671" s="0" t="n">
        <v>3229254</v>
      </c>
      <c r="J2671" s="0" t="n">
        <v>44049</v>
      </c>
      <c r="K2671" s="0" t="n">
        <v>7891152801378</v>
      </c>
      <c r="L2671" s="0" t="s">
        <v>3362</v>
      </c>
      <c r="N2671" s="0" t="n">
        <v>30</v>
      </c>
      <c r="O2671" s="60" t="n">
        <v>59.67</v>
      </c>
    </row>
    <row r="2672" customFormat="false" ht="15" hidden="false" customHeight="false" outlineLevel="0" collapsed="false">
      <c r="A2672" s="0" t="n">
        <v>3</v>
      </c>
      <c r="B2672" s="59" t="n">
        <v>46237</v>
      </c>
      <c r="C2672" s="0" t="n">
        <v>11</v>
      </c>
      <c r="D2672" s="0" t="s">
        <v>2126</v>
      </c>
      <c r="E2672" s="0" t="n">
        <v>1636</v>
      </c>
      <c r="F2672" s="0" t="s">
        <v>50</v>
      </c>
      <c r="I2672" s="0" t="n">
        <v>3229254</v>
      </c>
      <c r="J2672" s="0" t="n">
        <v>46075</v>
      </c>
      <c r="K2672" s="0" t="n">
        <v>7891152801255</v>
      </c>
      <c r="L2672" s="0" t="s">
        <v>3363</v>
      </c>
      <c r="N2672" s="0" t="n">
        <v>20</v>
      </c>
      <c r="O2672" s="60" t="n">
        <v>74.33</v>
      </c>
    </row>
    <row r="2673" customFormat="false" ht="15" hidden="false" customHeight="false" outlineLevel="0" collapsed="false">
      <c r="A2673" s="0" t="n">
        <v>3</v>
      </c>
      <c r="B2673" s="59" t="n">
        <v>46237</v>
      </c>
      <c r="C2673" s="0" t="n">
        <v>11</v>
      </c>
      <c r="D2673" s="0" t="s">
        <v>2126</v>
      </c>
      <c r="E2673" s="0" t="n">
        <v>1636</v>
      </c>
      <c r="F2673" s="0" t="s">
        <v>50</v>
      </c>
      <c r="I2673" s="0" t="n">
        <v>3229254</v>
      </c>
      <c r="J2673" s="0" t="n">
        <v>47894</v>
      </c>
      <c r="K2673" s="0" t="n">
        <v>7891152801866</v>
      </c>
      <c r="L2673" s="0" t="s">
        <v>3364</v>
      </c>
      <c r="N2673" s="0" t="n">
        <v>80</v>
      </c>
      <c r="O2673" s="60" t="n">
        <v>123.94</v>
      </c>
    </row>
    <row r="2674" customFormat="false" ht="15" hidden="false" customHeight="false" outlineLevel="0" collapsed="false">
      <c r="A2674" s="0" t="n">
        <v>3</v>
      </c>
      <c r="B2674" s="59" t="n">
        <v>46237</v>
      </c>
      <c r="C2674" s="0" t="n">
        <v>11</v>
      </c>
      <c r="D2674" s="0" t="s">
        <v>2126</v>
      </c>
      <c r="E2674" s="0" t="n">
        <v>1636</v>
      </c>
      <c r="F2674" s="0" t="s">
        <v>50</v>
      </c>
      <c r="I2674" s="0" t="n">
        <v>3229254</v>
      </c>
      <c r="J2674" s="0" t="n">
        <v>48470</v>
      </c>
      <c r="K2674" s="0" t="n">
        <v>7891152801279</v>
      </c>
      <c r="L2674" s="0" t="s">
        <v>3365</v>
      </c>
      <c r="N2674" s="0" t="n">
        <v>20</v>
      </c>
      <c r="O2674" s="60" t="n">
        <v>74.33</v>
      </c>
    </row>
    <row r="2675" customFormat="false" ht="15" hidden="false" customHeight="false" outlineLevel="0" collapsed="false">
      <c r="A2675" s="0" t="n">
        <v>3</v>
      </c>
      <c r="B2675" s="59" t="n">
        <v>46237</v>
      </c>
      <c r="C2675" s="0" t="n">
        <v>11</v>
      </c>
      <c r="D2675" s="0" t="s">
        <v>2126</v>
      </c>
      <c r="E2675" s="0" t="n">
        <v>1636</v>
      </c>
      <c r="F2675" s="0" t="s">
        <v>50</v>
      </c>
      <c r="I2675" s="0" t="n">
        <v>3229254</v>
      </c>
      <c r="J2675" s="0" t="n">
        <v>48472</v>
      </c>
      <c r="K2675" s="0" t="n">
        <v>7891152801897</v>
      </c>
      <c r="L2675" s="0" t="s">
        <v>3106</v>
      </c>
      <c r="N2675" s="0" t="n">
        <v>80</v>
      </c>
      <c r="O2675" s="60" t="n">
        <v>73.18</v>
      </c>
    </row>
    <row r="2676" customFormat="false" ht="15" hidden="false" customHeight="false" outlineLevel="0" collapsed="false">
      <c r="A2676" s="0" t="n">
        <v>3</v>
      </c>
      <c r="B2676" s="59" t="n">
        <v>46237</v>
      </c>
      <c r="C2676" s="0" t="n">
        <v>11</v>
      </c>
      <c r="D2676" s="0" t="s">
        <v>2126</v>
      </c>
      <c r="E2676" s="0" t="n">
        <v>1636</v>
      </c>
      <c r="F2676" s="0" t="s">
        <v>50</v>
      </c>
      <c r="I2676" s="0" t="n">
        <v>3229254</v>
      </c>
      <c r="J2676" s="0" t="n">
        <v>48476</v>
      </c>
      <c r="K2676" s="0" t="n">
        <v>7891152801880</v>
      </c>
      <c r="L2676" s="0" t="s">
        <v>3366</v>
      </c>
      <c r="N2676" s="0" t="n">
        <v>80</v>
      </c>
      <c r="O2676" s="60" t="n">
        <v>123.94</v>
      </c>
    </row>
    <row r="2677" customFormat="false" ht="15" hidden="false" customHeight="false" outlineLevel="0" collapsed="false">
      <c r="A2677" s="0" t="n">
        <v>3</v>
      </c>
      <c r="B2677" s="59" t="n">
        <v>46237</v>
      </c>
      <c r="C2677" s="0" t="n">
        <v>11</v>
      </c>
      <c r="D2677" s="0" t="s">
        <v>2126</v>
      </c>
      <c r="E2677" s="0" t="n">
        <v>1636</v>
      </c>
      <c r="F2677" s="0" t="s">
        <v>50</v>
      </c>
      <c r="I2677" s="0" t="n">
        <v>3229254</v>
      </c>
      <c r="J2677" s="0" t="n">
        <v>48477</v>
      </c>
      <c r="K2677" s="0" t="n">
        <v>7891152801828</v>
      </c>
      <c r="L2677" s="0" t="s">
        <v>3367</v>
      </c>
      <c r="N2677" s="0" t="n">
        <v>72</v>
      </c>
      <c r="O2677" s="60" t="n">
        <v>157.64</v>
      </c>
    </row>
    <row r="2678" customFormat="false" ht="15" hidden="false" customHeight="false" outlineLevel="0" collapsed="false">
      <c r="A2678" s="0" t="n">
        <v>3</v>
      </c>
      <c r="B2678" s="59" t="n">
        <v>46237</v>
      </c>
      <c r="C2678" s="0" t="n">
        <v>11</v>
      </c>
      <c r="D2678" s="0" t="s">
        <v>2126</v>
      </c>
      <c r="E2678" s="0" t="n">
        <v>1636</v>
      </c>
      <c r="F2678" s="0" t="s">
        <v>50</v>
      </c>
      <c r="I2678" s="0" t="n">
        <v>3229254</v>
      </c>
      <c r="J2678" s="0" t="n">
        <v>48478</v>
      </c>
      <c r="K2678" s="0" t="n">
        <v>7891152801811</v>
      </c>
      <c r="L2678" s="0" t="s">
        <v>3368</v>
      </c>
      <c r="N2678" s="0" t="n">
        <v>72</v>
      </c>
      <c r="O2678" s="60" t="n">
        <v>157.64</v>
      </c>
    </row>
    <row r="2679" customFormat="false" ht="15" hidden="false" customHeight="false" outlineLevel="0" collapsed="false">
      <c r="A2679" s="0" t="n">
        <v>3</v>
      </c>
      <c r="B2679" s="59" t="n">
        <v>46237</v>
      </c>
      <c r="C2679" s="0" t="n">
        <v>11</v>
      </c>
      <c r="D2679" s="0" t="s">
        <v>2126</v>
      </c>
      <c r="E2679" s="0" t="n">
        <v>1636</v>
      </c>
      <c r="F2679" s="0" t="s">
        <v>50</v>
      </c>
      <c r="I2679" s="0" t="n">
        <v>3229254</v>
      </c>
      <c r="J2679" s="0" t="n">
        <v>48697</v>
      </c>
      <c r="K2679" s="0" t="n">
        <v>7891152801804</v>
      </c>
      <c r="L2679" s="0" t="s">
        <v>3369</v>
      </c>
      <c r="N2679" s="0" t="n">
        <v>72</v>
      </c>
      <c r="O2679" s="60" t="n">
        <v>157.64</v>
      </c>
    </row>
    <row r="2680" customFormat="false" ht="15" hidden="false" customHeight="false" outlineLevel="0" collapsed="false">
      <c r="A2680" s="0" t="n">
        <v>3</v>
      </c>
      <c r="B2680" s="59" t="n">
        <v>46237</v>
      </c>
      <c r="C2680" s="0" t="n">
        <v>11</v>
      </c>
      <c r="D2680" s="0" t="s">
        <v>2126</v>
      </c>
      <c r="E2680" s="0" t="n">
        <v>1636</v>
      </c>
      <c r="F2680" s="0" t="s">
        <v>50</v>
      </c>
      <c r="I2680" s="0" t="n">
        <v>3229254</v>
      </c>
      <c r="J2680" s="0" t="n">
        <v>48698</v>
      </c>
      <c r="K2680" s="0" t="n">
        <v>7891152801781</v>
      </c>
      <c r="L2680" s="0" t="s">
        <v>3108</v>
      </c>
      <c r="N2680" s="0" t="n">
        <v>180</v>
      </c>
      <c r="O2680" s="60" t="n">
        <v>394.11</v>
      </c>
    </row>
    <row r="2681" customFormat="false" ht="15" hidden="false" customHeight="false" outlineLevel="0" collapsed="false">
      <c r="A2681" s="0" t="n">
        <v>3</v>
      </c>
      <c r="B2681" s="59" t="n">
        <v>46237</v>
      </c>
      <c r="C2681" s="0" t="n">
        <v>11</v>
      </c>
      <c r="D2681" s="0" t="s">
        <v>2126</v>
      </c>
      <c r="E2681" s="0" t="n">
        <v>1636</v>
      </c>
      <c r="F2681" s="0" t="s">
        <v>50</v>
      </c>
      <c r="I2681" s="0" t="n">
        <v>3229254</v>
      </c>
      <c r="J2681" s="0" t="n">
        <v>48699</v>
      </c>
      <c r="K2681" s="0" t="n">
        <v>7891152801842</v>
      </c>
      <c r="L2681" s="0" t="s">
        <v>3109</v>
      </c>
      <c r="N2681" s="0" t="n">
        <v>180</v>
      </c>
      <c r="O2681" s="60" t="n">
        <v>394.11</v>
      </c>
    </row>
    <row r="2682" customFormat="false" ht="15" hidden="false" customHeight="false" outlineLevel="0" collapsed="false">
      <c r="A2682" s="0" t="n">
        <v>3</v>
      </c>
      <c r="B2682" s="59" t="n">
        <v>46237</v>
      </c>
      <c r="C2682" s="0" t="n">
        <v>11</v>
      </c>
      <c r="D2682" s="0" t="s">
        <v>2126</v>
      </c>
      <c r="E2682" s="0" t="n">
        <v>1636</v>
      </c>
      <c r="F2682" s="0" t="s">
        <v>50</v>
      </c>
      <c r="I2682" s="0" t="n">
        <v>3229254</v>
      </c>
      <c r="J2682" s="0" t="n">
        <v>48700</v>
      </c>
      <c r="K2682" s="0" t="n">
        <v>7891152801903</v>
      </c>
      <c r="L2682" s="0" t="s">
        <v>3110</v>
      </c>
      <c r="N2682" s="0" t="n">
        <v>80</v>
      </c>
      <c r="O2682" s="60" t="n">
        <v>73.18</v>
      </c>
    </row>
    <row r="2683" customFormat="false" ht="15" hidden="false" customHeight="false" outlineLevel="0" collapsed="false">
      <c r="A2683" s="0" t="n">
        <v>3</v>
      </c>
      <c r="B2683" s="59" t="n">
        <v>46237</v>
      </c>
      <c r="C2683" s="0" t="n">
        <v>11</v>
      </c>
      <c r="D2683" s="0" t="s">
        <v>2126</v>
      </c>
      <c r="E2683" s="0" t="n">
        <v>1636</v>
      </c>
      <c r="F2683" s="0" t="s">
        <v>50</v>
      </c>
      <c r="I2683" s="0" t="n">
        <v>3229254</v>
      </c>
      <c r="J2683" s="0" t="n">
        <v>48867</v>
      </c>
      <c r="K2683" s="0" t="n">
        <v>7891152801798</v>
      </c>
      <c r="L2683" s="0" t="s">
        <v>3370</v>
      </c>
      <c r="N2683" s="0" t="n">
        <v>72</v>
      </c>
      <c r="O2683" s="60" t="n">
        <v>157.64</v>
      </c>
    </row>
    <row r="2684" customFormat="false" ht="15" hidden="false" customHeight="false" outlineLevel="0" collapsed="false">
      <c r="A2684" s="0" t="n">
        <v>3</v>
      </c>
      <c r="B2684" s="59" t="n">
        <v>46237</v>
      </c>
      <c r="C2684" s="0" t="n">
        <v>11</v>
      </c>
      <c r="D2684" s="0" t="s">
        <v>2126</v>
      </c>
      <c r="E2684" s="0" t="n">
        <v>1636</v>
      </c>
      <c r="F2684" s="0" t="s">
        <v>50</v>
      </c>
      <c r="I2684" s="0" t="n">
        <v>3229254</v>
      </c>
      <c r="J2684" s="0" t="n">
        <v>48919</v>
      </c>
      <c r="K2684" s="0" t="n">
        <v>7891152801873</v>
      </c>
      <c r="L2684" s="0" t="s">
        <v>3371</v>
      </c>
      <c r="N2684" s="0" t="n">
        <v>40</v>
      </c>
      <c r="O2684" s="60" t="n">
        <v>61.97</v>
      </c>
    </row>
    <row r="2685" customFormat="false" ht="15" hidden="false" customHeight="false" outlineLevel="0" collapsed="false">
      <c r="A2685" s="0" t="n">
        <v>3</v>
      </c>
      <c r="B2685" s="59" t="n">
        <v>46237</v>
      </c>
      <c r="C2685" s="0" t="n">
        <v>11</v>
      </c>
      <c r="D2685" s="0" t="s">
        <v>2126</v>
      </c>
      <c r="E2685" s="0" t="n">
        <v>1636</v>
      </c>
      <c r="F2685" s="0" t="s">
        <v>50</v>
      </c>
      <c r="I2685" s="0" t="n">
        <v>3229254</v>
      </c>
      <c r="J2685" s="0" t="n">
        <v>49326</v>
      </c>
      <c r="K2685" s="0" t="n">
        <v>7891152801835</v>
      </c>
      <c r="L2685" s="0" t="s">
        <v>3372</v>
      </c>
      <c r="N2685" s="0" t="n">
        <v>72</v>
      </c>
      <c r="O2685" s="60" t="n">
        <v>157.64</v>
      </c>
    </row>
    <row r="2686" customFormat="false" ht="15" hidden="false" customHeight="false" outlineLevel="0" collapsed="false">
      <c r="A2686" s="0" t="n">
        <v>3</v>
      </c>
      <c r="B2686" s="59" t="n">
        <v>46237</v>
      </c>
      <c r="C2686" s="0" t="n">
        <v>11</v>
      </c>
      <c r="D2686" s="0" t="s">
        <v>2126</v>
      </c>
      <c r="E2686" s="0" t="n">
        <v>1636</v>
      </c>
      <c r="F2686" s="0" t="s">
        <v>50</v>
      </c>
      <c r="I2686" s="0" t="n">
        <v>3229254</v>
      </c>
      <c r="J2686" s="0" t="n">
        <v>52431</v>
      </c>
      <c r="K2686" s="0" t="n">
        <v>7891152801262</v>
      </c>
      <c r="L2686" s="0" t="s">
        <v>3373</v>
      </c>
      <c r="N2686" s="0" t="n">
        <v>20</v>
      </c>
      <c r="O2686" s="60" t="n">
        <v>74.33</v>
      </c>
    </row>
    <row r="2687" customFormat="false" ht="15" hidden="false" customHeight="false" outlineLevel="0" collapsed="false">
      <c r="A2687" s="0" t="n">
        <v>3</v>
      </c>
      <c r="B2687" s="59" t="n">
        <v>46237</v>
      </c>
      <c r="C2687" s="0" t="n">
        <v>11</v>
      </c>
      <c r="D2687" s="0" t="s">
        <v>2126</v>
      </c>
      <c r="E2687" s="0" t="n">
        <v>1636</v>
      </c>
      <c r="F2687" s="0" t="s">
        <v>50</v>
      </c>
      <c r="I2687" s="0" t="n">
        <v>3229254</v>
      </c>
      <c r="J2687" s="0" t="n">
        <v>52434</v>
      </c>
      <c r="K2687" s="0" t="n">
        <v>7891152801965</v>
      </c>
      <c r="L2687" s="0" t="s">
        <v>3374</v>
      </c>
      <c r="N2687" s="0" t="n">
        <v>36</v>
      </c>
      <c r="O2687" s="60" t="n">
        <v>78.82</v>
      </c>
    </row>
    <row r="2688" customFormat="false" ht="15" hidden="false" customHeight="false" outlineLevel="0" collapsed="false">
      <c r="A2688" s="0" t="n">
        <v>3</v>
      </c>
      <c r="B2688" s="59" t="n">
        <v>46237</v>
      </c>
      <c r="C2688" s="0" t="n">
        <v>11</v>
      </c>
      <c r="D2688" s="0" t="s">
        <v>2126</v>
      </c>
      <c r="E2688" s="0" t="n">
        <v>1636</v>
      </c>
      <c r="F2688" s="0" t="s">
        <v>50</v>
      </c>
      <c r="I2688" s="0" t="n">
        <v>3229254</v>
      </c>
      <c r="J2688" s="0" t="n">
        <v>53055</v>
      </c>
      <c r="K2688" s="0" t="n">
        <v>7891152801972</v>
      </c>
      <c r="L2688" s="0" t="s">
        <v>3375</v>
      </c>
      <c r="N2688" s="0" t="n">
        <v>72</v>
      </c>
      <c r="O2688" s="60" t="n">
        <v>157.64</v>
      </c>
    </row>
    <row r="2689" customFormat="false" ht="15" hidden="false" customHeight="false" outlineLevel="0" collapsed="false">
      <c r="A2689" s="0" t="n">
        <v>3</v>
      </c>
      <c r="B2689" s="59" t="n">
        <v>46237</v>
      </c>
      <c r="C2689" s="0" t="n">
        <v>11</v>
      </c>
      <c r="D2689" s="0" t="s">
        <v>2126</v>
      </c>
      <c r="E2689" s="0" t="n">
        <v>1636</v>
      </c>
      <c r="F2689" s="0" t="s">
        <v>50</v>
      </c>
      <c r="I2689" s="0" t="n">
        <v>3229254</v>
      </c>
      <c r="J2689" s="0" t="n">
        <v>78370</v>
      </c>
      <c r="K2689" s="0" t="n">
        <v>7891152802597</v>
      </c>
      <c r="L2689" s="0" t="s">
        <v>3376</v>
      </c>
      <c r="N2689" s="0" t="n">
        <v>36</v>
      </c>
      <c r="O2689" s="60" t="n">
        <v>78.82</v>
      </c>
    </row>
    <row r="2690" customFormat="false" ht="15" hidden="false" customHeight="false" outlineLevel="0" collapsed="false">
      <c r="A2690" s="0" t="n">
        <v>3</v>
      </c>
      <c r="B2690" s="59" t="n">
        <v>46237</v>
      </c>
      <c r="C2690" s="0" t="n">
        <v>11</v>
      </c>
      <c r="D2690" s="0" t="s">
        <v>2126</v>
      </c>
      <c r="E2690" s="0" t="n">
        <v>1636</v>
      </c>
      <c r="F2690" s="0" t="s">
        <v>50</v>
      </c>
      <c r="I2690" s="0" t="n">
        <v>3229254</v>
      </c>
      <c r="J2690" s="0" t="n">
        <v>78371</v>
      </c>
      <c r="K2690" s="0" t="n">
        <v>7891152802641</v>
      </c>
      <c r="L2690" s="0" t="s">
        <v>3377</v>
      </c>
      <c r="N2690" s="0" t="n">
        <v>72</v>
      </c>
      <c r="O2690" s="60" t="n">
        <v>157.64</v>
      </c>
    </row>
    <row r="2691" customFormat="false" ht="15" hidden="false" customHeight="false" outlineLevel="0" collapsed="false">
      <c r="A2691" s="0" t="n">
        <v>3</v>
      </c>
      <c r="B2691" s="59" t="n">
        <v>46237</v>
      </c>
      <c r="C2691" s="0" t="n">
        <v>22</v>
      </c>
      <c r="D2691" s="0" t="s">
        <v>2172</v>
      </c>
      <c r="E2691" s="0" t="n">
        <v>42</v>
      </c>
      <c r="F2691" s="0" t="s">
        <v>81</v>
      </c>
      <c r="I2691" s="0" t="n">
        <v>4455</v>
      </c>
      <c r="J2691" s="0" t="n">
        <v>100000</v>
      </c>
      <c r="K2691" s="0" t="n">
        <v>1</v>
      </c>
      <c r="L2691" s="0" t="s">
        <v>2173</v>
      </c>
      <c r="N2691" s="0" t="n">
        <v>2.212</v>
      </c>
      <c r="O2691" s="60" t="n">
        <v>49.33</v>
      </c>
    </row>
    <row r="2692" customFormat="false" ht="15" hidden="false" customHeight="false" outlineLevel="0" collapsed="false">
      <c r="A2692" s="0" t="n">
        <v>3</v>
      </c>
      <c r="B2692" s="59" t="n">
        <v>46237</v>
      </c>
      <c r="C2692" s="0" t="n">
        <v>22</v>
      </c>
      <c r="D2692" s="0" t="s">
        <v>2172</v>
      </c>
      <c r="E2692" s="0" t="n">
        <v>42</v>
      </c>
      <c r="F2692" s="0" t="s">
        <v>81</v>
      </c>
      <c r="I2692" s="0" t="n">
        <v>4455</v>
      </c>
      <c r="J2692" s="0" t="n">
        <v>100000</v>
      </c>
      <c r="K2692" s="0" t="n">
        <v>1</v>
      </c>
      <c r="L2692" s="0" t="s">
        <v>2173</v>
      </c>
      <c r="N2692" s="0" t="n">
        <v>3.116</v>
      </c>
      <c r="O2692" s="60" t="n">
        <v>73.64</v>
      </c>
    </row>
    <row r="2693" customFormat="false" ht="15" hidden="false" customHeight="false" outlineLevel="0" collapsed="false">
      <c r="A2693" s="0" t="n">
        <v>3</v>
      </c>
      <c r="B2693" s="59" t="n">
        <v>46237</v>
      </c>
      <c r="C2693" s="0" t="n">
        <v>22</v>
      </c>
      <c r="D2693" s="0" t="s">
        <v>2172</v>
      </c>
      <c r="E2693" s="0" t="n">
        <v>42</v>
      </c>
      <c r="F2693" s="0" t="s">
        <v>81</v>
      </c>
      <c r="I2693" s="0" t="n">
        <v>4455</v>
      </c>
      <c r="J2693" s="0" t="n">
        <v>100001</v>
      </c>
      <c r="K2693" s="0" t="n">
        <v>2</v>
      </c>
      <c r="L2693" s="0" t="s">
        <v>2174</v>
      </c>
      <c r="N2693" s="0" t="n">
        <v>10.342</v>
      </c>
      <c r="O2693" s="60" t="n">
        <v>246.54</v>
      </c>
    </row>
    <row r="2694" customFormat="false" ht="15" hidden="false" customHeight="false" outlineLevel="0" collapsed="false">
      <c r="A2694" s="0" t="n">
        <v>3</v>
      </c>
      <c r="B2694" s="59" t="n">
        <v>46237</v>
      </c>
      <c r="C2694" s="0" t="n">
        <v>22</v>
      </c>
      <c r="D2694" s="0" t="s">
        <v>2172</v>
      </c>
      <c r="E2694" s="0" t="n">
        <v>42</v>
      </c>
      <c r="F2694" s="0" t="s">
        <v>81</v>
      </c>
      <c r="I2694" s="0" t="n">
        <v>4455</v>
      </c>
      <c r="J2694" s="0" t="n">
        <v>100002</v>
      </c>
      <c r="K2694" s="0" t="n">
        <v>3</v>
      </c>
      <c r="L2694" s="0" t="s">
        <v>2175</v>
      </c>
      <c r="N2694" s="0" t="n">
        <v>15.49</v>
      </c>
      <c r="O2694" s="60" t="n">
        <v>381.18</v>
      </c>
    </row>
    <row r="2695" customFormat="false" ht="15" hidden="false" customHeight="false" outlineLevel="0" collapsed="false">
      <c r="A2695" s="0" t="n">
        <v>3</v>
      </c>
      <c r="B2695" s="59" t="n">
        <v>46237</v>
      </c>
      <c r="C2695" s="0" t="n">
        <v>22</v>
      </c>
      <c r="D2695" s="0" t="s">
        <v>2172</v>
      </c>
      <c r="E2695" s="0" t="n">
        <v>42</v>
      </c>
      <c r="F2695" s="0" t="s">
        <v>81</v>
      </c>
      <c r="I2695" s="0" t="n">
        <v>4455</v>
      </c>
      <c r="J2695" s="0" t="n">
        <v>100003</v>
      </c>
      <c r="K2695" s="0" t="n">
        <v>4</v>
      </c>
      <c r="L2695" s="0" t="s">
        <v>2176</v>
      </c>
      <c r="N2695" s="0" t="n">
        <v>12.898</v>
      </c>
      <c r="O2695" s="60" t="n">
        <v>347.16</v>
      </c>
    </row>
    <row r="2696" customFormat="false" ht="15" hidden="false" customHeight="false" outlineLevel="0" collapsed="false">
      <c r="A2696" s="0" t="n">
        <v>3</v>
      </c>
      <c r="B2696" s="59" t="n">
        <v>46237</v>
      </c>
      <c r="C2696" s="0" t="n">
        <v>22</v>
      </c>
      <c r="D2696" s="0" t="s">
        <v>2172</v>
      </c>
      <c r="E2696" s="0" t="n">
        <v>42</v>
      </c>
      <c r="F2696" s="0" t="s">
        <v>81</v>
      </c>
      <c r="I2696" s="0" t="n">
        <v>4455</v>
      </c>
      <c r="J2696" s="0" t="n">
        <v>100006</v>
      </c>
      <c r="K2696" s="0" t="n">
        <v>7</v>
      </c>
      <c r="L2696" s="0" t="s">
        <v>2228</v>
      </c>
      <c r="N2696" s="0" t="n">
        <v>11.326</v>
      </c>
      <c r="O2696" s="60" t="n">
        <v>371.9</v>
      </c>
    </row>
    <row r="2697" customFormat="false" ht="15" hidden="false" customHeight="false" outlineLevel="0" collapsed="false">
      <c r="A2697" s="0" t="n">
        <v>3</v>
      </c>
      <c r="B2697" s="59" t="n">
        <v>46237</v>
      </c>
      <c r="C2697" s="0" t="n">
        <v>22</v>
      </c>
      <c r="D2697" s="0" t="s">
        <v>2172</v>
      </c>
      <c r="E2697" s="0" t="n">
        <v>42</v>
      </c>
      <c r="F2697" s="0" t="s">
        <v>81</v>
      </c>
      <c r="I2697" s="0" t="n">
        <v>4455</v>
      </c>
      <c r="J2697" s="0" t="n">
        <v>100007</v>
      </c>
      <c r="K2697" s="0" t="n">
        <v>8</v>
      </c>
      <c r="L2697" s="0" t="s">
        <v>2177</v>
      </c>
      <c r="N2697" s="0" t="n">
        <v>5.83</v>
      </c>
      <c r="O2697" s="60" t="n">
        <v>152.43</v>
      </c>
    </row>
    <row r="2698" customFormat="false" ht="15" hidden="false" customHeight="false" outlineLevel="0" collapsed="false">
      <c r="A2698" s="0" t="n">
        <v>3</v>
      </c>
      <c r="B2698" s="59" t="n">
        <v>46237</v>
      </c>
      <c r="C2698" s="0" t="n">
        <v>22</v>
      </c>
      <c r="D2698" s="0" t="s">
        <v>2172</v>
      </c>
      <c r="E2698" s="0" t="n">
        <v>42</v>
      </c>
      <c r="F2698" s="0" t="s">
        <v>81</v>
      </c>
      <c r="I2698" s="0" t="n">
        <v>4455</v>
      </c>
      <c r="J2698" s="0" t="n">
        <v>100008</v>
      </c>
      <c r="K2698" s="0" t="n">
        <v>9</v>
      </c>
      <c r="L2698" s="0" t="s">
        <v>2229</v>
      </c>
      <c r="N2698" s="0" t="n">
        <v>34.24</v>
      </c>
      <c r="O2698" s="60" t="n">
        <v>1150.56</v>
      </c>
    </row>
    <row r="2699" customFormat="false" ht="15" hidden="false" customHeight="false" outlineLevel="0" collapsed="false">
      <c r="A2699" s="0" t="n">
        <v>3</v>
      </c>
      <c r="B2699" s="59" t="n">
        <v>46237</v>
      </c>
      <c r="C2699" s="0" t="n">
        <v>22</v>
      </c>
      <c r="D2699" s="0" t="s">
        <v>2172</v>
      </c>
      <c r="E2699" s="0" t="n">
        <v>42</v>
      </c>
      <c r="F2699" s="0" t="s">
        <v>81</v>
      </c>
      <c r="I2699" s="0" t="n">
        <v>4455</v>
      </c>
      <c r="J2699" s="0" t="n">
        <v>100010</v>
      </c>
      <c r="K2699" s="0" t="n">
        <v>11</v>
      </c>
      <c r="L2699" s="0" t="s">
        <v>2230</v>
      </c>
      <c r="N2699" s="0" t="n">
        <v>6.658</v>
      </c>
      <c r="O2699" s="60" t="n">
        <v>256.39</v>
      </c>
    </row>
    <row r="2700" customFormat="false" ht="15" hidden="false" customHeight="false" outlineLevel="0" collapsed="false">
      <c r="A2700" s="0" t="n">
        <v>3</v>
      </c>
      <c r="B2700" s="59" t="n">
        <v>46237</v>
      </c>
      <c r="C2700" s="0" t="n">
        <v>22</v>
      </c>
      <c r="D2700" s="0" t="s">
        <v>2172</v>
      </c>
      <c r="E2700" s="0" t="n">
        <v>42</v>
      </c>
      <c r="F2700" s="0" t="s">
        <v>81</v>
      </c>
      <c r="I2700" s="0" t="n">
        <v>4455</v>
      </c>
      <c r="J2700" s="0" t="n">
        <v>100011</v>
      </c>
      <c r="K2700" s="0" t="n">
        <v>12</v>
      </c>
      <c r="L2700" s="0" t="s">
        <v>2231</v>
      </c>
      <c r="N2700" s="0" t="n">
        <v>15.352</v>
      </c>
      <c r="O2700" s="60" t="n">
        <v>591.02</v>
      </c>
    </row>
    <row r="2701" customFormat="false" ht="15" hidden="false" customHeight="false" outlineLevel="0" collapsed="false">
      <c r="A2701" s="0" t="n">
        <v>3</v>
      </c>
      <c r="B2701" s="59" t="n">
        <v>46237</v>
      </c>
      <c r="C2701" s="0" t="n">
        <v>22</v>
      </c>
      <c r="D2701" s="0" t="s">
        <v>2172</v>
      </c>
      <c r="E2701" s="0" t="n">
        <v>42</v>
      </c>
      <c r="F2701" s="0" t="s">
        <v>81</v>
      </c>
      <c r="I2701" s="0" t="n">
        <v>4455</v>
      </c>
      <c r="J2701" s="0" t="n">
        <v>100012</v>
      </c>
      <c r="K2701" s="0" t="n">
        <v>13</v>
      </c>
      <c r="L2701" s="0" t="s">
        <v>2232</v>
      </c>
      <c r="N2701" s="0" t="n">
        <v>15.158</v>
      </c>
      <c r="O2701" s="60" t="n">
        <v>633.5</v>
      </c>
    </row>
    <row r="2702" customFormat="false" ht="15" hidden="false" customHeight="false" outlineLevel="0" collapsed="false">
      <c r="A2702" s="0" t="n">
        <v>3</v>
      </c>
      <c r="B2702" s="59" t="n">
        <v>46237</v>
      </c>
      <c r="C2702" s="0" t="n">
        <v>22</v>
      </c>
      <c r="D2702" s="0" t="s">
        <v>2172</v>
      </c>
      <c r="E2702" s="0" t="n">
        <v>42</v>
      </c>
      <c r="F2702" s="0" t="s">
        <v>81</v>
      </c>
      <c r="I2702" s="0" t="n">
        <v>4455</v>
      </c>
      <c r="J2702" s="0" t="n">
        <v>100013</v>
      </c>
      <c r="K2702" s="0" t="n">
        <v>14</v>
      </c>
      <c r="L2702" s="0" t="s">
        <v>2233</v>
      </c>
      <c r="N2702" s="0" t="n">
        <v>30.125</v>
      </c>
      <c r="O2702" s="60" t="n">
        <v>1357.68</v>
      </c>
    </row>
    <row r="2703" customFormat="false" ht="15" hidden="false" customHeight="false" outlineLevel="0" collapsed="false">
      <c r="A2703" s="0" t="n">
        <v>3</v>
      </c>
      <c r="B2703" s="59" t="n">
        <v>46237</v>
      </c>
      <c r="C2703" s="0" t="n">
        <v>22</v>
      </c>
      <c r="D2703" s="0" t="s">
        <v>2172</v>
      </c>
      <c r="E2703" s="0" t="n">
        <v>42</v>
      </c>
      <c r="F2703" s="0" t="s">
        <v>81</v>
      </c>
      <c r="I2703" s="0" t="n">
        <v>4455</v>
      </c>
      <c r="J2703" s="0" t="n">
        <v>100014</v>
      </c>
      <c r="K2703" s="0" t="n">
        <v>15</v>
      </c>
      <c r="L2703" s="0" t="s">
        <v>2234</v>
      </c>
      <c r="N2703" s="0" t="n">
        <v>10.888</v>
      </c>
      <c r="O2703" s="60" t="n">
        <v>500.21</v>
      </c>
    </row>
    <row r="2704" customFormat="false" ht="15" hidden="false" customHeight="false" outlineLevel="0" collapsed="false">
      <c r="A2704" s="0" t="n">
        <v>3</v>
      </c>
      <c r="B2704" s="59" t="n">
        <v>46237</v>
      </c>
      <c r="C2704" s="0" t="n">
        <v>22</v>
      </c>
      <c r="D2704" s="0" t="s">
        <v>2172</v>
      </c>
      <c r="E2704" s="0" t="n">
        <v>42</v>
      </c>
      <c r="F2704" s="0" t="s">
        <v>81</v>
      </c>
      <c r="I2704" s="0" t="n">
        <v>4455</v>
      </c>
      <c r="J2704" s="0" t="n">
        <v>100015</v>
      </c>
      <c r="K2704" s="0" t="n">
        <v>16</v>
      </c>
      <c r="L2704" s="0" t="s">
        <v>2235</v>
      </c>
      <c r="N2704" s="0" t="n">
        <v>3.736</v>
      </c>
      <c r="O2704" s="60" t="n">
        <v>156.23</v>
      </c>
    </row>
    <row r="2705" customFormat="false" ht="15" hidden="false" customHeight="false" outlineLevel="0" collapsed="false">
      <c r="A2705" s="0" t="n">
        <v>3</v>
      </c>
      <c r="B2705" s="59" t="n">
        <v>46237</v>
      </c>
      <c r="C2705" s="0" t="n">
        <v>22</v>
      </c>
      <c r="D2705" s="0" t="s">
        <v>2172</v>
      </c>
      <c r="E2705" s="0" t="n">
        <v>42</v>
      </c>
      <c r="F2705" s="0" t="s">
        <v>81</v>
      </c>
      <c r="I2705" s="0" t="n">
        <v>4455</v>
      </c>
      <c r="J2705" s="0" t="n">
        <v>100016</v>
      </c>
      <c r="K2705" s="0" t="n">
        <v>17</v>
      </c>
      <c r="L2705" s="0" t="s">
        <v>2236</v>
      </c>
      <c r="N2705" s="0" t="n">
        <v>4.656</v>
      </c>
      <c r="O2705" s="60" t="n">
        <v>210.06</v>
      </c>
    </row>
    <row r="2706" customFormat="false" ht="15" hidden="false" customHeight="false" outlineLevel="0" collapsed="false">
      <c r="A2706" s="0" t="n">
        <v>3</v>
      </c>
      <c r="B2706" s="59" t="n">
        <v>46237</v>
      </c>
      <c r="C2706" s="0" t="n">
        <v>22</v>
      </c>
      <c r="D2706" s="0" t="s">
        <v>2172</v>
      </c>
      <c r="E2706" s="0" t="n">
        <v>42</v>
      </c>
      <c r="F2706" s="0" t="s">
        <v>81</v>
      </c>
      <c r="I2706" s="0" t="n">
        <v>4455</v>
      </c>
      <c r="J2706" s="0" t="n">
        <v>100017</v>
      </c>
      <c r="K2706" s="0" t="n">
        <v>18</v>
      </c>
      <c r="L2706" s="0" t="s">
        <v>2237</v>
      </c>
      <c r="N2706" s="0" t="n">
        <v>4.952</v>
      </c>
      <c r="O2706" s="60" t="n">
        <v>263.29</v>
      </c>
    </row>
    <row r="2707" customFormat="false" ht="15" hidden="false" customHeight="false" outlineLevel="0" collapsed="false">
      <c r="A2707" s="0" t="n">
        <v>3</v>
      </c>
      <c r="B2707" s="59" t="n">
        <v>46237</v>
      </c>
      <c r="C2707" s="0" t="n">
        <v>22</v>
      </c>
      <c r="D2707" s="0" t="s">
        <v>2172</v>
      </c>
      <c r="E2707" s="0" t="n">
        <v>42</v>
      </c>
      <c r="F2707" s="0" t="s">
        <v>81</v>
      </c>
      <c r="I2707" s="0" t="n">
        <v>4455</v>
      </c>
      <c r="J2707" s="0" t="n">
        <v>100019</v>
      </c>
      <c r="K2707" s="0" t="n">
        <v>20</v>
      </c>
      <c r="L2707" s="0" t="s">
        <v>2795</v>
      </c>
      <c r="N2707" s="0" t="n">
        <v>3.532</v>
      </c>
      <c r="O2707" s="60" t="n">
        <v>123.79</v>
      </c>
    </row>
    <row r="2708" customFormat="false" ht="15" hidden="false" customHeight="false" outlineLevel="0" collapsed="false">
      <c r="A2708" s="0" t="n">
        <v>3</v>
      </c>
      <c r="B2708" s="59" t="n">
        <v>46237</v>
      </c>
      <c r="C2708" s="0" t="n">
        <v>22</v>
      </c>
      <c r="D2708" s="0" t="s">
        <v>2172</v>
      </c>
      <c r="E2708" s="0" t="n">
        <v>42</v>
      </c>
      <c r="F2708" s="0" t="s">
        <v>81</v>
      </c>
      <c r="I2708" s="0" t="n">
        <v>4455</v>
      </c>
      <c r="J2708" s="0" t="n">
        <v>100053</v>
      </c>
      <c r="K2708" s="0" t="n">
        <v>54</v>
      </c>
      <c r="L2708" s="0" t="s">
        <v>2238</v>
      </c>
      <c r="N2708" s="0" t="n">
        <v>5.088</v>
      </c>
      <c r="O2708" s="60" t="n">
        <v>187.53</v>
      </c>
    </row>
    <row r="2709" customFormat="false" ht="15" hidden="false" customHeight="false" outlineLevel="0" collapsed="false">
      <c r="A2709" s="0" t="n">
        <v>3</v>
      </c>
      <c r="B2709" s="59" t="n">
        <v>46237</v>
      </c>
      <c r="C2709" s="0" t="n">
        <v>22</v>
      </c>
      <c r="D2709" s="0" t="s">
        <v>2172</v>
      </c>
      <c r="E2709" s="0" t="n">
        <v>42</v>
      </c>
      <c r="F2709" s="0" t="s">
        <v>81</v>
      </c>
      <c r="I2709" s="0" t="n">
        <v>4455</v>
      </c>
      <c r="J2709" s="0" t="n">
        <v>100638</v>
      </c>
      <c r="K2709" s="0" t="n">
        <v>508</v>
      </c>
      <c r="L2709" s="0" t="s">
        <v>2178</v>
      </c>
      <c r="N2709" s="0" t="n">
        <v>5.88</v>
      </c>
      <c r="O2709" s="60" t="n">
        <v>9.57</v>
      </c>
    </row>
    <row r="2710" customFormat="false" ht="15" hidden="false" customHeight="false" outlineLevel="0" collapsed="false">
      <c r="A2710" s="0" t="n">
        <v>3</v>
      </c>
      <c r="B2710" s="59" t="n">
        <v>46237</v>
      </c>
      <c r="C2710" s="0" t="n">
        <v>22</v>
      </c>
      <c r="D2710" s="0" t="s">
        <v>2172</v>
      </c>
      <c r="E2710" s="0" t="n">
        <v>42</v>
      </c>
      <c r="F2710" s="0" t="s">
        <v>81</v>
      </c>
      <c r="I2710" s="0" t="n">
        <v>4455</v>
      </c>
      <c r="J2710" s="0" t="n">
        <v>100638</v>
      </c>
      <c r="K2710" s="0" t="n">
        <v>508</v>
      </c>
      <c r="L2710" s="0" t="s">
        <v>2178</v>
      </c>
      <c r="N2710" s="0" t="n">
        <v>1.086</v>
      </c>
      <c r="O2710" s="60" t="n">
        <v>1.66</v>
      </c>
    </row>
    <row r="2711" customFormat="false" ht="15" hidden="false" customHeight="false" outlineLevel="0" collapsed="false">
      <c r="A2711" s="0" t="n">
        <v>3</v>
      </c>
      <c r="B2711" s="59" t="n">
        <v>46237</v>
      </c>
      <c r="C2711" s="0" t="n">
        <v>22</v>
      </c>
      <c r="D2711" s="0" t="s">
        <v>2172</v>
      </c>
      <c r="E2711" s="0" t="n">
        <v>42</v>
      </c>
      <c r="F2711" s="0" t="s">
        <v>81</v>
      </c>
      <c r="I2711" s="0" t="n">
        <v>4455</v>
      </c>
      <c r="J2711" s="0" t="n">
        <v>100520</v>
      </c>
      <c r="K2711" s="0" t="n">
        <v>507</v>
      </c>
      <c r="L2711" s="0" t="s">
        <v>2179</v>
      </c>
      <c r="N2711" s="0" t="n">
        <v>29.76</v>
      </c>
      <c r="O2711" s="60" t="n">
        <v>73.02</v>
      </c>
    </row>
    <row r="2712" customFormat="false" ht="15" hidden="false" customHeight="false" outlineLevel="0" collapsed="false">
      <c r="A2712" s="0" t="n">
        <v>3</v>
      </c>
      <c r="B2712" s="59" t="n">
        <v>46237</v>
      </c>
      <c r="C2712" s="0" t="n">
        <v>22</v>
      </c>
      <c r="D2712" s="0" t="s">
        <v>2172</v>
      </c>
      <c r="E2712" s="0" t="n">
        <v>42</v>
      </c>
      <c r="F2712" s="0" t="s">
        <v>81</v>
      </c>
      <c r="I2712" s="0" t="n">
        <v>4455</v>
      </c>
      <c r="J2712" s="0" t="n">
        <v>100520</v>
      </c>
      <c r="K2712" s="0" t="n">
        <v>507</v>
      </c>
      <c r="L2712" s="0" t="s">
        <v>2179</v>
      </c>
      <c r="N2712" s="0" t="n">
        <v>4.22</v>
      </c>
      <c r="O2712" s="60" t="n">
        <v>9.71</v>
      </c>
    </row>
    <row r="2713" customFormat="false" ht="15" hidden="false" customHeight="false" outlineLevel="0" collapsed="false">
      <c r="A2713" s="0" t="n">
        <v>3</v>
      </c>
      <c r="B2713" s="59" t="n">
        <v>46237</v>
      </c>
      <c r="C2713" s="0" t="n">
        <v>22</v>
      </c>
      <c r="D2713" s="0" t="s">
        <v>2172</v>
      </c>
      <c r="E2713" s="0" t="n">
        <v>42</v>
      </c>
      <c r="F2713" s="0" t="s">
        <v>81</v>
      </c>
      <c r="I2713" s="0" t="n">
        <v>4455</v>
      </c>
      <c r="J2713" s="0" t="n">
        <v>110455</v>
      </c>
      <c r="K2713" s="0" t="n">
        <v>53212</v>
      </c>
      <c r="L2713" s="0" t="s">
        <v>2180</v>
      </c>
      <c r="N2713" s="0" t="n">
        <v>0.722</v>
      </c>
      <c r="O2713" s="60" t="n">
        <v>0</v>
      </c>
    </row>
    <row r="2714" customFormat="false" ht="15" hidden="false" customHeight="false" outlineLevel="0" collapsed="false">
      <c r="A2714" s="0" t="n">
        <v>3</v>
      </c>
      <c r="B2714" s="59" t="n">
        <v>46237</v>
      </c>
      <c r="C2714" s="0" t="n">
        <v>22</v>
      </c>
      <c r="D2714" s="0" t="s">
        <v>2172</v>
      </c>
      <c r="E2714" s="0" t="n">
        <v>42</v>
      </c>
      <c r="F2714" s="0" t="s">
        <v>81</v>
      </c>
      <c r="I2714" s="0" t="n">
        <v>4455</v>
      </c>
      <c r="J2714" s="0" t="n">
        <v>110455</v>
      </c>
      <c r="K2714" s="0" t="n">
        <v>53212</v>
      </c>
      <c r="L2714" s="0" t="s">
        <v>2180</v>
      </c>
      <c r="N2714" s="0" t="n">
        <v>1.733</v>
      </c>
      <c r="O2714" s="60" t="n">
        <v>0.02</v>
      </c>
    </row>
    <row r="2715" customFormat="false" ht="15" hidden="false" customHeight="false" outlineLevel="0" collapsed="false">
      <c r="A2715" s="0" t="n">
        <v>3</v>
      </c>
      <c r="B2715" s="59" t="n">
        <v>46237</v>
      </c>
      <c r="C2715" s="0" t="n">
        <v>22</v>
      </c>
      <c r="D2715" s="0" t="s">
        <v>2172</v>
      </c>
      <c r="E2715" s="0" t="n">
        <v>42</v>
      </c>
      <c r="F2715" s="0" t="s">
        <v>81</v>
      </c>
      <c r="I2715" s="0" t="n">
        <v>4457</v>
      </c>
      <c r="J2715" s="0" t="n">
        <v>100000</v>
      </c>
      <c r="K2715" s="0" t="n">
        <v>1</v>
      </c>
      <c r="L2715" s="0" t="s">
        <v>2173</v>
      </c>
      <c r="N2715" s="0" t="n">
        <v>1.908</v>
      </c>
      <c r="O2715" s="60" t="n">
        <v>41.96</v>
      </c>
    </row>
    <row r="2716" customFormat="false" ht="15" hidden="false" customHeight="false" outlineLevel="0" collapsed="false">
      <c r="A2716" s="0" t="n">
        <v>3</v>
      </c>
      <c r="B2716" s="59" t="n">
        <v>46237</v>
      </c>
      <c r="C2716" s="0" t="n">
        <v>22</v>
      </c>
      <c r="D2716" s="0" t="s">
        <v>2172</v>
      </c>
      <c r="E2716" s="0" t="n">
        <v>42</v>
      </c>
      <c r="F2716" s="0" t="s">
        <v>81</v>
      </c>
      <c r="I2716" s="0" t="n">
        <v>4457</v>
      </c>
      <c r="J2716" s="0" t="n">
        <v>100001</v>
      </c>
      <c r="K2716" s="0" t="n">
        <v>2</v>
      </c>
      <c r="L2716" s="0" t="s">
        <v>2174</v>
      </c>
      <c r="N2716" s="0" t="n">
        <v>8.185</v>
      </c>
      <c r="O2716" s="60" t="n">
        <v>192.42</v>
      </c>
    </row>
    <row r="2717" customFormat="false" ht="15" hidden="false" customHeight="false" outlineLevel="0" collapsed="false">
      <c r="A2717" s="0" t="n">
        <v>3</v>
      </c>
      <c r="B2717" s="59" t="n">
        <v>46237</v>
      </c>
      <c r="C2717" s="0" t="n">
        <v>22</v>
      </c>
      <c r="D2717" s="0" t="s">
        <v>2172</v>
      </c>
      <c r="E2717" s="0" t="n">
        <v>42</v>
      </c>
      <c r="F2717" s="0" t="s">
        <v>81</v>
      </c>
      <c r="I2717" s="0" t="n">
        <v>4457</v>
      </c>
      <c r="J2717" s="0" t="n">
        <v>100002</v>
      </c>
      <c r="K2717" s="0" t="n">
        <v>3</v>
      </c>
      <c r="L2717" s="0" t="s">
        <v>2175</v>
      </c>
      <c r="N2717" s="0" t="n">
        <v>15.125</v>
      </c>
      <c r="O2717" s="60" t="n">
        <v>367.05</v>
      </c>
    </row>
    <row r="2718" customFormat="false" ht="15" hidden="false" customHeight="false" outlineLevel="0" collapsed="false">
      <c r="A2718" s="0" t="n">
        <v>3</v>
      </c>
      <c r="B2718" s="59" t="n">
        <v>46237</v>
      </c>
      <c r="C2718" s="0" t="n">
        <v>22</v>
      </c>
      <c r="D2718" s="0" t="s">
        <v>2172</v>
      </c>
      <c r="E2718" s="0" t="n">
        <v>42</v>
      </c>
      <c r="F2718" s="0" t="s">
        <v>81</v>
      </c>
      <c r="I2718" s="0" t="n">
        <v>4457</v>
      </c>
      <c r="J2718" s="0" t="n">
        <v>100003</v>
      </c>
      <c r="K2718" s="0" t="n">
        <v>4</v>
      </c>
      <c r="L2718" s="0" t="s">
        <v>2176</v>
      </c>
      <c r="N2718" s="0" t="n">
        <v>12.876</v>
      </c>
      <c r="O2718" s="60" t="n">
        <v>341.78</v>
      </c>
    </row>
    <row r="2719" customFormat="false" ht="15" hidden="false" customHeight="false" outlineLevel="0" collapsed="false">
      <c r="A2719" s="0" t="n">
        <v>3</v>
      </c>
      <c r="B2719" s="59" t="n">
        <v>46237</v>
      </c>
      <c r="C2719" s="0" t="n">
        <v>22</v>
      </c>
      <c r="D2719" s="0" t="s">
        <v>2172</v>
      </c>
      <c r="E2719" s="0" t="n">
        <v>42</v>
      </c>
      <c r="F2719" s="0" t="s">
        <v>81</v>
      </c>
      <c r="I2719" s="0" t="n">
        <v>4457</v>
      </c>
      <c r="J2719" s="0" t="n">
        <v>100006</v>
      </c>
      <c r="K2719" s="0" t="n">
        <v>7</v>
      </c>
      <c r="L2719" s="0" t="s">
        <v>2228</v>
      </c>
      <c r="N2719" s="0" t="n">
        <v>7.222</v>
      </c>
      <c r="O2719" s="60" t="n">
        <v>232.94</v>
      </c>
    </row>
    <row r="2720" customFormat="false" ht="15" hidden="false" customHeight="false" outlineLevel="0" collapsed="false">
      <c r="A2720" s="0" t="n">
        <v>3</v>
      </c>
      <c r="B2720" s="59" t="n">
        <v>46237</v>
      </c>
      <c r="C2720" s="0" t="n">
        <v>22</v>
      </c>
      <c r="D2720" s="0" t="s">
        <v>2172</v>
      </c>
      <c r="E2720" s="0" t="n">
        <v>42</v>
      </c>
      <c r="F2720" s="0" t="s">
        <v>81</v>
      </c>
      <c r="I2720" s="0" t="n">
        <v>4457</v>
      </c>
      <c r="J2720" s="0" t="n">
        <v>100007</v>
      </c>
      <c r="K2720" s="0" t="n">
        <v>8</v>
      </c>
      <c r="L2720" s="0" t="s">
        <v>2177</v>
      </c>
      <c r="N2720" s="0" t="n">
        <v>5.426</v>
      </c>
      <c r="O2720" s="60" t="n">
        <v>139.91</v>
      </c>
    </row>
    <row r="2721" customFormat="false" ht="15" hidden="false" customHeight="false" outlineLevel="0" collapsed="false">
      <c r="A2721" s="0" t="n">
        <v>3</v>
      </c>
      <c r="B2721" s="59" t="n">
        <v>46237</v>
      </c>
      <c r="C2721" s="0" t="n">
        <v>22</v>
      </c>
      <c r="D2721" s="0" t="s">
        <v>2172</v>
      </c>
      <c r="E2721" s="0" t="n">
        <v>42</v>
      </c>
      <c r="F2721" s="0" t="s">
        <v>81</v>
      </c>
      <c r="I2721" s="0" t="n">
        <v>4457</v>
      </c>
      <c r="J2721" s="0" t="n">
        <v>100008</v>
      </c>
      <c r="K2721" s="0" t="n">
        <v>9</v>
      </c>
      <c r="L2721" s="0" t="s">
        <v>2229</v>
      </c>
      <c r="N2721" s="0" t="n">
        <v>12.625</v>
      </c>
      <c r="O2721" s="60" t="n">
        <v>417.39</v>
      </c>
    </row>
    <row r="2722" customFormat="false" ht="15" hidden="false" customHeight="false" outlineLevel="0" collapsed="false">
      <c r="A2722" s="0" t="n">
        <v>3</v>
      </c>
      <c r="B2722" s="59" t="n">
        <v>46237</v>
      </c>
      <c r="C2722" s="0" t="n">
        <v>22</v>
      </c>
      <c r="D2722" s="0" t="s">
        <v>2172</v>
      </c>
      <c r="E2722" s="0" t="n">
        <v>42</v>
      </c>
      <c r="F2722" s="0" t="s">
        <v>81</v>
      </c>
      <c r="I2722" s="0" t="n">
        <v>4457</v>
      </c>
      <c r="J2722" s="0" t="n">
        <v>100010</v>
      </c>
      <c r="K2722" s="0" t="n">
        <v>11</v>
      </c>
      <c r="L2722" s="0" t="s">
        <v>2230</v>
      </c>
      <c r="N2722" s="0" t="n">
        <v>3.008</v>
      </c>
      <c r="O2722" s="60" t="n">
        <v>114</v>
      </c>
    </row>
    <row r="2723" customFormat="false" ht="15" hidden="false" customHeight="false" outlineLevel="0" collapsed="false">
      <c r="A2723" s="0" t="n">
        <v>3</v>
      </c>
      <c r="B2723" s="59" t="n">
        <v>46237</v>
      </c>
      <c r="C2723" s="0" t="n">
        <v>22</v>
      </c>
      <c r="D2723" s="0" t="s">
        <v>2172</v>
      </c>
      <c r="E2723" s="0" t="n">
        <v>42</v>
      </c>
      <c r="F2723" s="0" t="s">
        <v>81</v>
      </c>
      <c r="I2723" s="0" t="n">
        <v>4457</v>
      </c>
      <c r="J2723" s="0" t="n">
        <v>100011</v>
      </c>
      <c r="K2723" s="0" t="n">
        <v>12</v>
      </c>
      <c r="L2723" s="0" t="s">
        <v>2231</v>
      </c>
      <c r="N2723" s="0" t="n">
        <v>5.794</v>
      </c>
      <c r="O2723" s="60" t="n">
        <v>219.59</v>
      </c>
    </row>
    <row r="2724" customFormat="false" ht="15" hidden="false" customHeight="false" outlineLevel="0" collapsed="false">
      <c r="A2724" s="0" t="n">
        <v>3</v>
      </c>
      <c r="B2724" s="59" t="n">
        <v>46237</v>
      </c>
      <c r="C2724" s="0" t="n">
        <v>22</v>
      </c>
      <c r="D2724" s="0" t="s">
        <v>2172</v>
      </c>
      <c r="E2724" s="0" t="n">
        <v>42</v>
      </c>
      <c r="F2724" s="0" t="s">
        <v>81</v>
      </c>
      <c r="I2724" s="0" t="n">
        <v>4457</v>
      </c>
      <c r="J2724" s="0" t="n">
        <v>100012</v>
      </c>
      <c r="K2724" s="0" t="n">
        <v>13</v>
      </c>
      <c r="L2724" s="0" t="s">
        <v>2232</v>
      </c>
      <c r="N2724" s="0" t="n">
        <v>5.318</v>
      </c>
      <c r="O2724" s="60" t="n">
        <v>218.71</v>
      </c>
    </row>
    <row r="2725" customFormat="false" ht="15" hidden="false" customHeight="false" outlineLevel="0" collapsed="false">
      <c r="A2725" s="0" t="n">
        <v>3</v>
      </c>
      <c r="B2725" s="59" t="n">
        <v>46237</v>
      </c>
      <c r="C2725" s="0" t="n">
        <v>22</v>
      </c>
      <c r="D2725" s="0" t="s">
        <v>2172</v>
      </c>
      <c r="E2725" s="0" t="n">
        <v>42</v>
      </c>
      <c r="F2725" s="0" t="s">
        <v>81</v>
      </c>
      <c r="I2725" s="0" t="n">
        <v>4457</v>
      </c>
      <c r="J2725" s="0" t="n">
        <v>100013</v>
      </c>
      <c r="K2725" s="0" t="n">
        <v>14</v>
      </c>
      <c r="L2725" s="0" t="s">
        <v>2233</v>
      </c>
      <c r="N2725" s="0" t="n">
        <v>10.59</v>
      </c>
      <c r="O2725" s="60" t="n">
        <v>469.69</v>
      </c>
    </row>
    <row r="2726" customFormat="false" ht="15" hidden="false" customHeight="false" outlineLevel="0" collapsed="false">
      <c r="A2726" s="0" t="n">
        <v>3</v>
      </c>
      <c r="B2726" s="59" t="n">
        <v>46237</v>
      </c>
      <c r="C2726" s="0" t="n">
        <v>22</v>
      </c>
      <c r="D2726" s="0" t="s">
        <v>2172</v>
      </c>
      <c r="E2726" s="0" t="n">
        <v>42</v>
      </c>
      <c r="F2726" s="0" t="s">
        <v>81</v>
      </c>
      <c r="I2726" s="0" t="n">
        <v>4457</v>
      </c>
      <c r="J2726" s="0" t="n">
        <v>100014</v>
      </c>
      <c r="K2726" s="0" t="n">
        <v>15</v>
      </c>
      <c r="L2726" s="0" t="s">
        <v>2234</v>
      </c>
      <c r="N2726" s="0" t="n">
        <v>4.398</v>
      </c>
      <c r="O2726" s="60" t="n">
        <v>198.61</v>
      </c>
    </row>
    <row r="2727" customFormat="false" ht="15" hidden="false" customHeight="false" outlineLevel="0" collapsed="false">
      <c r="A2727" s="0" t="n">
        <v>3</v>
      </c>
      <c r="B2727" s="59" t="n">
        <v>46237</v>
      </c>
      <c r="C2727" s="0" t="n">
        <v>22</v>
      </c>
      <c r="D2727" s="0" t="s">
        <v>2172</v>
      </c>
      <c r="E2727" s="0" t="n">
        <v>42</v>
      </c>
      <c r="F2727" s="0" t="s">
        <v>81</v>
      </c>
      <c r="I2727" s="0" t="n">
        <v>4457</v>
      </c>
      <c r="J2727" s="0" t="n">
        <v>100015</v>
      </c>
      <c r="K2727" s="0" t="n">
        <v>16</v>
      </c>
      <c r="L2727" s="0" t="s">
        <v>2235</v>
      </c>
      <c r="N2727" s="0" t="n">
        <v>1.514</v>
      </c>
      <c r="O2727" s="60" t="n">
        <v>62.26</v>
      </c>
    </row>
    <row r="2728" customFormat="false" ht="15" hidden="false" customHeight="false" outlineLevel="0" collapsed="false">
      <c r="A2728" s="0" t="n">
        <v>3</v>
      </c>
      <c r="B2728" s="59" t="n">
        <v>46237</v>
      </c>
      <c r="C2728" s="0" t="n">
        <v>22</v>
      </c>
      <c r="D2728" s="0" t="s">
        <v>2172</v>
      </c>
      <c r="E2728" s="0" t="n">
        <v>42</v>
      </c>
      <c r="F2728" s="0" t="s">
        <v>81</v>
      </c>
      <c r="I2728" s="0" t="n">
        <v>4457</v>
      </c>
      <c r="J2728" s="0" t="n">
        <v>100016</v>
      </c>
      <c r="K2728" s="0" t="n">
        <v>17</v>
      </c>
      <c r="L2728" s="0" t="s">
        <v>2236</v>
      </c>
      <c r="N2728" s="0" t="n">
        <v>1.778</v>
      </c>
      <c r="O2728" s="60" t="n">
        <v>78.86</v>
      </c>
    </row>
    <row r="2729" customFormat="false" ht="15" hidden="false" customHeight="false" outlineLevel="0" collapsed="false">
      <c r="A2729" s="0" t="n">
        <v>3</v>
      </c>
      <c r="B2729" s="59" t="n">
        <v>46237</v>
      </c>
      <c r="C2729" s="0" t="n">
        <v>22</v>
      </c>
      <c r="D2729" s="0" t="s">
        <v>2172</v>
      </c>
      <c r="E2729" s="0" t="n">
        <v>42</v>
      </c>
      <c r="F2729" s="0" t="s">
        <v>81</v>
      </c>
      <c r="I2729" s="0" t="n">
        <v>4457</v>
      </c>
      <c r="J2729" s="0" t="n">
        <v>100017</v>
      </c>
      <c r="K2729" s="0" t="n">
        <v>18</v>
      </c>
      <c r="L2729" s="0" t="s">
        <v>2237</v>
      </c>
      <c r="N2729" s="0" t="n">
        <v>1.744</v>
      </c>
      <c r="O2729" s="60" t="n">
        <v>91.42</v>
      </c>
    </row>
    <row r="2730" customFormat="false" ht="15" hidden="false" customHeight="false" outlineLevel="0" collapsed="false">
      <c r="A2730" s="0" t="n">
        <v>3</v>
      </c>
      <c r="B2730" s="59" t="n">
        <v>46237</v>
      </c>
      <c r="C2730" s="0" t="n">
        <v>22</v>
      </c>
      <c r="D2730" s="0" t="s">
        <v>2172</v>
      </c>
      <c r="E2730" s="0" t="n">
        <v>42</v>
      </c>
      <c r="F2730" s="0" t="s">
        <v>81</v>
      </c>
      <c r="I2730" s="0" t="n">
        <v>4457</v>
      </c>
      <c r="J2730" s="0" t="n">
        <v>100053</v>
      </c>
      <c r="K2730" s="0" t="n">
        <v>54</v>
      </c>
      <c r="L2730" s="0" t="s">
        <v>2238</v>
      </c>
      <c r="N2730" s="0" t="n">
        <v>1.728</v>
      </c>
      <c r="O2730" s="60" t="n">
        <v>62.7</v>
      </c>
    </row>
    <row r="2731" customFormat="false" ht="15" hidden="false" customHeight="false" outlineLevel="0" collapsed="false">
      <c r="A2731" s="0" t="n">
        <v>3</v>
      </c>
      <c r="B2731" s="59" t="n">
        <v>46237</v>
      </c>
      <c r="C2731" s="0" t="n">
        <v>22</v>
      </c>
      <c r="D2731" s="0" t="s">
        <v>2172</v>
      </c>
      <c r="E2731" s="0" t="n">
        <v>42</v>
      </c>
      <c r="F2731" s="0" t="s">
        <v>81</v>
      </c>
      <c r="I2731" s="0" t="n">
        <v>4457</v>
      </c>
      <c r="J2731" s="0" t="n">
        <v>100638</v>
      </c>
      <c r="K2731" s="0" t="n">
        <v>508</v>
      </c>
      <c r="L2731" s="0" t="s">
        <v>2178</v>
      </c>
      <c r="N2731" s="0" t="n">
        <v>1.396</v>
      </c>
      <c r="O2731" s="60" t="n">
        <v>2.24</v>
      </c>
    </row>
    <row r="2732" customFormat="false" ht="15" hidden="false" customHeight="false" outlineLevel="0" collapsed="false">
      <c r="A2732" s="0" t="n">
        <v>3</v>
      </c>
      <c r="B2732" s="59" t="n">
        <v>46237</v>
      </c>
      <c r="C2732" s="0" t="n">
        <v>22</v>
      </c>
      <c r="D2732" s="0" t="s">
        <v>2172</v>
      </c>
      <c r="E2732" s="0" t="n">
        <v>42</v>
      </c>
      <c r="F2732" s="0" t="s">
        <v>81</v>
      </c>
      <c r="I2732" s="0" t="n">
        <v>4457</v>
      </c>
      <c r="J2732" s="0" t="n">
        <v>100638</v>
      </c>
      <c r="K2732" s="0" t="n">
        <v>508</v>
      </c>
      <c r="L2732" s="0" t="s">
        <v>2178</v>
      </c>
      <c r="N2732" s="0" t="n">
        <v>2.088</v>
      </c>
      <c r="O2732" s="60" t="n">
        <v>3.15</v>
      </c>
    </row>
    <row r="2733" customFormat="false" ht="15" hidden="false" customHeight="false" outlineLevel="0" collapsed="false">
      <c r="A2733" s="0" t="n">
        <v>3</v>
      </c>
      <c r="B2733" s="59" t="n">
        <v>46237</v>
      </c>
      <c r="C2733" s="0" t="n">
        <v>22</v>
      </c>
      <c r="D2733" s="0" t="s">
        <v>2172</v>
      </c>
      <c r="E2733" s="0" t="n">
        <v>42</v>
      </c>
      <c r="F2733" s="0" t="s">
        <v>81</v>
      </c>
      <c r="I2733" s="0" t="n">
        <v>4457</v>
      </c>
      <c r="J2733" s="0" t="n">
        <v>100520</v>
      </c>
      <c r="K2733" s="0" t="n">
        <v>507</v>
      </c>
      <c r="L2733" s="0" t="s">
        <v>2179</v>
      </c>
      <c r="N2733" s="0" t="n">
        <v>10.443</v>
      </c>
      <c r="O2733" s="60" t="n">
        <v>25.18</v>
      </c>
    </row>
    <row r="2734" customFormat="false" ht="15" hidden="false" customHeight="false" outlineLevel="0" collapsed="false">
      <c r="A2734" s="0" t="n">
        <v>3</v>
      </c>
      <c r="B2734" s="59" t="n">
        <v>46237</v>
      </c>
      <c r="C2734" s="0" t="n">
        <v>22</v>
      </c>
      <c r="D2734" s="0" t="s">
        <v>2172</v>
      </c>
      <c r="E2734" s="0" t="n">
        <v>42</v>
      </c>
      <c r="F2734" s="0" t="s">
        <v>81</v>
      </c>
      <c r="I2734" s="0" t="n">
        <v>4457</v>
      </c>
      <c r="J2734" s="0" t="n">
        <v>100520</v>
      </c>
      <c r="K2734" s="0" t="n">
        <v>507</v>
      </c>
      <c r="L2734" s="0" t="s">
        <v>2179</v>
      </c>
      <c r="N2734" s="0" t="n">
        <v>3.14</v>
      </c>
      <c r="O2734" s="60" t="n">
        <v>7.12</v>
      </c>
    </row>
    <row r="2735" customFormat="false" ht="15" hidden="false" customHeight="false" outlineLevel="0" collapsed="false">
      <c r="A2735" s="0" t="n">
        <v>3</v>
      </c>
      <c r="B2735" s="59" t="n">
        <v>46237</v>
      </c>
      <c r="C2735" s="0" t="n">
        <v>22</v>
      </c>
      <c r="D2735" s="0" t="s">
        <v>2172</v>
      </c>
      <c r="E2735" s="0" t="n">
        <v>42</v>
      </c>
      <c r="F2735" s="0" t="s">
        <v>81</v>
      </c>
      <c r="I2735" s="0" t="n">
        <v>4457</v>
      </c>
      <c r="J2735" s="0" t="n">
        <v>110455</v>
      </c>
      <c r="K2735" s="0" t="n">
        <v>53212</v>
      </c>
      <c r="L2735" s="0" t="s">
        <v>2180</v>
      </c>
      <c r="N2735" s="0" t="n">
        <v>0.952</v>
      </c>
      <c r="O2735" s="60" t="n">
        <v>0.01</v>
      </c>
    </row>
    <row r="2736" customFormat="false" ht="15" hidden="false" customHeight="false" outlineLevel="0" collapsed="false">
      <c r="A2736" s="0" t="n">
        <v>3</v>
      </c>
      <c r="B2736" s="59" t="n">
        <v>46237</v>
      </c>
      <c r="C2736" s="0" t="n">
        <v>22</v>
      </c>
      <c r="D2736" s="0" t="s">
        <v>2172</v>
      </c>
      <c r="E2736" s="0" t="n">
        <v>42</v>
      </c>
      <c r="F2736" s="0" t="s">
        <v>81</v>
      </c>
      <c r="I2736" s="0" t="n">
        <v>4457</v>
      </c>
      <c r="J2736" s="0" t="n">
        <v>110455</v>
      </c>
      <c r="K2736" s="0" t="n">
        <v>53212</v>
      </c>
      <c r="L2736" s="0" t="s">
        <v>2180</v>
      </c>
      <c r="N2736" s="0" t="n">
        <v>0.992</v>
      </c>
      <c r="O2736" s="60" t="n">
        <v>0.01</v>
      </c>
    </row>
    <row r="2737" customFormat="false" ht="15" hidden="false" customHeight="false" outlineLevel="0" collapsed="false">
      <c r="A2737" s="0" t="n">
        <v>3</v>
      </c>
      <c r="B2737" s="59" t="n">
        <v>46237</v>
      </c>
      <c r="C2737" s="0" t="n">
        <v>100</v>
      </c>
      <c r="D2737" s="0" t="s">
        <v>2181</v>
      </c>
      <c r="E2737" s="0" t="n">
        <v>42</v>
      </c>
      <c r="F2737" s="0" t="s">
        <v>81</v>
      </c>
      <c r="I2737" s="0" t="n">
        <v>1493588</v>
      </c>
      <c r="J2737" s="0" t="n">
        <v>100006</v>
      </c>
      <c r="K2737" s="0" t="n">
        <v>7</v>
      </c>
      <c r="L2737" s="0" t="s">
        <v>2228</v>
      </c>
      <c r="N2737" s="0" t="n">
        <v>4.556</v>
      </c>
      <c r="O2737" s="60" t="n">
        <v>152.32</v>
      </c>
    </row>
    <row r="2738" customFormat="false" ht="15" hidden="false" customHeight="false" outlineLevel="0" collapsed="false">
      <c r="A2738" s="0" t="n">
        <v>3</v>
      </c>
      <c r="B2738" s="59" t="n">
        <v>46237</v>
      </c>
      <c r="C2738" s="0" t="n">
        <v>100</v>
      </c>
      <c r="D2738" s="0" t="s">
        <v>2181</v>
      </c>
      <c r="E2738" s="0" t="n">
        <v>42</v>
      </c>
      <c r="F2738" s="0" t="s">
        <v>81</v>
      </c>
      <c r="I2738" s="0" t="n">
        <v>1493588</v>
      </c>
      <c r="J2738" s="0" t="n">
        <v>100008</v>
      </c>
      <c r="K2738" s="0" t="n">
        <v>9</v>
      </c>
      <c r="L2738" s="0" t="s">
        <v>2229</v>
      </c>
      <c r="N2738" s="0" t="n">
        <v>10.5</v>
      </c>
      <c r="O2738" s="60" t="n">
        <v>359.83</v>
      </c>
    </row>
    <row r="2739" customFormat="false" ht="15" hidden="false" customHeight="false" outlineLevel="0" collapsed="false">
      <c r="A2739" s="0" t="n">
        <v>3</v>
      </c>
      <c r="B2739" s="59" t="n">
        <v>46237</v>
      </c>
      <c r="C2739" s="0" t="n">
        <v>100</v>
      </c>
      <c r="D2739" s="0" t="s">
        <v>2181</v>
      </c>
      <c r="E2739" s="0" t="n">
        <v>42</v>
      </c>
      <c r="F2739" s="0" t="s">
        <v>81</v>
      </c>
      <c r="I2739" s="0" t="n">
        <v>1493588</v>
      </c>
      <c r="J2739" s="0" t="n">
        <v>100010</v>
      </c>
      <c r="K2739" s="0" t="n">
        <v>11</v>
      </c>
      <c r="L2739" s="0" t="s">
        <v>2230</v>
      </c>
      <c r="N2739" s="0" t="n">
        <v>2.042</v>
      </c>
      <c r="O2739" s="60" t="n">
        <v>80.22</v>
      </c>
    </row>
    <row r="2740" customFormat="false" ht="15" hidden="false" customHeight="false" outlineLevel="0" collapsed="false">
      <c r="A2740" s="0" t="n">
        <v>3</v>
      </c>
      <c r="B2740" s="59" t="n">
        <v>46237</v>
      </c>
      <c r="C2740" s="0" t="n">
        <v>100</v>
      </c>
      <c r="D2740" s="0" t="s">
        <v>2181</v>
      </c>
      <c r="E2740" s="0" t="n">
        <v>42</v>
      </c>
      <c r="F2740" s="0" t="s">
        <v>81</v>
      </c>
      <c r="I2740" s="0" t="n">
        <v>1493588</v>
      </c>
      <c r="J2740" s="0" t="n">
        <v>100011</v>
      </c>
      <c r="K2740" s="0" t="n">
        <v>12</v>
      </c>
      <c r="L2740" s="0" t="s">
        <v>2231</v>
      </c>
      <c r="N2740" s="0" t="n">
        <v>4.576</v>
      </c>
      <c r="O2740" s="60" t="n">
        <v>179.77</v>
      </c>
    </row>
    <row r="2741" customFormat="false" ht="15" hidden="false" customHeight="false" outlineLevel="0" collapsed="false">
      <c r="A2741" s="0" t="n">
        <v>3</v>
      </c>
      <c r="B2741" s="59" t="n">
        <v>46237</v>
      </c>
      <c r="C2741" s="0" t="n">
        <v>100</v>
      </c>
      <c r="D2741" s="0" t="s">
        <v>2181</v>
      </c>
      <c r="E2741" s="0" t="n">
        <v>42</v>
      </c>
      <c r="F2741" s="0" t="s">
        <v>81</v>
      </c>
      <c r="I2741" s="0" t="n">
        <v>1493588</v>
      </c>
      <c r="J2741" s="0" t="n">
        <v>100012</v>
      </c>
      <c r="K2741" s="0" t="n">
        <v>13</v>
      </c>
      <c r="L2741" s="0" t="s">
        <v>2232</v>
      </c>
      <c r="N2741" s="0" t="n">
        <v>4.688</v>
      </c>
      <c r="O2741" s="60" t="n">
        <v>199.85</v>
      </c>
    </row>
    <row r="2742" customFormat="false" ht="15" hidden="false" customHeight="false" outlineLevel="0" collapsed="false">
      <c r="A2742" s="0" t="n">
        <v>3</v>
      </c>
      <c r="B2742" s="59" t="n">
        <v>46237</v>
      </c>
      <c r="C2742" s="0" t="n">
        <v>100</v>
      </c>
      <c r="D2742" s="0" t="s">
        <v>2181</v>
      </c>
      <c r="E2742" s="0" t="n">
        <v>42</v>
      </c>
      <c r="F2742" s="0" t="s">
        <v>81</v>
      </c>
      <c r="I2742" s="0" t="n">
        <v>1493588</v>
      </c>
      <c r="J2742" s="0" t="n">
        <v>100013</v>
      </c>
      <c r="K2742" s="0" t="n">
        <v>14</v>
      </c>
      <c r="L2742" s="0" t="s">
        <v>2233</v>
      </c>
      <c r="N2742" s="0" t="n">
        <v>9.285</v>
      </c>
      <c r="O2742" s="60" t="n">
        <v>426.88</v>
      </c>
    </row>
    <row r="2743" customFormat="false" ht="15" hidden="false" customHeight="false" outlineLevel="0" collapsed="false">
      <c r="A2743" s="0" t="n">
        <v>3</v>
      </c>
      <c r="B2743" s="59" t="n">
        <v>46237</v>
      </c>
      <c r="C2743" s="0" t="n">
        <v>100</v>
      </c>
      <c r="D2743" s="0" t="s">
        <v>2181</v>
      </c>
      <c r="E2743" s="0" t="n">
        <v>42</v>
      </c>
      <c r="F2743" s="0" t="s">
        <v>81</v>
      </c>
      <c r="I2743" s="0" t="n">
        <v>1493588</v>
      </c>
      <c r="J2743" s="0" t="n">
        <v>100014</v>
      </c>
      <c r="K2743" s="0" t="n">
        <v>15</v>
      </c>
      <c r="L2743" s="0" t="s">
        <v>2234</v>
      </c>
      <c r="N2743" s="0" t="n">
        <v>3.788</v>
      </c>
      <c r="O2743" s="60" t="n">
        <v>177.32</v>
      </c>
    </row>
    <row r="2744" customFormat="false" ht="15" hidden="false" customHeight="false" outlineLevel="0" collapsed="false">
      <c r="A2744" s="0" t="n">
        <v>3</v>
      </c>
      <c r="B2744" s="59" t="n">
        <v>46237</v>
      </c>
      <c r="C2744" s="0" t="n">
        <v>100</v>
      </c>
      <c r="D2744" s="0" t="s">
        <v>2181</v>
      </c>
      <c r="E2744" s="0" t="n">
        <v>42</v>
      </c>
      <c r="F2744" s="0" t="s">
        <v>81</v>
      </c>
      <c r="I2744" s="0" t="n">
        <v>1493588</v>
      </c>
      <c r="J2744" s="0" t="n">
        <v>100015</v>
      </c>
      <c r="K2744" s="0" t="n">
        <v>16</v>
      </c>
      <c r="L2744" s="0" t="s">
        <v>2235</v>
      </c>
      <c r="N2744" s="0" t="n">
        <v>1.204</v>
      </c>
      <c r="O2744" s="60" t="n">
        <v>51.33</v>
      </c>
    </row>
    <row r="2745" customFormat="false" ht="15" hidden="false" customHeight="false" outlineLevel="0" collapsed="false">
      <c r="A2745" s="0" t="n">
        <v>3</v>
      </c>
      <c r="B2745" s="59" t="n">
        <v>46237</v>
      </c>
      <c r="C2745" s="0" t="n">
        <v>100</v>
      </c>
      <c r="D2745" s="0" t="s">
        <v>2181</v>
      </c>
      <c r="E2745" s="0" t="n">
        <v>42</v>
      </c>
      <c r="F2745" s="0" t="s">
        <v>81</v>
      </c>
      <c r="I2745" s="0" t="n">
        <v>1493588</v>
      </c>
      <c r="J2745" s="0" t="n">
        <v>100016</v>
      </c>
      <c r="K2745" s="0" t="n">
        <v>17</v>
      </c>
      <c r="L2745" s="0" t="s">
        <v>2236</v>
      </c>
      <c r="N2745" s="0" t="n">
        <v>1.632</v>
      </c>
      <c r="O2745" s="60" t="n">
        <v>75.03</v>
      </c>
    </row>
    <row r="2746" customFormat="false" ht="15" hidden="false" customHeight="false" outlineLevel="0" collapsed="false">
      <c r="A2746" s="0" t="n">
        <v>3</v>
      </c>
      <c r="B2746" s="59" t="n">
        <v>46237</v>
      </c>
      <c r="C2746" s="0" t="n">
        <v>100</v>
      </c>
      <c r="D2746" s="0" t="s">
        <v>2181</v>
      </c>
      <c r="E2746" s="0" t="n">
        <v>42</v>
      </c>
      <c r="F2746" s="0" t="s">
        <v>81</v>
      </c>
      <c r="I2746" s="0" t="n">
        <v>1493588</v>
      </c>
      <c r="J2746" s="0" t="n">
        <v>100017</v>
      </c>
      <c r="K2746" s="0" t="n">
        <v>18</v>
      </c>
      <c r="L2746" s="0" t="s">
        <v>2237</v>
      </c>
      <c r="N2746" s="0" t="n">
        <v>1.148</v>
      </c>
      <c r="O2746" s="60" t="n">
        <v>62.38</v>
      </c>
    </row>
    <row r="2747" customFormat="false" ht="15" hidden="false" customHeight="false" outlineLevel="0" collapsed="false">
      <c r="A2747" s="0" t="n">
        <v>3</v>
      </c>
      <c r="B2747" s="59" t="n">
        <v>46237</v>
      </c>
      <c r="C2747" s="0" t="n">
        <v>100</v>
      </c>
      <c r="D2747" s="0" t="s">
        <v>2181</v>
      </c>
      <c r="E2747" s="0" t="n">
        <v>42</v>
      </c>
      <c r="F2747" s="0" t="s">
        <v>81</v>
      </c>
      <c r="I2747" s="0" t="n">
        <v>1493588</v>
      </c>
      <c r="J2747" s="0" t="n">
        <v>100053</v>
      </c>
      <c r="K2747" s="0" t="n">
        <v>54</v>
      </c>
      <c r="L2747" s="0" t="s">
        <v>2238</v>
      </c>
      <c r="N2747" s="0" t="n">
        <v>1.49</v>
      </c>
      <c r="O2747" s="60" t="n">
        <v>56.05</v>
      </c>
    </row>
    <row r="2748" customFormat="false" ht="15" hidden="false" customHeight="false" outlineLevel="0" collapsed="false">
      <c r="A2748" s="0" t="n">
        <v>3</v>
      </c>
      <c r="B2748" s="59" t="n">
        <v>46237</v>
      </c>
      <c r="C2748" s="0" t="n">
        <v>100</v>
      </c>
      <c r="D2748" s="0" t="s">
        <v>2181</v>
      </c>
      <c r="E2748" s="0" t="n">
        <v>42</v>
      </c>
      <c r="F2748" s="0" t="s">
        <v>81</v>
      </c>
      <c r="I2748" s="0" t="n">
        <v>1493588</v>
      </c>
      <c r="J2748" s="0" t="n">
        <v>100638</v>
      </c>
      <c r="K2748" s="0" t="n">
        <v>508</v>
      </c>
      <c r="L2748" s="0" t="s">
        <v>2178</v>
      </c>
      <c r="N2748" s="0" t="n">
        <v>1.396</v>
      </c>
      <c r="O2748" s="60" t="n">
        <v>2.32</v>
      </c>
    </row>
    <row r="2749" customFormat="false" ht="15" hidden="false" customHeight="false" outlineLevel="0" collapsed="false">
      <c r="A2749" s="0" t="n">
        <v>3</v>
      </c>
      <c r="B2749" s="59" t="n">
        <v>46237</v>
      </c>
      <c r="C2749" s="0" t="n">
        <v>100</v>
      </c>
      <c r="D2749" s="0" t="s">
        <v>2181</v>
      </c>
      <c r="E2749" s="0" t="n">
        <v>42</v>
      </c>
      <c r="F2749" s="0" t="s">
        <v>81</v>
      </c>
      <c r="I2749" s="0" t="n">
        <v>1493588</v>
      </c>
      <c r="J2749" s="0" t="n">
        <v>100520</v>
      </c>
      <c r="K2749" s="0" t="n">
        <v>507</v>
      </c>
      <c r="L2749" s="0" t="s">
        <v>2179</v>
      </c>
      <c r="N2749" s="0" t="n">
        <v>10.518</v>
      </c>
      <c r="O2749" s="60" t="n">
        <v>26.29</v>
      </c>
    </row>
    <row r="2750" customFormat="false" ht="15" hidden="false" customHeight="false" outlineLevel="0" collapsed="false">
      <c r="A2750" s="0" t="n">
        <v>3</v>
      </c>
      <c r="B2750" s="59" t="n">
        <v>46237</v>
      </c>
      <c r="C2750" s="0" t="n">
        <v>100</v>
      </c>
      <c r="D2750" s="0" t="s">
        <v>2181</v>
      </c>
      <c r="E2750" s="0" t="n">
        <v>42</v>
      </c>
      <c r="F2750" s="0" t="s">
        <v>81</v>
      </c>
      <c r="I2750" s="0" t="n">
        <v>1493588</v>
      </c>
      <c r="J2750" s="0" t="n">
        <v>110455</v>
      </c>
      <c r="K2750" s="0" t="n">
        <v>53212</v>
      </c>
      <c r="L2750" s="0" t="s">
        <v>2180</v>
      </c>
      <c r="N2750" s="0" t="n">
        <v>0.977</v>
      </c>
      <c r="O2750" s="60" t="n">
        <v>0.01</v>
      </c>
    </row>
    <row r="2751" customFormat="false" ht="15" hidden="false" customHeight="false" outlineLevel="0" collapsed="false">
      <c r="A2751" s="0" t="n">
        <v>3</v>
      </c>
      <c r="B2751" s="59" t="n">
        <v>46237</v>
      </c>
      <c r="C2751" s="0" t="n">
        <v>100</v>
      </c>
      <c r="D2751" s="0" t="s">
        <v>2181</v>
      </c>
      <c r="E2751" s="0" t="n">
        <v>42</v>
      </c>
      <c r="F2751" s="0" t="s">
        <v>81</v>
      </c>
      <c r="I2751" s="0" t="n">
        <v>1493592</v>
      </c>
      <c r="J2751" s="0" t="n">
        <v>100006</v>
      </c>
      <c r="K2751" s="0" t="n">
        <v>7</v>
      </c>
      <c r="L2751" s="0" t="s">
        <v>2228</v>
      </c>
      <c r="N2751" s="0" t="n">
        <v>4.736</v>
      </c>
      <c r="O2751" s="60" t="n">
        <v>153.27</v>
      </c>
    </row>
    <row r="2752" customFormat="false" ht="15" hidden="false" customHeight="false" outlineLevel="0" collapsed="false">
      <c r="A2752" s="0" t="n">
        <v>3</v>
      </c>
      <c r="B2752" s="59" t="n">
        <v>46237</v>
      </c>
      <c r="C2752" s="0" t="n">
        <v>100</v>
      </c>
      <c r="D2752" s="0" t="s">
        <v>2181</v>
      </c>
      <c r="E2752" s="0" t="n">
        <v>42</v>
      </c>
      <c r="F2752" s="0" t="s">
        <v>81</v>
      </c>
      <c r="I2752" s="0" t="n">
        <v>1493592</v>
      </c>
      <c r="J2752" s="0" t="n">
        <v>100008</v>
      </c>
      <c r="K2752" s="0" t="n">
        <v>9</v>
      </c>
      <c r="L2752" s="0" t="s">
        <v>2229</v>
      </c>
      <c r="N2752" s="0" t="n">
        <v>10.56</v>
      </c>
      <c r="O2752" s="60" t="n">
        <v>350.3</v>
      </c>
    </row>
    <row r="2753" customFormat="false" ht="15" hidden="false" customHeight="false" outlineLevel="0" collapsed="false">
      <c r="A2753" s="0" t="n">
        <v>3</v>
      </c>
      <c r="B2753" s="59" t="n">
        <v>46237</v>
      </c>
      <c r="C2753" s="0" t="n">
        <v>100</v>
      </c>
      <c r="D2753" s="0" t="s">
        <v>2181</v>
      </c>
      <c r="E2753" s="0" t="n">
        <v>42</v>
      </c>
      <c r="F2753" s="0" t="s">
        <v>81</v>
      </c>
      <c r="I2753" s="0" t="n">
        <v>1493592</v>
      </c>
      <c r="J2753" s="0" t="n">
        <v>100010</v>
      </c>
      <c r="K2753" s="0" t="n">
        <v>11</v>
      </c>
      <c r="L2753" s="0" t="s">
        <v>2230</v>
      </c>
      <c r="N2753" s="0" t="n">
        <v>2.352</v>
      </c>
      <c r="O2753" s="60" t="n">
        <v>89.44</v>
      </c>
    </row>
    <row r="2754" customFormat="false" ht="15" hidden="false" customHeight="false" outlineLevel="0" collapsed="false">
      <c r="A2754" s="0" t="n">
        <v>3</v>
      </c>
      <c r="B2754" s="59" t="n">
        <v>46237</v>
      </c>
      <c r="C2754" s="0" t="n">
        <v>100</v>
      </c>
      <c r="D2754" s="0" t="s">
        <v>2181</v>
      </c>
      <c r="E2754" s="0" t="n">
        <v>42</v>
      </c>
      <c r="F2754" s="0" t="s">
        <v>81</v>
      </c>
      <c r="I2754" s="0" t="n">
        <v>1493592</v>
      </c>
      <c r="J2754" s="0" t="n">
        <v>100011</v>
      </c>
      <c r="K2754" s="0" t="n">
        <v>12</v>
      </c>
      <c r="L2754" s="0" t="s">
        <v>2231</v>
      </c>
      <c r="N2754" s="0" t="n">
        <v>5.586</v>
      </c>
      <c r="O2754" s="60" t="n">
        <v>212.43</v>
      </c>
    </row>
    <row r="2755" customFormat="false" ht="15" hidden="false" customHeight="false" outlineLevel="0" collapsed="false">
      <c r="A2755" s="0" t="n">
        <v>3</v>
      </c>
      <c r="B2755" s="59" t="n">
        <v>46237</v>
      </c>
      <c r="C2755" s="0" t="n">
        <v>100</v>
      </c>
      <c r="D2755" s="0" t="s">
        <v>2181</v>
      </c>
      <c r="E2755" s="0" t="n">
        <v>42</v>
      </c>
      <c r="F2755" s="0" t="s">
        <v>81</v>
      </c>
      <c r="I2755" s="0" t="n">
        <v>1493592</v>
      </c>
      <c r="J2755" s="0" t="n">
        <v>100012</v>
      </c>
      <c r="K2755" s="0" t="n">
        <v>13</v>
      </c>
      <c r="L2755" s="0" t="s">
        <v>2232</v>
      </c>
      <c r="N2755" s="0" t="n">
        <v>5.178</v>
      </c>
      <c r="O2755" s="60" t="n">
        <v>213.67</v>
      </c>
    </row>
    <row r="2756" customFormat="false" ht="15" hidden="false" customHeight="false" outlineLevel="0" collapsed="false">
      <c r="A2756" s="0" t="n">
        <v>3</v>
      </c>
      <c r="B2756" s="59" t="n">
        <v>46237</v>
      </c>
      <c r="C2756" s="0" t="n">
        <v>100</v>
      </c>
      <c r="D2756" s="0" t="s">
        <v>2181</v>
      </c>
      <c r="E2756" s="0" t="n">
        <v>42</v>
      </c>
      <c r="F2756" s="0" t="s">
        <v>81</v>
      </c>
      <c r="I2756" s="0" t="n">
        <v>1493592</v>
      </c>
      <c r="J2756" s="0" t="n">
        <v>100013</v>
      </c>
      <c r="K2756" s="0" t="n">
        <v>14</v>
      </c>
      <c r="L2756" s="0" t="s">
        <v>2233</v>
      </c>
      <c r="N2756" s="0" t="n">
        <v>10.565</v>
      </c>
      <c r="O2756" s="60" t="n">
        <v>470.17</v>
      </c>
    </row>
    <row r="2757" customFormat="false" ht="15" hidden="false" customHeight="false" outlineLevel="0" collapsed="false">
      <c r="A2757" s="0" t="n">
        <v>3</v>
      </c>
      <c r="B2757" s="59" t="n">
        <v>46237</v>
      </c>
      <c r="C2757" s="0" t="n">
        <v>100</v>
      </c>
      <c r="D2757" s="0" t="s">
        <v>2181</v>
      </c>
      <c r="E2757" s="0" t="n">
        <v>42</v>
      </c>
      <c r="F2757" s="0" t="s">
        <v>81</v>
      </c>
      <c r="I2757" s="0" t="n">
        <v>1493592</v>
      </c>
      <c r="J2757" s="0" t="n">
        <v>100014</v>
      </c>
      <c r="K2757" s="0" t="n">
        <v>15</v>
      </c>
      <c r="L2757" s="0" t="s">
        <v>2234</v>
      </c>
      <c r="N2757" s="0" t="n">
        <v>3.574</v>
      </c>
      <c r="O2757" s="60" t="n">
        <v>161.95</v>
      </c>
    </row>
    <row r="2758" customFormat="false" ht="15" hidden="false" customHeight="false" outlineLevel="0" collapsed="false">
      <c r="A2758" s="0" t="n">
        <v>3</v>
      </c>
      <c r="B2758" s="59" t="n">
        <v>46237</v>
      </c>
      <c r="C2758" s="0" t="n">
        <v>100</v>
      </c>
      <c r="D2758" s="0" t="s">
        <v>2181</v>
      </c>
      <c r="E2758" s="0" t="n">
        <v>42</v>
      </c>
      <c r="F2758" s="0" t="s">
        <v>81</v>
      </c>
      <c r="I2758" s="0" t="n">
        <v>1493592</v>
      </c>
      <c r="J2758" s="0" t="n">
        <v>100015</v>
      </c>
      <c r="K2758" s="0" t="n">
        <v>16</v>
      </c>
      <c r="L2758" s="0" t="s">
        <v>2235</v>
      </c>
      <c r="N2758" s="0" t="n">
        <v>1.168</v>
      </c>
      <c r="O2758" s="60" t="n">
        <v>48.2</v>
      </c>
    </row>
    <row r="2759" customFormat="false" ht="15" hidden="false" customHeight="false" outlineLevel="0" collapsed="false">
      <c r="A2759" s="0" t="n">
        <v>3</v>
      </c>
      <c r="B2759" s="59" t="n">
        <v>46237</v>
      </c>
      <c r="C2759" s="0" t="n">
        <v>100</v>
      </c>
      <c r="D2759" s="0" t="s">
        <v>2181</v>
      </c>
      <c r="E2759" s="0" t="n">
        <v>42</v>
      </c>
      <c r="F2759" s="0" t="s">
        <v>81</v>
      </c>
      <c r="I2759" s="0" t="n">
        <v>1493592</v>
      </c>
      <c r="J2759" s="0" t="n">
        <v>100016</v>
      </c>
      <c r="K2759" s="0" t="n">
        <v>17</v>
      </c>
      <c r="L2759" s="0" t="s">
        <v>2236</v>
      </c>
      <c r="N2759" s="0" t="n">
        <v>1.634</v>
      </c>
      <c r="O2759" s="60" t="n">
        <v>72.72</v>
      </c>
    </row>
    <row r="2760" customFormat="false" ht="15" hidden="false" customHeight="false" outlineLevel="0" collapsed="false">
      <c r="A2760" s="0" t="n">
        <v>3</v>
      </c>
      <c r="B2760" s="59" t="n">
        <v>46237</v>
      </c>
      <c r="C2760" s="0" t="n">
        <v>100</v>
      </c>
      <c r="D2760" s="0" t="s">
        <v>2181</v>
      </c>
      <c r="E2760" s="0" t="n">
        <v>42</v>
      </c>
      <c r="F2760" s="0" t="s">
        <v>81</v>
      </c>
      <c r="I2760" s="0" t="n">
        <v>1493592</v>
      </c>
      <c r="J2760" s="0" t="n">
        <v>100017</v>
      </c>
      <c r="K2760" s="0" t="n">
        <v>18</v>
      </c>
      <c r="L2760" s="0" t="s">
        <v>2237</v>
      </c>
      <c r="N2760" s="0" t="n">
        <v>1.64</v>
      </c>
      <c r="O2760" s="60" t="n">
        <v>86.26</v>
      </c>
    </row>
    <row r="2761" customFormat="false" ht="15" hidden="false" customHeight="false" outlineLevel="0" collapsed="false">
      <c r="A2761" s="0" t="n">
        <v>3</v>
      </c>
      <c r="B2761" s="59" t="n">
        <v>46237</v>
      </c>
      <c r="C2761" s="0" t="n">
        <v>100</v>
      </c>
      <c r="D2761" s="0" t="s">
        <v>2181</v>
      </c>
      <c r="E2761" s="0" t="n">
        <v>42</v>
      </c>
      <c r="F2761" s="0" t="s">
        <v>81</v>
      </c>
      <c r="I2761" s="0" t="n">
        <v>1493592</v>
      </c>
      <c r="J2761" s="0" t="n">
        <v>100053</v>
      </c>
      <c r="K2761" s="0" t="n">
        <v>54</v>
      </c>
      <c r="L2761" s="0" t="s">
        <v>2238</v>
      </c>
      <c r="N2761" s="0" t="n">
        <v>1.824</v>
      </c>
      <c r="O2761" s="60" t="n">
        <v>66.41</v>
      </c>
    </row>
    <row r="2762" customFormat="false" ht="15" hidden="false" customHeight="false" outlineLevel="0" collapsed="false">
      <c r="A2762" s="0" t="n">
        <v>3</v>
      </c>
      <c r="B2762" s="59" t="n">
        <v>46237</v>
      </c>
      <c r="C2762" s="0" t="n">
        <v>100</v>
      </c>
      <c r="D2762" s="0" t="s">
        <v>2181</v>
      </c>
      <c r="E2762" s="0" t="n">
        <v>42</v>
      </c>
      <c r="F2762" s="0" t="s">
        <v>81</v>
      </c>
      <c r="I2762" s="0" t="n">
        <v>1493592</v>
      </c>
      <c r="J2762" s="0" t="n">
        <v>100638</v>
      </c>
      <c r="K2762" s="0" t="n">
        <v>508</v>
      </c>
      <c r="L2762" s="0" t="s">
        <v>2178</v>
      </c>
      <c r="N2762" s="0" t="n">
        <v>2.156</v>
      </c>
      <c r="O2762" s="60" t="n">
        <v>3.47</v>
      </c>
    </row>
    <row r="2763" customFormat="false" ht="15" hidden="false" customHeight="false" outlineLevel="0" collapsed="false">
      <c r="A2763" s="0" t="n">
        <v>3</v>
      </c>
      <c r="B2763" s="59" t="n">
        <v>46237</v>
      </c>
      <c r="C2763" s="0" t="n">
        <v>100</v>
      </c>
      <c r="D2763" s="0" t="s">
        <v>2181</v>
      </c>
      <c r="E2763" s="0" t="n">
        <v>42</v>
      </c>
      <c r="F2763" s="0" t="s">
        <v>81</v>
      </c>
      <c r="I2763" s="0" t="n">
        <v>1493592</v>
      </c>
      <c r="J2763" s="0" t="n">
        <v>100520</v>
      </c>
      <c r="K2763" s="0" t="n">
        <v>507</v>
      </c>
      <c r="L2763" s="0" t="s">
        <v>2179</v>
      </c>
      <c r="N2763" s="0" t="n">
        <v>9.796</v>
      </c>
      <c r="O2763" s="60" t="n">
        <v>23.7</v>
      </c>
    </row>
    <row r="2764" customFormat="false" ht="15" hidden="false" customHeight="false" outlineLevel="0" collapsed="false">
      <c r="A2764" s="0" t="n">
        <v>3</v>
      </c>
      <c r="B2764" s="59" t="n">
        <v>46237</v>
      </c>
      <c r="C2764" s="0" t="n">
        <v>100</v>
      </c>
      <c r="D2764" s="0" t="s">
        <v>2181</v>
      </c>
      <c r="E2764" s="0" t="n">
        <v>42</v>
      </c>
      <c r="F2764" s="0" t="s">
        <v>81</v>
      </c>
      <c r="I2764" s="0" t="n">
        <v>1493592</v>
      </c>
      <c r="J2764" s="0" t="n">
        <v>110455</v>
      </c>
      <c r="K2764" s="0" t="n">
        <v>53212</v>
      </c>
      <c r="L2764" s="0" t="s">
        <v>2180</v>
      </c>
      <c r="N2764" s="0" t="n">
        <v>0.231</v>
      </c>
      <c r="O2764" s="60" t="n">
        <v>0.01</v>
      </c>
    </row>
    <row r="2765" customFormat="false" ht="15" hidden="false" customHeight="false" outlineLevel="0" collapsed="false">
      <c r="A2765" s="0" t="n">
        <v>3</v>
      </c>
      <c r="B2765" s="59" t="n">
        <v>46237</v>
      </c>
      <c r="C2765" s="0" t="n">
        <v>100</v>
      </c>
      <c r="D2765" s="0" t="s">
        <v>2181</v>
      </c>
      <c r="E2765" s="0" t="n">
        <v>42</v>
      </c>
      <c r="F2765" s="0" t="s">
        <v>81</v>
      </c>
      <c r="I2765" s="0" t="n">
        <v>1493598</v>
      </c>
      <c r="J2765" s="0" t="n">
        <v>100000</v>
      </c>
      <c r="K2765" s="0" t="n">
        <v>1</v>
      </c>
      <c r="L2765" s="0" t="s">
        <v>2173</v>
      </c>
      <c r="N2765" s="0" t="n">
        <v>3.116</v>
      </c>
      <c r="O2765" s="60" t="n">
        <v>73.64</v>
      </c>
    </row>
    <row r="2766" customFormat="false" ht="15" hidden="false" customHeight="false" outlineLevel="0" collapsed="false">
      <c r="A2766" s="0" t="n">
        <v>3</v>
      </c>
      <c r="B2766" s="59" t="n">
        <v>46237</v>
      </c>
      <c r="C2766" s="0" t="n">
        <v>100</v>
      </c>
      <c r="D2766" s="0" t="s">
        <v>2181</v>
      </c>
      <c r="E2766" s="0" t="n">
        <v>42</v>
      </c>
      <c r="F2766" s="0" t="s">
        <v>81</v>
      </c>
      <c r="I2766" s="0" t="n">
        <v>1493598</v>
      </c>
      <c r="J2766" s="0" t="n">
        <v>100006</v>
      </c>
      <c r="K2766" s="0" t="n">
        <v>7</v>
      </c>
      <c r="L2766" s="0" t="s">
        <v>2228</v>
      </c>
      <c r="N2766" s="0" t="n">
        <v>2.034</v>
      </c>
      <c r="O2766" s="60" t="n">
        <v>66.31</v>
      </c>
    </row>
    <row r="2767" customFormat="false" ht="15" hidden="false" customHeight="false" outlineLevel="0" collapsed="false">
      <c r="A2767" s="0" t="n">
        <v>3</v>
      </c>
      <c r="B2767" s="59" t="n">
        <v>46237</v>
      </c>
      <c r="C2767" s="0" t="n">
        <v>100</v>
      </c>
      <c r="D2767" s="0" t="s">
        <v>2181</v>
      </c>
      <c r="E2767" s="0" t="n">
        <v>42</v>
      </c>
      <c r="F2767" s="0" t="s">
        <v>81</v>
      </c>
      <c r="I2767" s="0" t="n">
        <v>1493598</v>
      </c>
      <c r="J2767" s="0" t="n">
        <v>100008</v>
      </c>
      <c r="K2767" s="0" t="n">
        <v>9</v>
      </c>
      <c r="L2767" s="0" t="s">
        <v>2229</v>
      </c>
      <c r="N2767" s="0" t="n">
        <v>13.18</v>
      </c>
      <c r="O2767" s="60" t="n">
        <v>440.43</v>
      </c>
    </row>
    <row r="2768" customFormat="false" ht="15" hidden="false" customHeight="false" outlineLevel="0" collapsed="false">
      <c r="A2768" s="0" t="n">
        <v>3</v>
      </c>
      <c r="B2768" s="59" t="n">
        <v>46237</v>
      </c>
      <c r="C2768" s="0" t="n">
        <v>100</v>
      </c>
      <c r="D2768" s="0" t="s">
        <v>2181</v>
      </c>
      <c r="E2768" s="0" t="n">
        <v>42</v>
      </c>
      <c r="F2768" s="0" t="s">
        <v>81</v>
      </c>
      <c r="I2768" s="0" t="n">
        <v>1493598</v>
      </c>
      <c r="J2768" s="0" t="n">
        <v>100010</v>
      </c>
      <c r="K2768" s="0" t="n">
        <v>11</v>
      </c>
      <c r="L2768" s="0" t="s">
        <v>2230</v>
      </c>
      <c r="N2768" s="0" t="n">
        <v>2.264</v>
      </c>
      <c r="O2768" s="60" t="n">
        <v>86.73</v>
      </c>
    </row>
    <row r="2769" customFormat="false" ht="15" hidden="false" customHeight="false" outlineLevel="0" collapsed="false">
      <c r="A2769" s="0" t="n">
        <v>3</v>
      </c>
      <c r="B2769" s="59" t="n">
        <v>46237</v>
      </c>
      <c r="C2769" s="0" t="n">
        <v>100</v>
      </c>
      <c r="D2769" s="0" t="s">
        <v>2181</v>
      </c>
      <c r="E2769" s="0" t="n">
        <v>42</v>
      </c>
      <c r="F2769" s="0" t="s">
        <v>81</v>
      </c>
      <c r="I2769" s="0" t="n">
        <v>1493598</v>
      </c>
      <c r="J2769" s="0" t="n">
        <v>100011</v>
      </c>
      <c r="K2769" s="0" t="n">
        <v>12</v>
      </c>
      <c r="L2769" s="0" t="s">
        <v>2231</v>
      </c>
      <c r="N2769" s="0" t="n">
        <v>5.19</v>
      </c>
      <c r="O2769" s="60" t="n">
        <v>198.82</v>
      </c>
    </row>
    <row r="2770" customFormat="false" ht="15" hidden="false" customHeight="false" outlineLevel="0" collapsed="false">
      <c r="A2770" s="0" t="n">
        <v>3</v>
      </c>
      <c r="B2770" s="59" t="n">
        <v>46237</v>
      </c>
      <c r="C2770" s="0" t="n">
        <v>100</v>
      </c>
      <c r="D2770" s="0" t="s">
        <v>2181</v>
      </c>
      <c r="E2770" s="0" t="n">
        <v>42</v>
      </c>
      <c r="F2770" s="0" t="s">
        <v>81</v>
      </c>
      <c r="I2770" s="0" t="n">
        <v>1493598</v>
      </c>
      <c r="J2770" s="0" t="n">
        <v>100012</v>
      </c>
      <c r="K2770" s="0" t="n">
        <v>13</v>
      </c>
      <c r="L2770" s="0" t="s">
        <v>2232</v>
      </c>
      <c r="N2770" s="0" t="n">
        <v>5.292</v>
      </c>
      <c r="O2770" s="60" t="n">
        <v>219.98</v>
      </c>
    </row>
    <row r="2771" customFormat="false" ht="15" hidden="false" customHeight="false" outlineLevel="0" collapsed="false">
      <c r="A2771" s="0" t="n">
        <v>3</v>
      </c>
      <c r="B2771" s="59" t="n">
        <v>46237</v>
      </c>
      <c r="C2771" s="0" t="n">
        <v>100</v>
      </c>
      <c r="D2771" s="0" t="s">
        <v>2181</v>
      </c>
      <c r="E2771" s="0" t="n">
        <v>42</v>
      </c>
      <c r="F2771" s="0" t="s">
        <v>81</v>
      </c>
      <c r="I2771" s="0" t="n">
        <v>1493598</v>
      </c>
      <c r="J2771" s="0" t="n">
        <v>100013</v>
      </c>
      <c r="K2771" s="0" t="n">
        <v>14</v>
      </c>
      <c r="L2771" s="0" t="s">
        <v>2233</v>
      </c>
      <c r="N2771" s="0" t="n">
        <v>10.275</v>
      </c>
      <c r="O2771" s="60" t="n">
        <v>460.63</v>
      </c>
    </row>
    <row r="2772" customFormat="false" ht="15" hidden="false" customHeight="false" outlineLevel="0" collapsed="false">
      <c r="A2772" s="0" t="n">
        <v>3</v>
      </c>
      <c r="B2772" s="59" t="n">
        <v>46237</v>
      </c>
      <c r="C2772" s="0" t="n">
        <v>100</v>
      </c>
      <c r="D2772" s="0" t="s">
        <v>2181</v>
      </c>
      <c r="E2772" s="0" t="n">
        <v>42</v>
      </c>
      <c r="F2772" s="0" t="s">
        <v>81</v>
      </c>
      <c r="I2772" s="0" t="n">
        <v>1493598</v>
      </c>
      <c r="J2772" s="0" t="n">
        <v>100014</v>
      </c>
      <c r="K2772" s="0" t="n">
        <v>15</v>
      </c>
      <c r="L2772" s="0" t="s">
        <v>2234</v>
      </c>
      <c r="N2772" s="0" t="n">
        <v>3.526</v>
      </c>
      <c r="O2772" s="60" t="n">
        <v>160.94</v>
      </c>
    </row>
    <row r="2773" customFormat="false" ht="15" hidden="false" customHeight="false" outlineLevel="0" collapsed="false">
      <c r="A2773" s="0" t="n">
        <v>3</v>
      </c>
      <c r="B2773" s="59" t="n">
        <v>46237</v>
      </c>
      <c r="C2773" s="0" t="n">
        <v>100</v>
      </c>
      <c r="D2773" s="0" t="s">
        <v>2181</v>
      </c>
      <c r="E2773" s="0" t="n">
        <v>42</v>
      </c>
      <c r="F2773" s="0" t="s">
        <v>81</v>
      </c>
      <c r="I2773" s="0" t="n">
        <v>1493598</v>
      </c>
      <c r="J2773" s="0" t="n">
        <v>100015</v>
      </c>
      <c r="K2773" s="0" t="n">
        <v>16</v>
      </c>
      <c r="L2773" s="0" t="s">
        <v>2235</v>
      </c>
      <c r="N2773" s="0" t="n">
        <v>1.364</v>
      </c>
      <c r="O2773" s="60" t="n">
        <v>56.7</v>
      </c>
    </row>
    <row r="2774" customFormat="false" ht="15" hidden="false" customHeight="false" outlineLevel="0" collapsed="false">
      <c r="A2774" s="0" t="n">
        <v>3</v>
      </c>
      <c r="B2774" s="59" t="n">
        <v>46237</v>
      </c>
      <c r="C2774" s="0" t="n">
        <v>100</v>
      </c>
      <c r="D2774" s="0" t="s">
        <v>2181</v>
      </c>
      <c r="E2774" s="0" t="n">
        <v>42</v>
      </c>
      <c r="F2774" s="0" t="s">
        <v>81</v>
      </c>
      <c r="I2774" s="0" t="n">
        <v>1493598</v>
      </c>
      <c r="J2774" s="0" t="n">
        <v>100016</v>
      </c>
      <c r="K2774" s="0" t="n">
        <v>17</v>
      </c>
      <c r="L2774" s="0" t="s">
        <v>2236</v>
      </c>
      <c r="N2774" s="0" t="n">
        <v>1.39</v>
      </c>
      <c r="O2774" s="60" t="n">
        <v>62.31</v>
      </c>
    </row>
    <row r="2775" customFormat="false" ht="15" hidden="false" customHeight="false" outlineLevel="0" collapsed="false">
      <c r="A2775" s="0" t="n">
        <v>3</v>
      </c>
      <c r="B2775" s="59" t="n">
        <v>46237</v>
      </c>
      <c r="C2775" s="0" t="n">
        <v>100</v>
      </c>
      <c r="D2775" s="0" t="s">
        <v>2181</v>
      </c>
      <c r="E2775" s="0" t="n">
        <v>42</v>
      </c>
      <c r="F2775" s="0" t="s">
        <v>81</v>
      </c>
      <c r="I2775" s="0" t="n">
        <v>1493598</v>
      </c>
      <c r="J2775" s="0" t="n">
        <v>100017</v>
      </c>
      <c r="K2775" s="0" t="n">
        <v>18</v>
      </c>
      <c r="L2775" s="0" t="s">
        <v>2237</v>
      </c>
      <c r="N2775" s="0" t="n">
        <v>2.164</v>
      </c>
      <c r="O2775" s="60" t="n">
        <v>114.65</v>
      </c>
    </row>
    <row r="2776" customFormat="false" ht="15" hidden="false" customHeight="false" outlineLevel="0" collapsed="false">
      <c r="A2776" s="0" t="n">
        <v>3</v>
      </c>
      <c r="B2776" s="59" t="n">
        <v>46237</v>
      </c>
      <c r="C2776" s="0" t="n">
        <v>100</v>
      </c>
      <c r="D2776" s="0" t="s">
        <v>2181</v>
      </c>
      <c r="E2776" s="0" t="n">
        <v>42</v>
      </c>
      <c r="F2776" s="0" t="s">
        <v>81</v>
      </c>
      <c r="I2776" s="0" t="n">
        <v>1493598</v>
      </c>
      <c r="J2776" s="0" t="n">
        <v>100019</v>
      </c>
      <c r="K2776" s="0" t="n">
        <v>20</v>
      </c>
      <c r="L2776" s="0" t="s">
        <v>2795</v>
      </c>
      <c r="N2776" s="0" t="n">
        <v>3.532</v>
      </c>
      <c r="O2776" s="60" t="n">
        <v>123.79</v>
      </c>
    </row>
    <row r="2777" customFormat="false" ht="15" hidden="false" customHeight="false" outlineLevel="0" collapsed="false">
      <c r="A2777" s="0" t="n">
        <v>3</v>
      </c>
      <c r="B2777" s="59" t="n">
        <v>46237</v>
      </c>
      <c r="C2777" s="0" t="n">
        <v>100</v>
      </c>
      <c r="D2777" s="0" t="s">
        <v>2181</v>
      </c>
      <c r="E2777" s="0" t="n">
        <v>42</v>
      </c>
      <c r="F2777" s="0" t="s">
        <v>81</v>
      </c>
      <c r="I2777" s="0" t="n">
        <v>1493598</v>
      </c>
      <c r="J2777" s="0" t="n">
        <v>100053</v>
      </c>
      <c r="K2777" s="0" t="n">
        <v>54</v>
      </c>
      <c r="L2777" s="0" t="s">
        <v>2238</v>
      </c>
      <c r="N2777" s="0" t="n">
        <v>1.774</v>
      </c>
      <c r="O2777" s="60" t="n">
        <v>65.07</v>
      </c>
    </row>
    <row r="2778" customFormat="false" ht="15" hidden="false" customHeight="false" outlineLevel="0" collapsed="false">
      <c r="A2778" s="0" t="n">
        <v>3</v>
      </c>
      <c r="B2778" s="59" t="n">
        <v>46237</v>
      </c>
      <c r="C2778" s="0" t="n">
        <v>100</v>
      </c>
      <c r="D2778" s="0" t="s">
        <v>2181</v>
      </c>
      <c r="E2778" s="0" t="n">
        <v>42</v>
      </c>
      <c r="F2778" s="0" t="s">
        <v>81</v>
      </c>
      <c r="I2778" s="0" t="n">
        <v>1493598</v>
      </c>
      <c r="J2778" s="0" t="n">
        <v>100638</v>
      </c>
      <c r="K2778" s="0" t="n">
        <v>508</v>
      </c>
      <c r="L2778" s="0" t="s">
        <v>2178</v>
      </c>
      <c r="N2778" s="0" t="n">
        <v>2.328</v>
      </c>
      <c r="O2778" s="60" t="n">
        <v>3.78</v>
      </c>
    </row>
    <row r="2779" customFormat="false" ht="15" hidden="false" customHeight="false" outlineLevel="0" collapsed="false">
      <c r="A2779" s="0" t="n">
        <v>3</v>
      </c>
      <c r="B2779" s="59" t="n">
        <v>46237</v>
      </c>
      <c r="C2779" s="0" t="n">
        <v>100</v>
      </c>
      <c r="D2779" s="0" t="s">
        <v>2181</v>
      </c>
      <c r="E2779" s="0" t="n">
        <v>42</v>
      </c>
      <c r="F2779" s="0" t="s">
        <v>81</v>
      </c>
      <c r="I2779" s="0" t="n">
        <v>1493598</v>
      </c>
      <c r="J2779" s="0" t="n">
        <v>100520</v>
      </c>
      <c r="K2779" s="0" t="n">
        <v>507</v>
      </c>
      <c r="L2779" s="0" t="s">
        <v>2179</v>
      </c>
      <c r="N2779" s="0" t="n">
        <v>9.446</v>
      </c>
      <c r="O2779" s="60" t="n">
        <v>23.03</v>
      </c>
    </row>
    <row r="2780" customFormat="false" ht="15" hidden="false" customHeight="false" outlineLevel="0" collapsed="false">
      <c r="A2780" s="0" t="n">
        <v>3</v>
      </c>
      <c r="B2780" s="59" t="n">
        <v>46237</v>
      </c>
      <c r="C2780" s="0" t="n">
        <v>100</v>
      </c>
      <c r="D2780" s="0" t="s">
        <v>2181</v>
      </c>
      <c r="E2780" s="0" t="n">
        <v>42</v>
      </c>
      <c r="F2780" s="0" t="s">
        <v>81</v>
      </c>
      <c r="I2780" s="0" t="n">
        <v>1493598</v>
      </c>
      <c r="J2780" s="0" t="n">
        <v>110455</v>
      </c>
      <c r="K2780" s="0" t="n">
        <v>53212</v>
      </c>
      <c r="L2780" s="0" t="s">
        <v>2180</v>
      </c>
      <c r="N2780" s="0" t="n">
        <v>0.525</v>
      </c>
      <c r="O2780" s="60" t="n">
        <v>0</v>
      </c>
    </row>
    <row r="2781" customFormat="false" ht="15" hidden="false" customHeight="false" outlineLevel="0" collapsed="false">
      <c r="A2781" s="0" t="n">
        <v>3</v>
      </c>
      <c r="B2781" s="59" t="n">
        <v>46237</v>
      </c>
      <c r="C2781" s="0" t="n">
        <v>100</v>
      </c>
      <c r="D2781" s="0" t="s">
        <v>2181</v>
      </c>
      <c r="E2781" s="0" t="n">
        <v>42</v>
      </c>
      <c r="F2781" s="0" t="s">
        <v>81</v>
      </c>
      <c r="I2781" s="0" t="n">
        <v>1493603</v>
      </c>
      <c r="J2781" s="0" t="n">
        <v>100000</v>
      </c>
      <c r="K2781" s="0" t="n">
        <v>1</v>
      </c>
      <c r="L2781" s="0" t="s">
        <v>2173</v>
      </c>
      <c r="N2781" s="0" t="n">
        <v>2.212</v>
      </c>
      <c r="O2781" s="60" t="n">
        <v>49.33</v>
      </c>
    </row>
    <row r="2782" customFormat="false" ht="15" hidden="false" customHeight="false" outlineLevel="0" collapsed="false">
      <c r="A2782" s="0" t="n">
        <v>3</v>
      </c>
      <c r="B2782" s="59" t="n">
        <v>46237</v>
      </c>
      <c r="C2782" s="0" t="n">
        <v>100</v>
      </c>
      <c r="D2782" s="0" t="s">
        <v>2181</v>
      </c>
      <c r="E2782" s="0" t="n">
        <v>42</v>
      </c>
      <c r="F2782" s="0" t="s">
        <v>81</v>
      </c>
      <c r="I2782" s="0" t="n">
        <v>1493603</v>
      </c>
      <c r="J2782" s="0" t="n">
        <v>100001</v>
      </c>
      <c r="K2782" s="0" t="n">
        <v>2</v>
      </c>
      <c r="L2782" s="0" t="s">
        <v>2174</v>
      </c>
      <c r="N2782" s="0" t="n">
        <v>10.342</v>
      </c>
      <c r="O2782" s="60" t="n">
        <v>246.54</v>
      </c>
    </row>
    <row r="2783" customFormat="false" ht="15" hidden="false" customHeight="false" outlineLevel="0" collapsed="false">
      <c r="A2783" s="0" t="n">
        <v>3</v>
      </c>
      <c r="B2783" s="59" t="n">
        <v>46237</v>
      </c>
      <c r="C2783" s="0" t="n">
        <v>100</v>
      </c>
      <c r="D2783" s="0" t="s">
        <v>2181</v>
      </c>
      <c r="E2783" s="0" t="n">
        <v>42</v>
      </c>
      <c r="F2783" s="0" t="s">
        <v>81</v>
      </c>
      <c r="I2783" s="0" t="n">
        <v>1493603</v>
      </c>
      <c r="J2783" s="0" t="n">
        <v>100002</v>
      </c>
      <c r="K2783" s="0" t="n">
        <v>3</v>
      </c>
      <c r="L2783" s="0" t="s">
        <v>2175</v>
      </c>
      <c r="N2783" s="0" t="n">
        <v>15.49</v>
      </c>
      <c r="O2783" s="60" t="n">
        <v>381.18</v>
      </c>
    </row>
    <row r="2784" customFormat="false" ht="15" hidden="false" customHeight="false" outlineLevel="0" collapsed="false">
      <c r="A2784" s="0" t="n">
        <v>3</v>
      </c>
      <c r="B2784" s="59" t="n">
        <v>46237</v>
      </c>
      <c r="C2784" s="0" t="n">
        <v>100</v>
      </c>
      <c r="D2784" s="0" t="s">
        <v>2181</v>
      </c>
      <c r="E2784" s="0" t="n">
        <v>42</v>
      </c>
      <c r="F2784" s="0" t="s">
        <v>81</v>
      </c>
      <c r="I2784" s="0" t="n">
        <v>1493603</v>
      </c>
      <c r="J2784" s="0" t="n">
        <v>100003</v>
      </c>
      <c r="K2784" s="0" t="n">
        <v>4</v>
      </c>
      <c r="L2784" s="0" t="s">
        <v>2176</v>
      </c>
      <c r="N2784" s="0" t="n">
        <v>12.898</v>
      </c>
      <c r="O2784" s="60" t="n">
        <v>347.16</v>
      </c>
    </row>
    <row r="2785" customFormat="false" ht="15" hidden="false" customHeight="false" outlineLevel="0" collapsed="false">
      <c r="A2785" s="0" t="n">
        <v>3</v>
      </c>
      <c r="B2785" s="59" t="n">
        <v>46237</v>
      </c>
      <c r="C2785" s="0" t="n">
        <v>100</v>
      </c>
      <c r="D2785" s="0" t="s">
        <v>2181</v>
      </c>
      <c r="E2785" s="0" t="n">
        <v>42</v>
      </c>
      <c r="F2785" s="0" t="s">
        <v>81</v>
      </c>
      <c r="I2785" s="0" t="n">
        <v>1493603</v>
      </c>
      <c r="J2785" s="0" t="n">
        <v>100007</v>
      </c>
      <c r="K2785" s="0" t="n">
        <v>8</v>
      </c>
      <c r="L2785" s="0" t="s">
        <v>2177</v>
      </c>
      <c r="N2785" s="0" t="n">
        <v>5.83</v>
      </c>
      <c r="O2785" s="60" t="n">
        <v>152.43</v>
      </c>
    </row>
    <row r="2786" customFormat="false" ht="15" hidden="false" customHeight="false" outlineLevel="0" collapsed="false">
      <c r="A2786" s="0" t="n">
        <v>3</v>
      </c>
      <c r="B2786" s="59" t="n">
        <v>46237</v>
      </c>
      <c r="C2786" s="0" t="n">
        <v>100</v>
      </c>
      <c r="D2786" s="0" t="s">
        <v>2181</v>
      </c>
      <c r="E2786" s="0" t="n">
        <v>42</v>
      </c>
      <c r="F2786" s="0" t="s">
        <v>81</v>
      </c>
      <c r="I2786" s="0" t="n">
        <v>1493603</v>
      </c>
      <c r="J2786" s="0" t="n">
        <v>100638</v>
      </c>
      <c r="K2786" s="0" t="n">
        <v>508</v>
      </c>
      <c r="L2786" s="0" t="s">
        <v>2178</v>
      </c>
      <c r="N2786" s="0" t="n">
        <v>1.086</v>
      </c>
      <c r="O2786" s="60" t="n">
        <v>1.66</v>
      </c>
    </row>
    <row r="2787" customFormat="false" ht="15" hidden="false" customHeight="false" outlineLevel="0" collapsed="false">
      <c r="A2787" s="0" t="n">
        <v>3</v>
      </c>
      <c r="B2787" s="59" t="n">
        <v>46237</v>
      </c>
      <c r="C2787" s="0" t="n">
        <v>100</v>
      </c>
      <c r="D2787" s="0" t="s">
        <v>2181</v>
      </c>
      <c r="E2787" s="0" t="n">
        <v>42</v>
      </c>
      <c r="F2787" s="0" t="s">
        <v>81</v>
      </c>
      <c r="I2787" s="0" t="n">
        <v>1493603</v>
      </c>
      <c r="J2787" s="0" t="n">
        <v>100520</v>
      </c>
      <c r="K2787" s="0" t="n">
        <v>507</v>
      </c>
      <c r="L2787" s="0" t="s">
        <v>2179</v>
      </c>
      <c r="N2787" s="0" t="n">
        <v>4.22</v>
      </c>
      <c r="O2787" s="60" t="n">
        <v>9.71</v>
      </c>
    </row>
    <row r="2788" customFormat="false" ht="15" hidden="false" customHeight="false" outlineLevel="0" collapsed="false">
      <c r="A2788" s="0" t="n">
        <v>3</v>
      </c>
      <c r="B2788" s="59" t="n">
        <v>46237</v>
      </c>
      <c r="C2788" s="0" t="n">
        <v>100</v>
      </c>
      <c r="D2788" s="0" t="s">
        <v>2181</v>
      </c>
      <c r="E2788" s="0" t="n">
        <v>42</v>
      </c>
      <c r="F2788" s="0" t="s">
        <v>81</v>
      </c>
      <c r="I2788" s="0" t="n">
        <v>1493603</v>
      </c>
      <c r="J2788" s="0" t="n">
        <v>110455</v>
      </c>
      <c r="K2788" s="0" t="n">
        <v>53212</v>
      </c>
      <c r="L2788" s="0" t="s">
        <v>2180</v>
      </c>
      <c r="N2788" s="0" t="n">
        <v>0.722</v>
      </c>
      <c r="O2788" s="60" t="n">
        <v>0</v>
      </c>
    </row>
    <row r="2789" customFormat="false" ht="15" hidden="false" customHeight="false" outlineLevel="0" collapsed="false">
      <c r="A2789" s="0" t="n">
        <v>3</v>
      </c>
      <c r="B2789" s="59" t="n">
        <v>46237</v>
      </c>
      <c r="C2789" s="0" t="n">
        <v>100</v>
      </c>
      <c r="D2789" s="0" t="s">
        <v>2181</v>
      </c>
      <c r="E2789" s="0" t="n">
        <v>42</v>
      </c>
      <c r="F2789" s="0" t="s">
        <v>81</v>
      </c>
      <c r="I2789" s="0" t="n">
        <v>1493657</v>
      </c>
      <c r="J2789" s="0" t="n">
        <v>100000</v>
      </c>
      <c r="K2789" s="0" t="n">
        <v>1</v>
      </c>
      <c r="L2789" s="0" t="s">
        <v>2173</v>
      </c>
      <c r="N2789" s="0" t="n">
        <v>1.908</v>
      </c>
      <c r="O2789" s="60" t="n">
        <v>41.96</v>
      </c>
    </row>
    <row r="2790" customFormat="false" ht="15" hidden="false" customHeight="false" outlineLevel="0" collapsed="false">
      <c r="A2790" s="0" t="n">
        <v>3</v>
      </c>
      <c r="B2790" s="59" t="n">
        <v>46237</v>
      </c>
      <c r="C2790" s="0" t="n">
        <v>100</v>
      </c>
      <c r="D2790" s="0" t="s">
        <v>2181</v>
      </c>
      <c r="E2790" s="0" t="n">
        <v>42</v>
      </c>
      <c r="F2790" s="0" t="s">
        <v>81</v>
      </c>
      <c r="I2790" s="0" t="n">
        <v>1493657</v>
      </c>
      <c r="J2790" s="0" t="n">
        <v>100001</v>
      </c>
      <c r="K2790" s="0" t="n">
        <v>2</v>
      </c>
      <c r="L2790" s="0" t="s">
        <v>2174</v>
      </c>
      <c r="N2790" s="0" t="n">
        <v>8.185</v>
      </c>
      <c r="O2790" s="60" t="n">
        <v>192.42</v>
      </c>
    </row>
    <row r="2791" customFormat="false" ht="15" hidden="false" customHeight="false" outlineLevel="0" collapsed="false">
      <c r="A2791" s="0" t="n">
        <v>3</v>
      </c>
      <c r="B2791" s="59" t="n">
        <v>46237</v>
      </c>
      <c r="C2791" s="0" t="n">
        <v>100</v>
      </c>
      <c r="D2791" s="0" t="s">
        <v>2181</v>
      </c>
      <c r="E2791" s="0" t="n">
        <v>42</v>
      </c>
      <c r="F2791" s="0" t="s">
        <v>81</v>
      </c>
      <c r="I2791" s="0" t="n">
        <v>1493657</v>
      </c>
      <c r="J2791" s="0" t="n">
        <v>100002</v>
      </c>
      <c r="K2791" s="0" t="n">
        <v>3</v>
      </c>
      <c r="L2791" s="0" t="s">
        <v>2175</v>
      </c>
      <c r="N2791" s="0" t="n">
        <v>15.125</v>
      </c>
      <c r="O2791" s="60" t="n">
        <v>367.05</v>
      </c>
    </row>
    <row r="2792" customFormat="false" ht="15" hidden="false" customHeight="false" outlineLevel="0" collapsed="false">
      <c r="A2792" s="0" t="n">
        <v>3</v>
      </c>
      <c r="B2792" s="59" t="n">
        <v>46237</v>
      </c>
      <c r="C2792" s="0" t="n">
        <v>100</v>
      </c>
      <c r="D2792" s="0" t="s">
        <v>2181</v>
      </c>
      <c r="E2792" s="0" t="n">
        <v>42</v>
      </c>
      <c r="F2792" s="0" t="s">
        <v>81</v>
      </c>
      <c r="I2792" s="0" t="n">
        <v>1493657</v>
      </c>
      <c r="J2792" s="0" t="n">
        <v>100003</v>
      </c>
      <c r="K2792" s="0" t="n">
        <v>4</v>
      </c>
      <c r="L2792" s="0" t="s">
        <v>2176</v>
      </c>
      <c r="N2792" s="0" t="n">
        <v>12.876</v>
      </c>
      <c r="O2792" s="60" t="n">
        <v>341.78</v>
      </c>
    </row>
    <row r="2793" customFormat="false" ht="15" hidden="false" customHeight="false" outlineLevel="0" collapsed="false">
      <c r="A2793" s="0" t="n">
        <v>3</v>
      </c>
      <c r="B2793" s="59" t="n">
        <v>46237</v>
      </c>
      <c r="C2793" s="0" t="n">
        <v>100</v>
      </c>
      <c r="D2793" s="0" t="s">
        <v>2181</v>
      </c>
      <c r="E2793" s="0" t="n">
        <v>42</v>
      </c>
      <c r="F2793" s="0" t="s">
        <v>81</v>
      </c>
      <c r="I2793" s="0" t="n">
        <v>1493657</v>
      </c>
      <c r="J2793" s="0" t="n">
        <v>100007</v>
      </c>
      <c r="K2793" s="0" t="n">
        <v>8</v>
      </c>
      <c r="L2793" s="0" t="s">
        <v>2177</v>
      </c>
      <c r="N2793" s="0" t="n">
        <v>5.426</v>
      </c>
      <c r="O2793" s="60" t="n">
        <v>139.91</v>
      </c>
    </row>
    <row r="2794" customFormat="false" ht="15" hidden="false" customHeight="false" outlineLevel="0" collapsed="false">
      <c r="A2794" s="0" t="n">
        <v>3</v>
      </c>
      <c r="B2794" s="59" t="n">
        <v>46237</v>
      </c>
      <c r="C2794" s="0" t="n">
        <v>100</v>
      </c>
      <c r="D2794" s="0" t="s">
        <v>2181</v>
      </c>
      <c r="E2794" s="0" t="n">
        <v>42</v>
      </c>
      <c r="F2794" s="0" t="s">
        <v>81</v>
      </c>
      <c r="I2794" s="0" t="n">
        <v>1493657</v>
      </c>
      <c r="J2794" s="0" t="n">
        <v>100638</v>
      </c>
      <c r="K2794" s="0" t="n">
        <v>508</v>
      </c>
      <c r="L2794" s="0" t="s">
        <v>2178</v>
      </c>
      <c r="N2794" s="0" t="n">
        <v>2.088</v>
      </c>
      <c r="O2794" s="60" t="n">
        <v>3.15</v>
      </c>
    </row>
    <row r="2795" customFormat="false" ht="15" hidden="false" customHeight="false" outlineLevel="0" collapsed="false">
      <c r="A2795" s="0" t="n">
        <v>3</v>
      </c>
      <c r="B2795" s="59" t="n">
        <v>46237</v>
      </c>
      <c r="C2795" s="0" t="n">
        <v>100</v>
      </c>
      <c r="D2795" s="0" t="s">
        <v>2181</v>
      </c>
      <c r="E2795" s="0" t="n">
        <v>42</v>
      </c>
      <c r="F2795" s="0" t="s">
        <v>81</v>
      </c>
      <c r="I2795" s="0" t="n">
        <v>1493657</v>
      </c>
      <c r="J2795" s="0" t="n">
        <v>100520</v>
      </c>
      <c r="K2795" s="0" t="n">
        <v>507</v>
      </c>
      <c r="L2795" s="0" t="s">
        <v>2179</v>
      </c>
      <c r="N2795" s="0" t="n">
        <v>3.14</v>
      </c>
      <c r="O2795" s="60" t="n">
        <v>7.12</v>
      </c>
    </row>
    <row r="2796" customFormat="false" ht="15" hidden="false" customHeight="false" outlineLevel="0" collapsed="false">
      <c r="A2796" s="0" t="n">
        <v>3</v>
      </c>
      <c r="B2796" s="59" t="n">
        <v>46237</v>
      </c>
      <c r="C2796" s="0" t="n">
        <v>100</v>
      </c>
      <c r="D2796" s="0" t="s">
        <v>2181</v>
      </c>
      <c r="E2796" s="0" t="n">
        <v>42</v>
      </c>
      <c r="F2796" s="0" t="s">
        <v>81</v>
      </c>
      <c r="I2796" s="0" t="n">
        <v>1493657</v>
      </c>
      <c r="J2796" s="0" t="n">
        <v>110455</v>
      </c>
      <c r="K2796" s="0" t="n">
        <v>53212</v>
      </c>
      <c r="L2796" s="0" t="s">
        <v>2180</v>
      </c>
      <c r="N2796" s="0" t="n">
        <v>0.952</v>
      </c>
      <c r="O2796" s="60" t="n">
        <v>0.01</v>
      </c>
    </row>
    <row r="2797" customFormat="false" ht="15" hidden="false" customHeight="false" outlineLevel="0" collapsed="false">
      <c r="A2797" s="0" t="n">
        <v>3</v>
      </c>
      <c r="B2797" s="59" t="n">
        <v>46237</v>
      </c>
      <c r="C2797" s="0" t="n">
        <v>100</v>
      </c>
      <c r="D2797" s="0" t="s">
        <v>2181</v>
      </c>
      <c r="E2797" s="0" t="n">
        <v>42</v>
      </c>
      <c r="F2797" s="0" t="s">
        <v>81</v>
      </c>
      <c r="I2797" s="0" t="n">
        <v>1493660</v>
      </c>
      <c r="J2797" s="0" t="n">
        <v>100000</v>
      </c>
      <c r="K2797" s="0" t="n">
        <v>1</v>
      </c>
      <c r="L2797" s="0" t="s">
        <v>2173</v>
      </c>
      <c r="N2797" s="0" t="n">
        <v>1.908</v>
      </c>
      <c r="O2797" s="60" t="n">
        <v>41.96</v>
      </c>
    </row>
    <row r="2798" customFormat="false" ht="15" hidden="false" customHeight="false" outlineLevel="0" collapsed="false">
      <c r="A2798" s="0" t="n">
        <v>3</v>
      </c>
      <c r="B2798" s="59" t="n">
        <v>46237</v>
      </c>
      <c r="C2798" s="0" t="n">
        <v>100</v>
      </c>
      <c r="D2798" s="0" t="s">
        <v>2181</v>
      </c>
      <c r="E2798" s="0" t="n">
        <v>42</v>
      </c>
      <c r="F2798" s="0" t="s">
        <v>81</v>
      </c>
      <c r="I2798" s="0" t="n">
        <v>1493660</v>
      </c>
      <c r="J2798" s="0" t="n">
        <v>100001</v>
      </c>
      <c r="K2798" s="0" t="n">
        <v>2</v>
      </c>
      <c r="L2798" s="0" t="s">
        <v>2174</v>
      </c>
      <c r="N2798" s="0" t="n">
        <v>8.185</v>
      </c>
      <c r="O2798" s="60" t="n">
        <v>192.42</v>
      </c>
    </row>
    <row r="2799" customFormat="false" ht="15" hidden="false" customHeight="false" outlineLevel="0" collapsed="false">
      <c r="A2799" s="0" t="n">
        <v>3</v>
      </c>
      <c r="B2799" s="59" t="n">
        <v>46237</v>
      </c>
      <c r="C2799" s="0" t="n">
        <v>100</v>
      </c>
      <c r="D2799" s="0" t="s">
        <v>2181</v>
      </c>
      <c r="E2799" s="0" t="n">
        <v>42</v>
      </c>
      <c r="F2799" s="0" t="s">
        <v>81</v>
      </c>
      <c r="I2799" s="0" t="n">
        <v>1493660</v>
      </c>
      <c r="J2799" s="0" t="n">
        <v>100002</v>
      </c>
      <c r="K2799" s="0" t="n">
        <v>3</v>
      </c>
      <c r="L2799" s="0" t="s">
        <v>2175</v>
      </c>
      <c r="N2799" s="0" t="n">
        <v>15.125</v>
      </c>
      <c r="O2799" s="60" t="n">
        <v>367.05</v>
      </c>
    </row>
    <row r="2800" customFormat="false" ht="15" hidden="false" customHeight="false" outlineLevel="0" collapsed="false">
      <c r="A2800" s="0" t="n">
        <v>3</v>
      </c>
      <c r="B2800" s="59" t="n">
        <v>46237</v>
      </c>
      <c r="C2800" s="0" t="n">
        <v>100</v>
      </c>
      <c r="D2800" s="0" t="s">
        <v>2181</v>
      </c>
      <c r="E2800" s="0" t="n">
        <v>42</v>
      </c>
      <c r="F2800" s="0" t="s">
        <v>81</v>
      </c>
      <c r="I2800" s="0" t="n">
        <v>1493660</v>
      </c>
      <c r="J2800" s="0" t="n">
        <v>100003</v>
      </c>
      <c r="K2800" s="0" t="n">
        <v>4</v>
      </c>
      <c r="L2800" s="0" t="s">
        <v>2176</v>
      </c>
      <c r="N2800" s="0" t="n">
        <v>12.876</v>
      </c>
      <c r="O2800" s="60" t="n">
        <v>341.78</v>
      </c>
    </row>
    <row r="2801" customFormat="false" ht="15" hidden="false" customHeight="false" outlineLevel="0" collapsed="false">
      <c r="A2801" s="0" t="n">
        <v>3</v>
      </c>
      <c r="B2801" s="59" t="n">
        <v>46237</v>
      </c>
      <c r="C2801" s="0" t="n">
        <v>100</v>
      </c>
      <c r="D2801" s="0" t="s">
        <v>2181</v>
      </c>
      <c r="E2801" s="0" t="n">
        <v>42</v>
      </c>
      <c r="F2801" s="0" t="s">
        <v>81</v>
      </c>
      <c r="I2801" s="0" t="n">
        <v>1493660</v>
      </c>
      <c r="J2801" s="0" t="n">
        <v>100007</v>
      </c>
      <c r="K2801" s="0" t="n">
        <v>8</v>
      </c>
      <c r="L2801" s="0" t="s">
        <v>2177</v>
      </c>
      <c r="N2801" s="0" t="n">
        <v>5.426</v>
      </c>
      <c r="O2801" s="60" t="n">
        <v>139.91</v>
      </c>
    </row>
    <row r="2802" customFormat="false" ht="15" hidden="false" customHeight="false" outlineLevel="0" collapsed="false">
      <c r="A2802" s="0" t="n">
        <v>3</v>
      </c>
      <c r="B2802" s="59" t="n">
        <v>46237</v>
      </c>
      <c r="C2802" s="0" t="n">
        <v>100</v>
      </c>
      <c r="D2802" s="0" t="s">
        <v>2181</v>
      </c>
      <c r="E2802" s="0" t="n">
        <v>42</v>
      </c>
      <c r="F2802" s="0" t="s">
        <v>81</v>
      </c>
      <c r="I2802" s="0" t="n">
        <v>1493660</v>
      </c>
      <c r="J2802" s="0" t="n">
        <v>100638</v>
      </c>
      <c r="K2802" s="0" t="n">
        <v>508</v>
      </c>
      <c r="L2802" s="0" t="s">
        <v>2178</v>
      </c>
      <c r="N2802" s="0" t="n">
        <v>2.088</v>
      </c>
      <c r="O2802" s="60" t="n">
        <v>3.15</v>
      </c>
    </row>
    <row r="2803" customFormat="false" ht="15" hidden="false" customHeight="false" outlineLevel="0" collapsed="false">
      <c r="A2803" s="0" t="n">
        <v>3</v>
      </c>
      <c r="B2803" s="59" t="n">
        <v>46237</v>
      </c>
      <c r="C2803" s="0" t="n">
        <v>100</v>
      </c>
      <c r="D2803" s="0" t="s">
        <v>2181</v>
      </c>
      <c r="E2803" s="0" t="n">
        <v>42</v>
      </c>
      <c r="F2803" s="0" t="s">
        <v>81</v>
      </c>
      <c r="I2803" s="0" t="n">
        <v>1493660</v>
      </c>
      <c r="J2803" s="0" t="n">
        <v>100520</v>
      </c>
      <c r="K2803" s="0" t="n">
        <v>507</v>
      </c>
      <c r="L2803" s="0" t="s">
        <v>2179</v>
      </c>
      <c r="N2803" s="0" t="n">
        <v>3.14</v>
      </c>
      <c r="O2803" s="60" t="n">
        <v>7.12</v>
      </c>
    </row>
    <row r="2804" customFormat="false" ht="15" hidden="false" customHeight="false" outlineLevel="0" collapsed="false">
      <c r="A2804" s="0" t="n">
        <v>3</v>
      </c>
      <c r="B2804" s="59" t="n">
        <v>46237</v>
      </c>
      <c r="C2804" s="0" t="n">
        <v>100</v>
      </c>
      <c r="D2804" s="0" t="s">
        <v>2181</v>
      </c>
      <c r="E2804" s="0" t="n">
        <v>42</v>
      </c>
      <c r="F2804" s="0" t="s">
        <v>81</v>
      </c>
      <c r="I2804" s="0" t="n">
        <v>1493660</v>
      </c>
      <c r="J2804" s="0" t="n">
        <v>110455</v>
      </c>
      <c r="K2804" s="0" t="n">
        <v>53212</v>
      </c>
      <c r="L2804" s="0" t="s">
        <v>2180</v>
      </c>
      <c r="N2804" s="0" t="n">
        <v>0.952</v>
      </c>
      <c r="O2804" s="60" t="n">
        <v>0.01</v>
      </c>
    </row>
    <row r="2805" customFormat="false" ht="15" hidden="false" customHeight="false" outlineLevel="0" collapsed="false">
      <c r="A2805" s="0" t="n">
        <v>3</v>
      </c>
      <c r="B2805" s="59" t="n">
        <v>46237</v>
      </c>
      <c r="C2805" s="0" t="n">
        <v>100</v>
      </c>
      <c r="D2805" s="0" t="s">
        <v>2181</v>
      </c>
      <c r="E2805" s="0" t="n">
        <v>42</v>
      </c>
      <c r="F2805" s="0" t="s">
        <v>81</v>
      </c>
      <c r="I2805" s="0" t="n">
        <v>1493680</v>
      </c>
      <c r="J2805" s="0" t="n">
        <v>100006</v>
      </c>
      <c r="K2805" s="0" t="n">
        <v>7</v>
      </c>
      <c r="L2805" s="0" t="s">
        <v>2228</v>
      </c>
      <c r="N2805" s="0" t="n">
        <v>7.222</v>
      </c>
      <c r="O2805" s="60" t="n">
        <v>232.94</v>
      </c>
    </row>
    <row r="2806" customFormat="false" ht="15" hidden="false" customHeight="false" outlineLevel="0" collapsed="false">
      <c r="A2806" s="0" t="n">
        <v>3</v>
      </c>
      <c r="B2806" s="59" t="n">
        <v>46237</v>
      </c>
      <c r="C2806" s="0" t="n">
        <v>100</v>
      </c>
      <c r="D2806" s="0" t="s">
        <v>2181</v>
      </c>
      <c r="E2806" s="0" t="n">
        <v>42</v>
      </c>
      <c r="F2806" s="0" t="s">
        <v>81</v>
      </c>
      <c r="I2806" s="0" t="n">
        <v>1493680</v>
      </c>
      <c r="J2806" s="0" t="n">
        <v>100008</v>
      </c>
      <c r="K2806" s="0" t="n">
        <v>9</v>
      </c>
      <c r="L2806" s="0" t="s">
        <v>2229</v>
      </c>
      <c r="N2806" s="0" t="n">
        <v>12.625</v>
      </c>
      <c r="O2806" s="60" t="n">
        <v>417.39</v>
      </c>
    </row>
    <row r="2807" customFormat="false" ht="15" hidden="false" customHeight="false" outlineLevel="0" collapsed="false">
      <c r="A2807" s="0" t="n">
        <v>3</v>
      </c>
      <c r="B2807" s="59" t="n">
        <v>46237</v>
      </c>
      <c r="C2807" s="0" t="n">
        <v>100</v>
      </c>
      <c r="D2807" s="0" t="s">
        <v>2181</v>
      </c>
      <c r="E2807" s="0" t="n">
        <v>42</v>
      </c>
      <c r="F2807" s="0" t="s">
        <v>81</v>
      </c>
      <c r="I2807" s="0" t="n">
        <v>1493680</v>
      </c>
      <c r="J2807" s="0" t="n">
        <v>100010</v>
      </c>
      <c r="K2807" s="0" t="n">
        <v>11</v>
      </c>
      <c r="L2807" s="0" t="s">
        <v>2230</v>
      </c>
      <c r="N2807" s="0" t="n">
        <v>3.008</v>
      </c>
      <c r="O2807" s="60" t="n">
        <v>114</v>
      </c>
    </row>
    <row r="2808" customFormat="false" ht="15" hidden="false" customHeight="false" outlineLevel="0" collapsed="false">
      <c r="A2808" s="0" t="n">
        <v>3</v>
      </c>
      <c r="B2808" s="59" t="n">
        <v>46237</v>
      </c>
      <c r="C2808" s="0" t="n">
        <v>100</v>
      </c>
      <c r="D2808" s="0" t="s">
        <v>2181</v>
      </c>
      <c r="E2808" s="0" t="n">
        <v>42</v>
      </c>
      <c r="F2808" s="0" t="s">
        <v>81</v>
      </c>
      <c r="I2808" s="0" t="n">
        <v>1493680</v>
      </c>
      <c r="J2808" s="0" t="n">
        <v>100011</v>
      </c>
      <c r="K2808" s="0" t="n">
        <v>12</v>
      </c>
      <c r="L2808" s="0" t="s">
        <v>2231</v>
      </c>
      <c r="N2808" s="0" t="n">
        <v>5.794</v>
      </c>
      <c r="O2808" s="60" t="n">
        <v>219.59</v>
      </c>
    </row>
    <row r="2809" customFormat="false" ht="15" hidden="false" customHeight="false" outlineLevel="0" collapsed="false">
      <c r="A2809" s="0" t="n">
        <v>3</v>
      </c>
      <c r="B2809" s="59" t="n">
        <v>46237</v>
      </c>
      <c r="C2809" s="0" t="n">
        <v>100</v>
      </c>
      <c r="D2809" s="0" t="s">
        <v>2181</v>
      </c>
      <c r="E2809" s="0" t="n">
        <v>42</v>
      </c>
      <c r="F2809" s="0" t="s">
        <v>81</v>
      </c>
      <c r="I2809" s="0" t="n">
        <v>1493680</v>
      </c>
      <c r="J2809" s="0" t="n">
        <v>100012</v>
      </c>
      <c r="K2809" s="0" t="n">
        <v>13</v>
      </c>
      <c r="L2809" s="0" t="s">
        <v>2232</v>
      </c>
      <c r="N2809" s="0" t="n">
        <v>5.318</v>
      </c>
      <c r="O2809" s="60" t="n">
        <v>218.71</v>
      </c>
    </row>
    <row r="2810" customFormat="false" ht="15" hidden="false" customHeight="false" outlineLevel="0" collapsed="false">
      <c r="A2810" s="0" t="n">
        <v>3</v>
      </c>
      <c r="B2810" s="59" t="n">
        <v>46237</v>
      </c>
      <c r="C2810" s="0" t="n">
        <v>100</v>
      </c>
      <c r="D2810" s="0" t="s">
        <v>2181</v>
      </c>
      <c r="E2810" s="0" t="n">
        <v>42</v>
      </c>
      <c r="F2810" s="0" t="s">
        <v>81</v>
      </c>
      <c r="I2810" s="0" t="n">
        <v>1493680</v>
      </c>
      <c r="J2810" s="0" t="n">
        <v>100013</v>
      </c>
      <c r="K2810" s="0" t="n">
        <v>14</v>
      </c>
      <c r="L2810" s="0" t="s">
        <v>2233</v>
      </c>
      <c r="N2810" s="0" t="n">
        <v>10.59</v>
      </c>
      <c r="O2810" s="60" t="n">
        <v>469.69</v>
      </c>
    </row>
    <row r="2811" customFormat="false" ht="15" hidden="false" customHeight="false" outlineLevel="0" collapsed="false">
      <c r="A2811" s="0" t="n">
        <v>3</v>
      </c>
      <c r="B2811" s="59" t="n">
        <v>46237</v>
      </c>
      <c r="C2811" s="0" t="n">
        <v>100</v>
      </c>
      <c r="D2811" s="0" t="s">
        <v>2181</v>
      </c>
      <c r="E2811" s="0" t="n">
        <v>42</v>
      </c>
      <c r="F2811" s="0" t="s">
        <v>81</v>
      </c>
      <c r="I2811" s="0" t="n">
        <v>1493680</v>
      </c>
      <c r="J2811" s="0" t="n">
        <v>100014</v>
      </c>
      <c r="K2811" s="0" t="n">
        <v>15</v>
      </c>
      <c r="L2811" s="0" t="s">
        <v>2234</v>
      </c>
      <c r="N2811" s="0" t="n">
        <v>4.398</v>
      </c>
      <c r="O2811" s="60" t="n">
        <v>198.61</v>
      </c>
    </row>
    <row r="2812" customFormat="false" ht="15" hidden="false" customHeight="false" outlineLevel="0" collapsed="false">
      <c r="A2812" s="0" t="n">
        <v>3</v>
      </c>
      <c r="B2812" s="59" t="n">
        <v>46237</v>
      </c>
      <c r="C2812" s="0" t="n">
        <v>100</v>
      </c>
      <c r="D2812" s="0" t="s">
        <v>2181</v>
      </c>
      <c r="E2812" s="0" t="n">
        <v>42</v>
      </c>
      <c r="F2812" s="0" t="s">
        <v>81</v>
      </c>
      <c r="I2812" s="0" t="n">
        <v>1493680</v>
      </c>
      <c r="J2812" s="0" t="n">
        <v>100015</v>
      </c>
      <c r="K2812" s="0" t="n">
        <v>16</v>
      </c>
      <c r="L2812" s="0" t="s">
        <v>2235</v>
      </c>
      <c r="N2812" s="0" t="n">
        <v>1.514</v>
      </c>
      <c r="O2812" s="60" t="n">
        <v>62.26</v>
      </c>
    </row>
    <row r="2813" customFormat="false" ht="15" hidden="false" customHeight="false" outlineLevel="0" collapsed="false">
      <c r="A2813" s="0" t="n">
        <v>3</v>
      </c>
      <c r="B2813" s="59" t="n">
        <v>46237</v>
      </c>
      <c r="C2813" s="0" t="n">
        <v>100</v>
      </c>
      <c r="D2813" s="0" t="s">
        <v>2181</v>
      </c>
      <c r="E2813" s="0" t="n">
        <v>42</v>
      </c>
      <c r="F2813" s="0" t="s">
        <v>81</v>
      </c>
      <c r="I2813" s="0" t="n">
        <v>1493680</v>
      </c>
      <c r="J2813" s="0" t="n">
        <v>100016</v>
      </c>
      <c r="K2813" s="0" t="n">
        <v>17</v>
      </c>
      <c r="L2813" s="0" t="s">
        <v>2236</v>
      </c>
      <c r="N2813" s="0" t="n">
        <v>1.778</v>
      </c>
      <c r="O2813" s="60" t="n">
        <v>78.86</v>
      </c>
    </row>
    <row r="2814" customFormat="false" ht="15" hidden="false" customHeight="false" outlineLevel="0" collapsed="false">
      <c r="A2814" s="0" t="n">
        <v>3</v>
      </c>
      <c r="B2814" s="59" t="n">
        <v>46237</v>
      </c>
      <c r="C2814" s="0" t="n">
        <v>100</v>
      </c>
      <c r="D2814" s="0" t="s">
        <v>2181</v>
      </c>
      <c r="E2814" s="0" t="n">
        <v>42</v>
      </c>
      <c r="F2814" s="0" t="s">
        <v>81</v>
      </c>
      <c r="I2814" s="0" t="n">
        <v>1493680</v>
      </c>
      <c r="J2814" s="0" t="n">
        <v>100017</v>
      </c>
      <c r="K2814" s="0" t="n">
        <v>18</v>
      </c>
      <c r="L2814" s="0" t="s">
        <v>2237</v>
      </c>
      <c r="N2814" s="0" t="n">
        <v>1.744</v>
      </c>
      <c r="O2814" s="60" t="n">
        <v>91.42</v>
      </c>
    </row>
    <row r="2815" customFormat="false" ht="15" hidden="false" customHeight="false" outlineLevel="0" collapsed="false">
      <c r="A2815" s="0" t="n">
        <v>3</v>
      </c>
      <c r="B2815" s="59" t="n">
        <v>46237</v>
      </c>
      <c r="C2815" s="0" t="n">
        <v>100</v>
      </c>
      <c r="D2815" s="0" t="s">
        <v>2181</v>
      </c>
      <c r="E2815" s="0" t="n">
        <v>42</v>
      </c>
      <c r="F2815" s="0" t="s">
        <v>81</v>
      </c>
      <c r="I2815" s="0" t="n">
        <v>1493680</v>
      </c>
      <c r="J2815" s="0" t="n">
        <v>100053</v>
      </c>
      <c r="K2815" s="0" t="n">
        <v>54</v>
      </c>
      <c r="L2815" s="0" t="s">
        <v>2238</v>
      </c>
      <c r="N2815" s="0" t="n">
        <v>1.728</v>
      </c>
      <c r="O2815" s="60" t="n">
        <v>62.7</v>
      </c>
    </row>
    <row r="2816" customFormat="false" ht="15" hidden="false" customHeight="false" outlineLevel="0" collapsed="false">
      <c r="A2816" s="0" t="n">
        <v>3</v>
      </c>
      <c r="B2816" s="59" t="n">
        <v>46237</v>
      </c>
      <c r="C2816" s="0" t="n">
        <v>100</v>
      </c>
      <c r="D2816" s="0" t="s">
        <v>2181</v>
      </c>
      <c r="E2816" s="0" t="n">
        <v>42</v>
      </c>
      <c r="F2816" s="0" t="s">
        <v>81</v>
      </c>
      <c r="I2816" s="0" t="n">
        <v>1493680</v>
      </c>
      <c r="J2816" s="0" t="n">
        <v>100638</v>
      </c>
      <c r="K2816" s="0" t="n">
        <v>508</v>
      </c>
      <c r="L2816" s="0" t="s">
        <v>2178</v>
      </c>
      <c r="N2816" s="0" t="n">
        <v>1.396</v>
      </c>
      <c r="O2816" s="60" t="n">
        <v>2.24</v>
      </c>
    </row>
    <row r="2817" customFormat="false" ht="15" hidden="false" customHeight="false" outlineLevel="0" collapsed="false">
      <c r="A2817" s="0" t="n">
        <v>3</v>
      </c>
      <c r="B2817" s="59" t="n">
        <v>46237</v>
      </c>
      <c r="C2817" s="0" t="n">
        <v>100</v>
      </c>
      <c r="D2817" s="0" t="s">
        <v>2181</v>
      </c>
      <c r="E2817" s="0" t="n">
        <v>42</v>
      </c>
      <c r="F2817" s="0" t="s">
        <v>81</v>
      </c>
      <c r="I2817" s="0" t="n">
        <v>1493680</v>
      </c>
      <c r="J2817" s="0" t="n">
        <v>100520</v>
      </c>
      <c r="K2817" s="0" t="n">
        <v>507</v>
      </c>
      <c r="L2817" s="0" t="s">
        <v>2179</v>
      </c>
      <c r="N2817" s="0" t="n">
        <v>10.443</v>
      </c>
      <c r="O2817" s="60" t="n">
        <v>25.18</v>
      </c>
    </row>
    <row r="2818" customFormat="false" ht="15" hidden="false" customHeight="false" outlineLevel="0" collapsed="false">
      <c r="A2818" s="0" t="n">
        <v>3</v>
      </c>
      <c r="B2818" s="59" t="n">
        <v>46237</v>
      </c>
      <c r="C2818" s="0" t="n">
        <v>100</v>
      </c>
      <c r="D2818" s="0" t="s">
        <v>2181</v>
      </c>
      <c r="E2818" s="0" t="n">
        <v>42</v>
      </c>
      <c r="F2818" s="0" t="s">
        <v>81</v>
      </c>
      <c r="I2818" s="0" t="n">
        <v>1493680</v>
      </c>
      <c r="J2818" s="0" t="n">
        <v>110455</v>
      </c>
      <c r="K2818" s="0" t="n">
        <v>53212</v>
      </c>
      <c r="L2818" s="0" t="s">
        <v>2180</v>
      </c>
      <c r="N2818" s="0" t="n">
        <v>0.992</v>
      </c>
      <c r="O2818" s="60" t="n">
        <v>0.01</v>
      </c>
    </row>
    <row r="2819" customFormat="false" ht="15" hidden="false" customHeight="false" outlineLevel="0" collapsed="false">
      <c r="A2819" s="0" t="n">
        <v>3</v>
      </c>
      <c r="B2819" s="59" t="n">
        <v>46237</v>
      </c>
      <c r="C2819" s="0" t="n">
        <v>171</v>
      </c>
      <c r="D2819" s="0" t="s">
        <v>2182</v>
      </c>
      <c r="E2819" s="0" t="n">
        <v>1955</v>
      </c>
      <c r="F2819" s="0" t="s">
        <v>2052</v>
      </c>
      <c r="I2819" s="0" t="n">
        <v>47767</v>
      </c>
      <c r="J2819" s="0" t="n">
        <v>45153</v>
      </c>
      <c r="K2819" s="0" t="n">
        <v>7899403713715</v>
      </c>
      <c r="L2819" s="0" t="s">
        <v>2412</v>
      </c>
      <c r="N2819" s="0" t="n">
        <v>20</v>
      </c>
      <c r="O2819" s="60" t="n">
        <v>19.7</v>
      </c>
    </row>
    <row r="2820" customFormat="false" ht="15" hidden="false" customHeight="false" outlineLevel="0" collapsed="false">
      <c r="A2820" s="0" t="n">
        <v>3</v>
      </c>
      <c r="B2820" s="59" t="n">
        <v>46237</v>
      </c>
      <c r="C2820" s="0" t="n">
        <v>171</v>
      </c>
      <c r="D2820" s="0" t="s">
        <v>2182</v>
      </c>
      <c r="E2820" s="0" t="n">
        <v>1955</v>
      </c>
      <c r="F2820" s="0" t="s">
        <v>2052</v>
      </c>
      <c r="I2820" s="0" t="n">
        <v>47767</v>
      </c>
      <c r="J2820" s="0" t="n">
        <v>45154</v>
      </c>
      <c r="K2820" s="0" t="n">
        <v>2246390</v>
      </c>
      <c r="L2820" s="0" t="s">
        <v>2413</v>
      </c>
      <c r="N2820" s="0" t="n">
        <v>60</v>
      </c>
      <c r="O2820" s="60" t="n">
        <v>58.89</v>
      </c>
    </row>
    <row r="2821" customFormat="false" ht="15" hidden="false" customHeight="false" outlineLevel="0" collapsed="false">
      <c r="A2821" s="0" t="n">
        <v>3</v>
      </c>
      <c r="B2821" s="59" t="n">
        <v>46237</v>
      </c>
      <c r="C2821" s="0" t="n">
        <v>171</v>
      </c>
      <c r="D2821" s="0" t="s">
        <v>2182</v>
      </c>
      <c r="E2821" s="0" t="n">
        <v>1955</v>
      </c>
      <c r="F2821" s="0" t="s">
        <v>2052</v>
      </c>
      <c r="I2821" s="0" t="n">
        <v>47767</v>
      </c>
      <c r="J2821" s="0" t="n">
        <v>45155</v>
      </c>
      <c r="K2821" s="0" t="n">
        <v>2246406</v>
      </c>
      <c r="L2821" s="0" t="s">
        <v>2414</v>
      </c>
      <c r="N2821" s="0" t="n">
        <v>70</v>
      </c>
      <c r="O2821" s="60" t="n">
        <v>68.94</v>
      </c>
    </row>
    <row r="2822" customFormat="false" ht="15" hidden="false" customHeight="false" outlineLevel="0" collapsed="false">
      <c r="A2822" s="0" t="n">
        <v>3</v>
      </c>
      <c r="B2822" s="59" t="n">
        <v>46238</v>
      </c>
      <c r="C2822" s="0" t="n">
        <v>6</v>
      </c>
      <c r="D2822" s="0" t="s">
        <v>2125</v>
      </c>
      <c r="E2822" s="0" t="n">
        <v>42</v>
      </c>
      <c r="F2822" s="0" t="s">
        <v>81</v>
      </c>
      <c r="I2822" s="0" t="n">
        <v>4458</v>
      </c>
      <c r="J2822" s="0" t="n">
        <v>109791</v>
      </c>
      <c r="K2822" s="0" t="n">
        <v>9667</v>
      </c>
      <c r="L2822" s="0" t="s">
        <v>2123</v>
      </c>
      <c r="N2822" s="0" t="n">
        <v>10</v>
      </c>
      <c r="O2822" s="60" t="n">
        <v>25</v>
      </c>
    </row>
    <row r="2823" customFormat="false" ht="15" hidden="false" customHeight="false" outlineLevel="0" collapsed="false">
      <c r="A2823" s="0" t="n">
        <v>3</v>
      </c>
      <c r="B2823" s="59" t="n">
        <v>46238</v>
      </c>
      <c r="C2823" s="0" t="n">
        <v>6</v>
      </c>
      <c r="D2823" s="0" t="s">
        <v>2125</v>
      </c>
      <c r="E2823" s="0" t="n">
        <v>42</v>
      </c>
      <c r="F2823" s="0" t="s">
        <v>81</v>
      </c>
      <c r="I2823" s="0" t="n">
        <v>4458</v>
      </c>
      <c r="J2823" s="0" t="n">
        <v>37359</v>
      </c>
      <c r="K2823" s="0" t="n">
        <v>55526</v>
      </c>
      <c r="L2823" s="0" t="s">
        <v>2194</v>
      </c>
      <c r="N2823" s="0" t="n">
        <v>8</v>
      </c>
      <c r="O2823" s="60" t="n">
        <v>40</v>
      </c>
    </row>
    <row r="2824" customFormat="false" ht="15" hidden="false" customHeight="false" outlineLevel="0" collapsed="false">
      <c r="A2824" s="0" t="n">
        <v>3</v>
      </c>
      <c r="B2824" s="59" t="n">
        <v>46238</v>
      </c>
      <c r="C2824" s="0" t="n">
        <v>6</v>
      </c>
      <c r="D2824" s="0" t="s">
        <v>2125</v>
      </c>
      <c r="E2824" s="0" t="n">
        <v>42</v>
      </c>
      <c r="F2824" s="0" t="s">
        <v>81</v>
      </c>
      <c r="I2824" s="0" t="n">
        <v>4458</v>
      </c>
      <c r="J2824" s="0" t="n">
        <v>37361</v>
      </c>
      <c r="K2824" s="0" t="n">
        <v>2240817</v>
      </c>
      <c r="L2824" s="0" t="s">
        <v>2124</v>
      </c>
      <c r="N2824" s="0" t="n">
        <v>40</v>
      </c>
      <c r="O2824" s="60" t="n">
        <v>80</v>
      </c>
    </row>
    <row r="2825" customFormat="false" ht="15" hidden="false" customHeight="false" outlineLevel="0" collapsed="false">
      <c r="A2825" s="0" t="n">
        <v>3</v>
      </c>
      <c r="B2825" s="59" t="n">
        <v>46238</v>
      </c>
      <c r="C2825" s="0" t="n">
        <v>6</v>
      </c>
      <c r="D2825" s="0" t="s">
        <v>2125</v>
      </c>
      <c r="E2825" s="0" t="n">
        <v>42</v>
      </c>
      <c r="F2825" s="0" t="s">
        <v>81</v>
      </c>
      <c r="I2825" s="0" t="n">
        <v>4459</v>
      </c>
      <c r="J2825" s="0" t="n">
        <v>100062</v>
      </c>
      <c r="K2825" s="0" t="n">
        <v>63</v>
      </c>
      <c r="L2825" s="0" t="s">
        <v>2259</v>
      </c>
      <c r="N2825" s="0" t="n">
        <v>8.2</v>
      </c>
      <c r="O2825" s="60" t="n">
        <v>98</v>
      </c>
    </row>
    <row r="2826" customFormat="false" ht="15" hidden="false" customHeight="false" outlineLevel="0" collapsed="false">
      <c r="A2826" s="0" t="n">
        <v>3</v>
      </c>
      <c r="B2826" s="59" t="n">
        <v>46238</v>
      </c>
      <c r="C2826" s="0" t="n">
        <v>6</v>
      </c>
      <c r="D2826" s="0" t="s">
        <v>2125</v>
      </c>
      <c r="E2826" s="0" t="n">
        <v>42</v>
      </c>
      <c r="F2826" s="0" t="s">
        <v>81</v>
      </c>
      <c r="I2826" s="0" t="n">
        <v>4459</v>
      </c>
      <c r="J2826" s="0" t="n">
        <v>100104</v>
      </c>
      <c r="K2826" s="0" t="n">
        <v>105</v>
      </c>
      <c r="L2826" s="0" t="s">
        <v>2260</v>
      </c>
      <c r="N2826" s="0" t="n">
        <v>5</v>
      </c>
      <c r="O2826" s="60" t="n">
        <v>35</v>
      </c>
    </row>
    <row r="2827" customFormat="false" ht="15" hidden="false" customHeight="false" outlineLevel="0" collapsed="false">
      <c r="A2827" s="0" t="n">
        <v>3</v>
      </c>
      <c r="B2827" s="59" t="n">
        <v>46238</v>
      </c>
      <c r="C2827" s="0" t="n">
        <v>6</v>
      </c>
      <c r="D2827" s="0" t="s">
        <v>2125</v>
      </c>
      <c r="E2827" s="0" t="n">
        <v>42</v>
      </c>
      <c r="F2827" s="0" t="s">
        <v>81</v>
      </c>
      <c r="I2827" s="0" t="n">
        <v>4459</v>
      </c>
      <c r="J2827" s="0" t="n">
        <v>100109</v>
      </c>
      <c r="K2827" s="0" t="n">
        <v>110</v>
      </c>
      <c r="L2827" s="0" t="s">
        <v>2261</v>
      </c>
      <c r="N2827" s="0" t="n">
        <v>40</v>
      </c>
      <c r="O2827" s="60" t="n">
        <v>260</v>
      </c>
    </row>
    <row r="2828" customFormat="false" ht="15" hidden="false" customHeight="false" outlineLevel="0" collapsed="false">
      <c r="A2828" s="0" t="n">
        <v>3</v>
      </c>
      <c r="B2828" s="59" t="n">
        <v>46238</v>
      </c>
      <c r="C2828" s="0" t="n">
        <v>6</v>
      </c>
      <c r="D2828" s="0" t="s">
        <v>2125</v>
      </c>
      <c r="E2828" s="0" t="n">
        <v>42</v>
      </c>
      <c r="F2828" s="0" t="s">
        <v>81</v>
      </c>
      <c r="I2828" s="0" t="n">
        <v>4459</v>
      </c>
      <c r="J2828" s="0" t="n">
        <v>100113</v>
      </c>
      <c r="K2828" s="0" t="n">
        <v>114</v>
      </c>
      <c r="L2828" s="0" t="s">
        <v>2264</v>
      </c>
      <c r="N2828" s="0" t="n">
        <v>40</v>
      </c>
      <c r="O2828" s="60" t="n">
        <v>140</v>
      </c>
    </row>
    <row r="2829" customFormat="false" ht="15" hidden="false" customHeight="false" outlineLevel="0" collapsed="false">
      <c r="A2829" s="0" t="n">
        <v>3</v>
      </c>
      <c r="B2829" s="59" t="n">
        <v>46238</v>
      </c>
      <c r="C2829" s="0" t="n">
        <v>6</v>
      </c>
      <c r="D2829" s="0" t="s">
        <v>2125</v>
      </c>
      <c r="E2829" s="0" t="n">
        <v>42</v>
      </c>
      <c r="F2829" s="0" t="s">
        <v>81</v>
      </c>
      <c r="I2829" s="0" t="n">
        <v>4459</v>
      </c>
      <c r="J2829" s="0" t="n">
        <v>100115</v>
      </c>
      <c r="K2829" s="0" t="n">
        <v>116</v>
      </c>
      <c r="L2829" s="0" t="s">
        <v>2265</v>
      </c>
      <c r="N2829" s="0" t="n">
        <v>15</v>
      </c>
      <c r="O2829" s="60" t="n">
        <v>135</v>
      </c>
    </row>
    <row r="2830" customFormat="false" ht="15" hidden="false" customHeight="false" outlineLevel="0" collapsed="false">
      <c r="A2830" s="0" t="n">
        <v>3</v>
      </c>
      <c r="B2830" s="59" t="n">
        <v>46238</v>
      </c>
      <c r="C2830" s="0" t="n">
        <v>6</v>
      </c>
      <c r="D2830" s="0" t="s">
        <v>2125</v>
      </c>
      <c r="E2830" s="0" t="n">
        <v>42</v>
      </c>
      <c r="F2830" s="0" t="s">
        <v>81</v>
      </c>
      <c r="I2830" s="0" t="n">
        <v>4459</v>
      </c>
      <c r="J2830" s="0" t="n">
        <v>100116</v>
      </c>
      <c r="K2830" s="0" t="n">
        <v>117</v>
      </c>
      <c r="L2830" s="0" t="s">
        <v>2266</v>
      </c>
      <c r="N2830" s="0" t="n">
        <v>4</v>
      </c>
      <c r="O2830" s="60" t="n">
        <v>48</v>
      </c>
    </row>
    <row r="2831" customFormat="false" ht="15" hidden="false" customHeight="false" outlineLevel="0" collapsed="false">
      <c r="A2831" s="0" t="n">
        <v>3</v>
      </c>
      <c r="B2831" s="59" t="n">
        <v>46238</v>
      </c>
      <c r="C2831" s="0" t="n">
        <v>6</v>
      </c>
      <c r="D2831" s="0" t="s">
        <v>2125</v>
      </c>
      <c r="E2831" s="0" t="n">
        <v>42</v>
      </c>
      <c r="F2831" s="0" t="s">
        <v>81</v>
      </c>
      <c r="I2831" s="0" t="n">
        <v>4459</v>
      </c>
      <c r="J2831" s="0" t="n">
        <v>100118</v>
      </c>
      <c r="K2831" s="0" t="n">
        <v>119</v>
      </c>
      <c r="L2831" s="0" t="s">
        <v>2267</v>
      </c>
      <c r="N2831" s="0" t="n">
        <v>10</v>
      </c>
      <c r="O2831" s="60" t="n">
        <v>70</v>
      </c>
    </row>
    <row r="2832" customFormat="false" ht="15" hidden="false" customHeight="false" outlineLevel="0" collapsed="false">
      <c r="A2832" s="0" t="n">
        <v>3</v>
      </c>
      <c r="B2832" s="59" t="n">
        <v>46238</v>
      </c>
      <c r="C2832" s="0" t="n">
        <v>6</v>
      </c>
      <c r="D2832" s="0" t="s">
        <v>2125</v>
      </c>
      <c r="E2832" s="0" t="n">
        <v>42</v>
      </c>
      <c r="F2832" s="0" t="s">
        <v>81</v>
      </c>
      <c r="I2832" s="0" t="n">
        <v>4459</v>
      </c>
      <c r="J2832" s="0" t="n">
        <v>100121</v>
      </c>
      <c r="K2832" s="0" t="n">
        <v>122</v>
      </c>
      <c r="L2832" s="0" t="s">
        <v>2422</v>
      </c>
      <c r="N2832" s="0" t="n">
        <v>10</v>
      </c>
      <c r="O2832" s="60" t="n">
        <v>100</v>
      </c>
    </row>
    <row r="2833" customFormat="false" ht="15" hidden="false" customHeight="false" outlineLevel="0" collapsed="false">
      <c r="A2833" s="0" t="n">
        <v>3</v>
      </c>
      <c r="B2833" s="59" t="n">
        <v>46238</v>
      </c>
      <c r="C2833" s="0" t="n">
        <v>6</v>
      </c>
      <c r="D2833" s="0" t="s">
        <v>2125</v>
      </c>
      <c r="E2833" s="0" t="n">
        <v>42</v>
      </c>
      <c r="F2833" s="0" t="s">
        <v>81</v>
      </c>
      <c r="I2833" s="0" t="n">
        <v>4459</v>
      </c>
      <c r="J2833" s="0" t="n">
        <v>100122</v>
      </c>
      <c r="K2833" s="0" t="n">
        <v>123</v>
      </c>
      <c r="L2833" s="0" t="s">
        <v>2423</v>
      </c>
      <c r="N2833" s="0" t="n">
        <v>10</v>
      </c>
      <c r="O2833" s="60" t="n">
        <v>80</v>
      </c>
    </row>
    <row r="2834" customFormat="false" ht="15" hidden="false" customHeight="false" outlineLevel="0" collapsed="false">
      <c r="A2834" s="0" t="n">
        <v>3</v>
      </c>
      <c r="B2834" s="59" t="n">
        <v>46238</v>
      </c>
      <c r="C2834" s="0" t="n">
        <v>6</v>
      </c>
      <c r="D2834" s="0" t="s">
        <v>2125</v>
      </c>
      <c r="E2834" s="0" t="n">
        <v>42</v>
      </c>
      <c r="F2834" s="0" t="s">
        <v>81</v>
      </c>
      <c r="I2834" s="0" t="n">
        <v>4459</v>
      </c>
      <c r="J2834" s="0" t="n">
        <v>100124</v>
      </c>
      <c r="K2834" s="0" t="n">
        <v>125</v>
      </c>
      <c r="L2834" s="0" t="s">
        <v>2269</v>
      </c>
      <c r="N2834" s="0" t="n">
        <v>8.75</v>
      </c>
      <c r="O2834" s="60" t="n">
        <v>78.5</v>
      </c>
    </row>
    <row r="2835" customFormat="false" ht="15" hidden="false" customHeight="false" outlineLevel="0" collapsed="false">
      <c r="A2835" s="0" t="n">
        <v>3</v>
      </c>
      <c r="B2835" s="59" t="n">
        <v>46238</v>
      </c>
      <c r="C2835" s="0" t="n">
        <v>6</v>
      </c>
      <c r="D2835" s="0" t="s">
        <v>2125</v>
      </c>
      <c r="E2835" s="0" t="n">
        <v>42</v>
      </c>
      <c r="F2835" s="0" t="s">
        <v>81</v>
      </c>
      <c r="I2835" s="0" t="n">
        <v>4459</v>
      </c>
      <c r="J2835" s="0" t="n">
        <v>100125</v>
      </c>
      <c r="K2835" s="0" t="n">
        <v>126</v>
      </c>
      <c r="L2835" s="0" t="s">
        <v>2424</v>
      </c>
      <c r="N2835" s="0" t="n">
        <v>20</v>
      </c>
      <c r="O2835" s="60" t="n">
        <v>120</v>
      </c>
    </row>
    <row r="2836" customFormat="false" ht="15" hidden="false" customHeight="false" outlineLevel="0" collapsed="false">
      <c r="A2836" s="0" t="n">
        <v>3</v>
      </c>
      <c r="B2836" s="59" t="n">
        <v>46238</v>
      </c>
      <c r="C2836" s="0" t="n">
        <v>6</v>
      </c>
      <c r="D2836" s="0" t="s">
        <v>2125</v>
      </c>
      <c r="E2836" s="0" t="n">
        <v>42</v>
      </c>
      <c r="F2836" s="0" t="s">
        <v>81</v>
      </c>
      <c r="I2836" s="0" t="n">
        <v>4459</v>
      </c>
      <c r="J2836" s="0" t="n">
        <v>100130</v>
      </c>
      <c r="K2836" s="0" t="n">
        <v>131</v>
      </c>
      <c r="L2836" s="0" t="s">
        <v>2621</v>
      </c>
      <c r="N2836" s="0" t="n">
        <v>10</v>
      </c>
      <c r="O2836" s="60" t="n">
        <v>80</v>
      </c>
    </row>
    <row r="2837" customFormat="false" ht="15" hidden="false" customHeight="false" outlineLevel="0" collapsed="false">
      <c r="A2837" s="0" t="n">
        <v>3</v>
      </c>
      <c r="B2837" s="59" t="n">
        <v>46238</v>
      </c>
      <c r="C2837" s="0" t="n">
        <v>6</v>
      </c>
      <c r="D2837" s="0" t="s">
        <v>2125</v>
      </c>
      <c r="E2837" s="0" t="n">
        <v>42</v>
      </c>
      <c r="F2837" s="0" t="s">
        <v>81</v>
      </c>
      <c r="I2837" s="0" t="n">
        <v>4459</v>
      </c>
      <c r="J2837" s="0" t="n">
        <v>100133</v>
      </c>
      <c r="K2837" s="0" t="n">
        <v>134</v>
      </c>
      <c r="L2837" s="0" t="s">
        <v>2271</v>
      </c>
      <c r="N2837" s="0" t="n">
        <v>10</v>
      </c>
      <c r="O2837" s="60" t="n">
        <v>70</v>
      </c>
    </row>
    <row r="2838" customFormat="false" ht="15" hidden="false" customHeight="false" outlineLevel="0" collapsed="false">
      <c r="A2838" s="0" t="n">
        <v>3</v>
      </c>
      <c r="B2838" s="59" t="n">
        <v>46238</v>
      </c>
      <c r="C2838" s="0" t="n">
        <v>6</v>
      </c>
      <c r="D2838" s="0" t="s">
        <v>2125</v>
      </c>
      <c r="E2838" s="0" t="n">
        <v>42</v>
      </c>
      <c r="F2838" s="0" t="s">
        <v>81</v>
      </c>
      <c r="I2838" s="0" t="n">
        <v>4459</v>
      </c>
      <c r="J2838" s="0" t="n">
        <v>100148</v>
      </c>
      <c r="K2838" s="0" t="n">
        <v>149</v>
      </c>
      <c r="L2838" s="0" t="s">
        <v>2272</v>
      </c>
      <c r="N2838" s="0" t="n">
        <v>5.1</v>
      </c>
      <c r="O2838" s="60" t="n">
        <v>71</v>
      </c>
    </row>
    <row r="2839" customFormat="false" ht="15" hidden="false" customHeight="false" outlineLevel="0" collapsed="false">
      <c r="A2839" s="0" t="n">
        <v>3</v>
      </c>
      <c r="B2839" s="59" t="n">
        <v>46238</v>
      </c>
      <c r="C2839" s="0" t="n">
        <v>6</v>
      </c>
      <c r="D2839" s="0" t="s">
        <v>2125</v>
      </c>
      <c r="E2839" s="0" t="n">
        <v>42</v>
      </c>
      <c r="F2839" s="0" t="s">
        <v>81</v>
      </c>
      <c r="I2839" s="0" t="n">
        <v>4459</v>
      </c>
      <c r="J2839" s="0" t="n">
        <v>110265</v>
      </c>
      <c r="K2839" s="0" t="n">
        <v>41346</v>
      </c>
      <c r="L2839" s="0" t="s">
        <v>3007</v>
      </c>
      <c r="N2839" s="0" t="n">
        <v>7.7</v>
      </c>
      <c r="O2839" s="60" t="n">
        <v>107.5</v>
      </c>
    </row>
    <row r="2840" customFormat="false" ht="15" hidden="false" customHeight="false" outlineLevel="0" collapsed="false">
      <c r="A2840" s="0" t="n">
        <v>3</v>
      </c>
      <c r="B2840" s="59" t="n">
        <v>46238</v>
      </c>
      <c r="C2840" s="0" t="n">
        <v>6</v>
      </c>
      <c r="D2840" s="0" t="s">
        <v>2125</v>
      </c>
      <c r="E2840" s="0" t="n">
        <v>42</v>
      </c>
      <c r="F2840" s="0" t="s">
        <v>81</v>
      </c>
      <c r="I2840" s="0" t="n">
        <v>4460</v>
      </c>
      <c r="J2840" s="0" t="n">
        <v>100103</v>
      </c>
      <c r="K2840" s="0" t="n">
        <v>104</v>
      </c>
      <c r="L2840" s="0" t="s">
        <v>2193</v>
      </c>
      <c r="N2840" s="0" t="n">
        <v>20</v>
      </c>
      <c r="O2840" s="60" t="n">
        <v>125</v>
      </c>
    </row>
    <row r="2841" customFormat="false" ht="15" hidden="false" customHeight="false" outlineLevel="0" collapsed="false">
      <c r="A2841" s="0" t="n">
        <v>3</v>
      </c>
      <c r="B2841" s="59" t="n">
        <v>46238</v>
      </c>
      <c r="C2841" s="0" t="n">
        <v>11</v>
      </c>
      <c r="D2841" s="0" t="s">
        <v>2126</v>
      </c>
      <c r="E2841" s="0" t="n">
        <v>1615</v>
      </c>
      <c r="F2841" s="0" t="s">
        <v>131</v>
      </c>
      <c r="I2841" s="0" t="n">
        <v>15026</v>
      </c>
      <c r="J2841" s="0" t="n">
        <v>100101</v>
      </c>
      <c r="K2841" s="0" t="n">
        <v>102</v>
      </c>
      <c r="L2841" s="0" t="s">
        <v>2738</v>
      </c>
      <c r="N2841" s="0" t="n">
        <v>10</v>
      </c>
      <c r="O2841" s="60" t="n">
        <v>240</v>
      </c>
    </row>
    <row r="2842" customFormat="false" ht="15" hidden="false" customHeight="false" outlineLevel="0" collapsed="false">
      <c r="A2842" s="0" t="n">
        <v>3</v>
      </c>
      <c r="B2842" s="59" t="n">
        <v>46238</v>
      </c>
      <c r="C2842" s="0" t="n">
        <v>11</v>
      </c>
      <c r="D2842" s="0" t="s">
        <v>2126</v>
      </c>
      <c r="E2842" s="0" t="n">
        <v>1615</v>
      </c>
      <c r="F2842" s="0" t="s">
        <v>131</v>
      </c>
      <c r="I2842" s="0" t="n">
        <v>15026</v>
      </c>
      <c r="J2842" s="0" t="n">
        <v>100114</v>
      </c>
      <c r="K2842" s="0" t="n">
        <v>115</v>
      </c>
      <c r="L2842" s="0" t="s">
        <v>2253</v>
      </c>
      <c r="N2842" s="0" t="n">
        <v>18</v>
      </c>
      <c r="O2842" s="60" t="n">
        <v>170</v>
      </c>
    </row>
    <row r="2843" customFormat="false" ht="15" hidden="false" customHeight="false" outlineLevel="0" collapsed="false">
      <c r="A2843" s="0" t="n">
        <v>3</v>
      </c>
      <c r="B2843" s="59" t="n">
        <v>46238</v>
      </c>
      <c r="C2843" s="0" t="n">
        <v>11</v>
      </c>
      <c r="D2843" s="0" t="s">
        <v>2126</v>
      </c>
      <c r="E2843" s="0" t="n">
        <v>1605</v>
      </c>
      <c r="F2843" s="0" t="s">
        <v>114</v>
      </c>
      <c r="I2843" s="0" t="n">
        <v>221498</v>
      </c>
      <c r="J2843" s="0" t="n">
        <v>102577</v>
      </c>
      <c r="K2843" s="0" t="n">
        <v>7898080640222</v>
      </c>
      <c r="L2843" s="0" t="s">
        <v>3244</v>
      </c>
      <c r="N2843" s="0" t="n">
        <v>48</v>
      </c>
      <c r="O2843" s="60" t="n">
        <v>156.96</v>
      </c>
    </row>
    <row r="2844" customFormat="false" ht="15" hidden="false" customHeight="false" outlineLevel="0" collapsed="false">
      <c r="A2844" s="0" t="n">
        <v>3</v>
      </c>
      <c r="B2844" s="59" t="n">
        <v>46238</v>
      </c>
      <c r="C2844" s="0" t="n">
        <v>11</v>
      </c>
      <c r="D2844" s="0" t="s">
        <v>2126</v>
      </c>
      <c r="E2844" s="0" t="n">
        <v>1605</v>
      </c>
      <c r="F2844" s="0" t="s">
        <v>114</v>
      </c>
      <c r="I2844" s="0" t="n">
        <v>221498</v>
      </c>
      <c r="J2844" s="0" t="n">
        <v>103330</v>
      </c>
      <c r="K2844" s="0" t="n">
        <v>7898080640239</v>
      </c>
      <c r="L2844" s="0" t="s">
        <v>3378</v>
      </c>
      <c r="N2844" s="0" t="n">
        <v>48</v>
      </c>
      <c r="O2844" s="60" t="n">
        <v>79.8</v>
      </c>
    </row>
    <row r="2845" customFormat="false" ht="15" hidden="false" customHeight="false" outlineLevel="0" collapsed="false">
      <c r="A2845" s="0" t="n">
        <v>3</v>
      </c>
      <c r="B2845" s="59" t="n">
        <v>46238</v>
      </c>
      <c r="C2845" s="0" t="n">
        <v>11</v>
      </c>
      <c r="D2845" s="0" t="s">
        <v>2126</v>
      </c>
      <c r="E2845" s="0" t="n">
        <v>1605</v>
      </c>
      <c r="F2845" s="0" t="s">
        <v>114</v>
      </c>
      <c r="I2845" s="0" t="n">
        <v>221498</v>
      </c>
      <c r="J2845" s="0" t="n">
        <v>11951</v>
      </c>
      <c r="K2845" s="0" t="n">
        <v>7896096013962</v>
      </c>
      <c r="L2845" s="0" t="s">
        <v>3379</v>
      </c>
      <c r="N2845" s="0" t="n">
        <v>6</v>
      </c>
      <c r="O2845" s="60" t="n">
        <v>47.34</v>
      </c>
    </row>
    <row r="2846" customFormat="false" ht="15" hidden="false" customHeight="false" outlineLevel="0" collapsed="false">
      <c r="A2846" s="0" t="n">
        <v>3</v>
      </c>
      <c r="B2846" s="59" t="n">
        <v>46238</v>
      </c>
      <c r="C2846" s="0" t="n">
        <v>11</v>
      </c>
      <c r="D2846" s="0" t="s">
        <v>2126</v>
      </c>
      <c r="E2846" s="0" t="n">
        <v>1605</v>
      </c>
      <c r="F2846" s="0" t="s">
        <v>114</v>
      </c>
      <c r="I2846" s="0" t="n">
        <v>221498</v>
      </c>
      <c r="J2846" s="0" t="n">
        <v>14222</v>
      </c>
      <c r="K2846" s="0" t="n">
        <v>7898080640536</v>
      </c>
      <c r="L2846" s="0" t="s">
        <v>3380</v>
      </c>
      <c r="N2846" s="0" t="n">
        <v>6</v>
      </c>
      <c r="O2846" s="60" t="n">
        <v>69.96</v>
      </c>
    </row>
    <row r="2847" customFormat="false" ht="15" hidden="false" customHeight="false" outlineLevel="0" collapsed="false">
      <c r="A2847" s="0" t="n">
        <v>3</v>
      </c>
      <c r="B2847" s="59" t="n">
        <v>46238</v>
      </c>
      <c r="C2847" s="0" t="n">
        <v>11</v>
      </c>
      <c r="D2847" s="0" t="s">
        <v>2126</v>
      </c>
      <c r="E2847" s="0" t="n">
        <v>1605</v>
      </c>
      <c r="F2847" s="0" t="s">
        <v>114</v>
      </c>
      <c r="I2847" s="0" t="n">
        <v>221498</v>
      </c>
      <c r="J2847" s="0" t="n">
        <v>15645</v>
      </c>
      <c r="K2847" s="0" t="n">
        <v>7891999948908</v>
      </c>
      <c r="L2847" s="0" t="s">
        <v>3381</v>
      </c>
      <c r="N2847" s="0" t="n">
        <v>48</v>
      </c>
      <c r="O2847" s="60" t="n">
        <v>164.16</v>
      </c>
    </row>
    <row r="2848" customFormat="false" ht="15" hidden="false" customHeight="false" outlineLevel="0" collapsed="false">
      <c r="A2848" s="0" t="n">
        <v>3</v>
      </c>
      <c r="B2848" s="59" t="n">
        <v>46238</v>
      </c>
      <c r="C2848" s="0" t="n">
        <v>11</v>
      </c>
      <c r="D2848" s="0" t="s">
        <v>2126</v>
      </c>
      <c r="E2848" s="0" t="n">
        <v>1605</v>
      </c>
      <c r="F2848" s="0" t="s">
        <v>114</v>
      </c>
      <c r="I2848" s="0" t="n">
        <v>221498</v>
      </c>
      <c r="J2848" s="0" t="n">
        <v>18240</v>
      </c>
      <c r="K2848" s="0" t="n">
        <v>7898080640925</v>
      </c>
      <c r="L2848" s="0" t="s">
        <v>3382</v>
      </c>
      <c r="N2848" s="0" t="n">
        <v>12</v>
      </c>
      <c r="O2848" s="60" t="n">
        <v>92.28</v>
      </c>
    </row>
    <row r="2849" customFormat="false" ht="15" hidden="false" customHeight="false" outlineLevel="0" collapsed="false">
      <c r="A2849" s="0" t="n">
        <v>3</v>
      </c>
      <c r="B2849" s="59" t="n">
        <v>46238</v>
      </c>
      <c r="C2849" s="0" t="n">
        <v>11</v>
      </c>
      <c r="D2849" s="0" t="s">
        <v>2126</v>
      </c>
      <c r="E2849" s="0" t="n">
        <v>1605</v>
      </c>
      <c r="F2849" s="0" t="s">
        <v>114</v>
      </c>
      <c r="I2849" s="0" t="n">
        <v>221498</v>
      </c>
      <c r="J2849" s="0" t="n">
        <v>21709</v>
      </c>
      <c r="K2849" s="0" t="n">
        <v>7898080640765</v>
      </c>
      <c r="L2849" s="0" t="s">
        <v>3383</v>
      </c>
      <c r="N2849" s="0" t="n">
        <v>6</v>
      </c>
      <c r="O2849" s="60" t="n">
        <v>76.14</v>
      </c>
    </row>
    <row r="2850" customFormat="false" ht="15" hidden="false" customHeight="false" outlineLevel="0" collapsed="false">
      <c r="A2850" s="0" t="n">
        <v>3</v>
      </c>
      <c r="B2850" s="59" t="n">
        <v>46238</v>
      </c>
      <c r="C2850" s="0" t="n">
        <v>11</v>
      </c>
      <c r="D2850" s="0" t="s">
        <v>2126</v>
      </c>
      <c r="E2850" s="0" t="n">
        <v>1656</v>
      </c>
      <c r="F2850" s="0" t="s">
        <v>262</v>
      </c>
      <c r="I2850" s="0" t="n">
        <v>224551</v>
      </c>
      <c r="J2850" s="0" t="n">
        <v>73554</v>
      </c>
      <c r="K2850" s="0" t="n">
        <v>67891032014708</v>
      </c>
      <c r="L2850" s="0" t="s">
        <v>2520</v>
      </c>
      <c r="N2850" s="0" t="n">
        <v>32</v>
      </c>
      <c r="O2850" s="60" t="n">
        <v>88.13</v>
      </c>
    </row>
    <row r="2851" customFormat="false" ht="15" hidden="false" customHeight="false" outlineLevel="0" collapsed="false">
      <c r="A2851" s="0" t="n">
        <v>3</v>
      </c>
      <c r="B2851" s="59" t="n">
        <v>46238</v>
      </c>
      <c r="C2851" s="0" t="n">
        <v>11</v>
      </c>
      <c r="D2851" s="0" t="s">
        <v>2126</v>
      </c>
      <c r="E2851" s="0" t="n">
        <v>1656</v>
      </c>
      <c r="F2851" s="0" t="s">
        <v>262</v>
      </c>
      <c r="I2851" s="0" t="n">
        <v>224551</v>
      </c>
      <c r="J2851" s="0" t="n">
        <v>24763</v>
      </c>
      <c r="K2851" s="0" t="n">
        <v>7891091010558</v>
      </c>
      <c r="L2851" s="0" t="s">
        <v>3384</v>
      </c>
      <c r="N2851" s="0" t="n">
        <v>30</v>
      </c>
      <c r="O2851" s="60" t="n">
        <v>48.69</v>
      </c>
    </row>
    <row r="2852" customFormat="false" ht="15" hidden="false" customHeight="false" outlineLevel="0" collapsed="false">
      <c r="A2852" s="0" t="n">
        <v>3</v>
      </c>
      <c r="B2852" s="59" t="n">
        <v>46238</v>
      </c>
      <c r="C2852" s="0" t="n">
        <v>11</v>
      </c>
      <c r="D2852" s="0" t="s">
        <v>2126</v>
      </c>
      <c r="E2852" s="0" t="n">
        <v>1656</v>
      </c>
      <c r="F2852" s="0" t="s">
        <v>262</v>
      </c>
      <c r="I2852" s="0" t="n">
        <v>224551</v>
      </c>
      <c r="J2852" s="0" t="n">
        <v>16851</v>
      </c>
      <c r="K2852" s="0" t="n">
        <v>7898901732105</v>
      </c>
      <c r="L2852" s="0" t="s">
        <v>3385</v>
      </c>
      <c r="N2852" s="0" t="n">
        <v>240</v>
      </c>
      <c r="O2852" s="60" t="n">
        <v>36.1</v>
      </c>
    </row>
    <row r="2853" customFormat="false" ht="15" hidden="false" customHeight="false" outlineLevel="0" collapsed="false">
      <c r="A2853" s="0" t="n">
        <v>3</v>
      </c>
      <c r="B2853" s="59" t="n">
        <v>46238</v>
      </c>
      <c r="C2853" s="0" t="n">
        <v>11</v>
      </c>
      <c r="D2853" s="0" t="s">
        <v>2126</v>
      </c>
      <c r="E2853" s="0" t="n">
        <v>1656</v>
      </c>
      <c r="F2853" s="0" t="s">
        <v>262</v>
      </c>
      <c r="I2853" s="0" t="n">
        <v>224551</v>
      </c>
      <c r="J2853" s="0" t="n">
        <v>20529</v>
      </c>
      <c r="K2853" s="0" t="n">
        <v>7897235000324</v>
      </c>
      <c r="L2853" s="0" t="s">
        <v>3386</v>
      </c>
      <c r="N2853" s="0" t="n">
        <v>20</v>
      </c>
      <c r="O2853" s="60" t="n">
        <v>53.14</v>
      </c>
    </row>
    <row r="2854" customFormat="false" ht="15" hidden="false" customHeight="false" outlineLevel="0" collapsed="false">
      <c r="A2854" s="0" t="n">
        <v>3</v>
      </c>
      <c r="B2854" s="59" t="n">
        <v>46238</v>
      </c>
      <c r="C2854" s="0" t="n">
        <v>11</v>
      </c>
      <c r="D2854" s="0" t="s">
        <v>2126</v>
      </c>
      <c r="E2854" s="0" t="n">
        <v>1656</v>
      </c>
      <c r="F2854" s="0" t="s">
        <v>262</v>
      </c>
      <c r="I2854" s="0" t="n">
        <v>224551</v>
      </c>
      <c r="J2854" s="0" t="n">
        <v>25964</v>
      </c>
      <c r="K2854" s="0" t="n">
        <v>7896763621858</v>
      </c>
      <c r="L2854" s="0" t="s">
        <v>2199</v>
      </c>
      <c r="N2854" s="0" t="n">
        <v>60</v>
      </c>
      <c r="O2854" s="60" t="n">
        <v>124.41</v>
      </c>
    </row>
    <row r="2855" customFormat="false" ht="15" hidden="false" customHeight="false" outlineLevel="0" collapsed="false">
      <c r="A2855" s="0" t="n">
        <v>3</v>
      </c>
      <c r="B2855" s="59" t="n">
        <v>46238</v>
      </c>
      <c r="C2855" s="0" t="n">
        <v>11</v>
      </c>
      <c r="D2855" s="0" t="s">
        <v>2126</v>
      </c>
      <c r="E2855" s="0" t="n">
        <v>1656</v>
      </c>
      <c r="F2855" s="0" t="s">
        <v>262</v>
      </c>
      <c r="I2855" s="0" t="n">
        <v>224551</v>
      </c>
      <c r="J2855" s="0" t="n">
        <v>33178</v>
      </c>
      <c r="K2855" s="0" t="n">
        <v>7896327514312</v>
      </c>
      <c r="L2855" s="0" t="s">
        <v>3387</v>
      </c>
      <c r="N2855" s="0" t="n">
        <v>12</v>
      </c>
      <c r="O2855" s="60" t="n">
        <v>54.14</v>
      </c>
    </row>
    <row r="2856" customFormat="false" ht="15" hidden="false" customHeight="false" outlineLevel="0" collapsed="false">
      <c r="A2856" s="0" t="n">
        <v>3</v>
      </c>
      <c r="B2856" s="59" t="n">
        <v>46238</v>
      </c>
      <c r="C2856" s="0" t="n">
        <v>11</v>
      </c>
      <c r="D2856" s="0" t="s">
        <v>2126</v>
      </c>
      <c r="E2856" s="0" t="n">
        <v>1656</v>
      </c>
      <c r="F2856" s="0" t="s">
        <v>262</v>
      </c>
      <c r="I2856" s="0" t="n">
        <v>224551</v>
      </c>
      <c r="J2856" s="0" t="n">
        <v>38559</v>
      </c>
      <c r="K2856" s="0" t="n">
        <v>7896327510956</v>
      </c>
      <c r="L2856" s="0" t="s">
        <v>3388</v>
      </c>
      <c r="N2856" s="0" t="n">
        <v>12</v>
      </c>
      <c r="O2856" s="60" t="n">
        <v>45.79</v>
      </c>
    </row>
    <row r="2857" customFormat="false" ht="15" hidden="false" customHeight="false" outlineLevel="0" collapsed="false">
      <c r="A2857" s="0" t="n">
        <v>3</v>
      </c>
      <c r="B2857" s="59" t="n">
        <v>46238</v>
      </c>
      <c r="C2857" s="0" t="n">
        <v>11</v>
      </c>
      <c r="D2857" s="0" t="s">
        <v>2126</v>
      </c>
      <c r="E2857" s="0" t="n">
        <v>1656</v>
      </c>
      <c r="F2857" s="0" t="s">
        <v>262</v>
      </c>
      <c r="I2857" s="0" t="n">
        <v>224551</v>
      </c>
      <c r="J2857" s="0" t="n">
        <v>38678</v>
      </c>
      <c r="K2857" s="0" t="n">
        <v>7891091012026</v>
      </c>
      <c r="L2857" s="0" t="s">
        <v>3389</v>
      </c>
      <c r="N2857" s="0" t="n">
        <v>20</v>
      </c>
      <c r="O2857" s="60" t="n">
        <v>229.44</v>
      </c>
    </row>
    <row r="2858" customFormat="false" ht="15" hidden="false" customHeight="false" outlineLevel="0" collapsed="false">
      <c r="A2858" s="0" t="n">
        <v>3</v>
      </c>
      <c r="B2858" s="59" t="n">
        <v>46238</v>
      </c>
      <c r="C2858" s="0" t="n">
        <v>11</v>
      </c>
      <c r="D2858" s="0" t="s">
        <v>2126</v>
      </c>
      <c r="E2858" s="0" t="n">
        <v>1656</v>
      </c>
      <c r="F2858" s="0" t="s">
        <v>262</v>
      </c>
      <c r="I2858" s="0" t="n">
        <v>224551</v>
      </c>
      <c r="J2858" s="0" t="n">
        <v>46484</v>
      </c>
      <c r="K2858" s="0" t="n">
        <v>7898969376334</v>
      </c>
      <c r="L2858" s="0" t="s">
        <v>2527</v>
      </c>
      <c r="N2858" s="0" t="n">
        <v>12</v>
      </c>
      <c r="O2858" s="60" t="n">
        <v>28.7</v>
      </c>
    </row>
    <row r="2859" customFormat="false" ht="15" hidden="false" customHeight="false" outlineLevel="0" collapsed="false">
      <c r="A2859" s="0" t="n">
        <v>3</v>
      </c>
      <c r="B2859" s="59" t="n">
        <v>46238</v>
      </c>
      <c r="C2859" s="0" t="n">
        <v>11</v>
      </c>
      <c r="D2859" s="0" t="s">
        <v>2126</v>
      </c>
      <c r="E2859" s="0" t="n">
        <v>1656</v>
      </c>
      <c r="F2859" s="0" t="s">
        <v>262</v>
      </c>
      <c r="I2859" s="0" t="n">
        <v>224551</v>
      </c>
      <c r="J2859" s="0" t="n">
        <v>46486</v>
      </c>
      <c r="K2859" s="0" t="n">
        <v>7898969376433</v>
      </c>
      <c r="L2859" s="0" t="s">
        <v>3390</v>
      </c>
      <c r="N2859" s="0" t="n">
        <v>12</v>
      </c>
      <c r="O2859" s="60" t="n">
        <v>28.7</v>
      </c>
    </row>
    <row r="2860" customFormat="false" ht="15" hidden="false" customHeight="false" outlineLevel="0" collapsed="false">
      <c r="A2860" s="0" t="n">
        <v>3</v>
      </c>
      <c r="B2860" s="59" t="n">
        <v>46238</v>
      </c>
      <c r="C2860" s="0" t="n">
        <v>11</v>
      </c>
      <c r="D2860" s="0" t="s">
        <v>2126</v>
      </c>
      <c r="E2860" s="0" t="n">
        <v>1656</v>
      </c>
      <c r="F2860" s="0" t="s">
        <v>262</v>
      </c>
      <c r="I2860" s="0" t="n">
        <v>224551</v>
      </c>
      <c r="J2860" s="0" t="n">
        <v>72297</v>
      </c>
      <c r="K2860" s="0" t="n">
        <v>7897240302215</v>
      </c>
      <c r="L2860" s="0" t="s">
        <v>3391</v>
      </c>
      <c r="N2860" s="0" t="n">
        <v>60</v>
      </c>
      <c r="O2860" s="60" t="n">
        <v>191.8</v>
      </c>
    </row>
    <row r="2861" customFormat="false" ht="15" hidden="false" customHeight="false" outlineLevel="0" collapsed="false">
      <c r="A2861" s="0" t="n">
        <v>3</v>
      </c>
      <c r="B2861" s="59" t="n">
        <v>46238</v>
      </c>
      <c r="C2861" s="0" t="n">
        <v>11</v>
      </c>
      <c r="D2861" s="0" t="s">
        <v>2126</v>
      </c>
      <c r="E2861" s="0" t="n">
        <v>1656</v>
      </c>
      <c r="F2861" s="0" t="s">
        <v>262</v>
      </c>
      <c r="I2861" s="0" t="n">
        <v>224551</v>
      </c>
      <c r="J2861" s="0" t="n">
        <v>79293</v>
      </c>
      <c r="K2861" s="0" t="n">
        <v>7898962669716</v>
      </c>
      <c r="L2861" s="0" t="s">
        <v>3392</v>
      </c>
      <c r="N2861" s="0" t="n">
        <v>50</v>
      </c>
      <c r="O2861" s="60" t="n">
        <v>89.09</v>
      </c>
    </row>
    <row r="2862" customFormat="false" ht="15" hidden="false" customHeight="false" outlineLevel="0" collapsed="false">
      <c r="A2862" s="0" t="n">
        <v>3</v>
      </c>
      <c r="B2862" s="59" t="n">
        <v>46238</v>
      </c>
      <c r="C2862" s="0" t="n">
        <v>11</v>
      </c>
      <c r="D2862" s="0" t="s">
        <v>2126</v>
      </c>
      <c r="E2862" s="0" t="n">
        <v>1656</v>
      </c>
      <c r="F2862" s="0" t="s">
        <v>262</v>
      </c>
      <c r="I2862" s="0" t="n">
        <v>224551</v>
      </c>
      <c r="J2862" s="0" t="n">
        <v>80018</v>
      </c>
      <c r="K2862" s="0" t="n">
        <v>7891091010732</v>
      </c>
      <c r="L2862" s="0" t="s">
        <v>3393</v>
      </c>
      <c r="N2862" s="0" t="n">
        <v>20</v>
      </c>
      <c r="O2862" s="60" t="n">
        <v>58.08</v>
      </c>
    </row>
    <row r="2863" customFormat="false" ht="15" hidden="false" customHeight="false" outlineLevel="0" collapsed="false">
      <c r="A2863" s="0" t="n">
        <v>3</v>
      </c>
      <c r="B2863" s="59" t="n">
        <v>46238</v>
      </c>
      <c r="C2863" s="0" t="n">
        <v>11</v>
      </c>
      <c r="D2863" s="0" t="s">
        <v>2126</v>
      </c>
      <c r="E2863" s="0" t="n">
        <v>1708</v>
      </c>
      <c r="F2863" s="0" t="s">
        <v>1615</v>
      </c>
      <c r="I2863" s="0" t="n">
        <v>264696</v>
      </c>
      <c r="J2863" s="0" t="n">
        <v>23272</v>
      </c>
      <c r="K2863" s="0" t="n">
        <v>7898279790400</v>
      </c>
      <c r="L2863" s="0" t="s">
        <v>3394</v>
      </c>
      <c r="N2863" s="0" t="n">
        <v>1</v>
      </c>
      <c r="O2863" s="60" t="n">
        <v>7.43</v>
      </c>
    </row>
    <row r="2864" customFormat="false" ht="15" hidden="false" customHeight="false" outlineLevel="0" collapsed="false">
      <c r="A2864" s="0" t="n">
        <v>3</v>
      </c>
      <c r="B2864" s="59" t="n">
        <v>46238</v>
      </c>
      <c r="C2864" s="0" t="n">
        <v>11</v>
      </c>
      <c r="D2864" s="0" t="s">
        <v>2126</v>
      </c>
      <c r="E2864" s="0" t="n">
        <v>1708</v>
      </c>
      <c r="F2864" s="0" t="s">
        <v>1615</v>
      </c>
      <c r="I2864" s="0" t="n">
        <v>264696</v>
      </c>
      <c r="J2864" s="0" t="n">
        <v>23274</v>
      </c>
      <c r="K2864" s="0" t="n">
        <v>7898279790431</v>
      </c>
      <c r="L2864" s="0" t="s">
        <v>3395</v>
      </c>
      <c r="N2864" s="0" t="n">
        <v>1</v>
      </c>
      <c r="O2864" s="60" t="n">
        <v>7.43</v>
      </c>
    </row>
    <row r="2865" customFormat="false" ht="15" hidden="false" customHeight="false" outlineLevel="0" collapsed="false">
      <c r="A2865" s="0" t="n">
        <v>3</v>
      </c>
      <c r="B2865" s="59" t="n">
        <v>46238</v>
      </c>
      <c r="C2865" s="0" t="n">
        <v>11</v>
      </c>
      <c r="D2865" s="0" t="s">
        <v>2126</v>
      </c>
      <c r="E2865" s="0" t="n">
        <v>1708</v>
      </c>
      <c r="F2865" s="0" t="s">
        <v>1615</v>
      </c>
      <c r="I2865" s="0" t="n">
        <v>264696</v>
      </c>
      <c r="J2865" s="0" t="n">
        <v>23279</v>
      </c>
      <c r="K2865" s="0" t="n">
        <v>7898279790417</v>
      </c>
      <c r="L2865" s="0" t="s">
        <v>3396</v>
      </c>
      <c r="N2865" s="0" t="n">
        <v>2</v>
      </c>
      <c r="O2865" s="60" t="n">
        <v>14.86</v>
      </c>
    </row>
    <row r="2866" customFormat="false" ht="15" hidden="false" customHeight="false" outlineLevel="0" collapsed="false">
      <c r="A2866" s="0" t="n">
        <v>3</v>
      </c>
      <c r="B2866" s="59" t="n">
        <v>46238</v>
      </c>
      <c r="C2866" s="0" t="n">
        <v>11</v>
      </c>
      <c r="D2866" s="0" t="s">
        <v>2126</v>
      </c>
      <c r="E2866" s="0" t="n">
        <v>1708</v>
      </c>
      <c r="F2866" s="0" t="s">
        <v>1615</v>
      </c>
      <c r="I2866" s="0" t="n">
        <v>264696</v>
      </c>
      <c r="J2866" s="0" t="n">
        <v>24311</v>
      </c>
      <c r="K2866" s="0" t="n">
        <v>8410525159619</v>
      </c>
      <c r="L2866" s="0" t="s">
        <v>3397</v>
      </c>
      <c r="N2866" s="0" t="n">
        <v>1</v>
      </c>
      <c r="O2866" s="60" t="n">
        <v>7.43</v>
      </c>
    </row>
    <row r="2867" customFormat="false" ht="15" hidden="false" customHeight="false" outlineLevel="0" collapsed="false">
      <c r="A2867" s="0" t="n">
        <v>3</v>
      </c>
      <c r="B2867" s="59" t="n">
        <v>46238</v>
      </c>
      <c r="C2867" s="0" t="n">
        <v>11</v>
      </c>
      <c r="D2867" s="0" t="s">
        <v>2126</v>
      </c>
      <c r="E2867" s="0" t="n">
        <v>1708</v>
      </c>
      <c r="F2867" s="0" t="s">
        <v>1615</v>
      </c>
      <c r="I2867" s="0" t="n">
        <v>264696</v>
      </c>
      <c r="J2867" s="0" t="n">
        <v>25038</v>
      </c>
      <c r="K2867" s="0" t="n">
        <v>8410525146435</v>
      </c>
      <c r="L2867" s="0" t="s">
        <v>3398</v>
      </c>
      <c r="N2867" s="0" t="n">
        <v>1</v>
      </c>
      <c r="O2867" s="60" t="n">
        <v>7.43</v>
      </c>
    </row>
    <row r="2868" customFormat="false" ht="15" hidden="false" customHeight="false" outlineLevel="0" collapsed="false">
      <c r="A2868" s="0" t="n">
        <v>3</v>
      </c>
      <c r="B2868" s="59" t="n">
        <v>46238</v>
      </c>
      <c r="C2868" s="0" t="n">
        <v>11</v>
      </c>
      <c r="D2868" s="0" t="s">
        <v>2126</v>
      </c>
      <c r="E2868" s="0" t="n">
        <v>1708</v>
      </c>
      <c r="F2868" s="0" t="s">
        <v>1615</v>
      </c>
      <c r="I2868" s="0" t="n">
        <v>264696</v>
      </c>
      <c r="J2868" s="0" t="n">
        <v>25327</v>
      </c>
      <c r="K2868" s="0" t="n">
        <v>7898279798185</v>
      </c>
      <c r="L2868" s="0" t="s">
        <v>3399</v>
      </c>
      <c r="N2868" s="0" t="n">
        <v>1</v>
      </c>
      <c r="O2868" s="60" t="n">
        <v>7.43</v>
      </c>
    </row>
    <row r="2869" customFormat="false" ht="15" hidden="false" customHeight="false" outlineLevel="0" collapsed="false">
      <c r="A2869" s="0" t="n">
        <v>3</v>
      </c>
      <c r="B2869" s="59" t="n">
        <v>46238</v>
      </c>
      <c r="C2869" s="0" t="n">
        <v>11</v>
      </c>
      <c r="D2869" s="0" t="s">
        <v>2126</v>
      </c>
      <c r="E2869" s="0" t="n">
        <v>1708</v>
      </c>
      <c r="F2869" s="0" t="s">
        <v>1615</v>
      </c>
      <c r="I2869" s="0" t="n">
        <v>264696</v>
      </c>
      <c r="J2869" s="0" t="n">
        <v>25659</v>
      </c>
      <c r="K2869" s="0" t="n">
        <v>7898591450648</v>
      </c>
      <c r="L2869" s="0" t="s">
        <v>3400</v>
      </c>
      <c r="N2869" s="0" t="n">
        <v>24</v>
      </c>
      <c r="O2869" s="60" t="n">
        <v>23.49</v>
      </c>
    </row>
    <row r="2870" customFormat="false" ht="15" hidden="false" customHeight="false" outlineLevel="0" collapsed="false">
      <c r="A2870" s="0" t="n">
        <v>3</v>
      </c>
      <c r="B2870" s="59" t="n">
        <v>46238</v>
      </c>
      <c r="C2870" s="0" t="n">
        <v>11</v>
      </c>
      <c r="D2870" s="0" t="s">
        <v>2126</v>
      </c>
      <c r="E2870" s="0" t="n">
        <v>1708</v>
      </c>
      <c r="F2870" s="0" t="s">
        <v>1615</v>
      </c>
      <c r="I2870" s="0" t="n">
        <v>264696</v>
      </c>
      <c r="J2870" s="0" t="n">
        <v>25661</v>
      </c>
      <c r="K2870" s="0" t="n">
        <v>7898591450686</v>
      </c>
      <c r="L2870" s="0" t="s">
        <v>2637</v>
      </c>
      <c r="N2870" s="0" t="n">
        <v>24</v>
      </c>
      <c r="O2870" s="60" t="n">
        <v>23.49</v>
      </c>
    </row>
    <row r="2871" customFormat="false" ht="15" hidden="false" customHeight="false" outlineLevel="0" collapsed="false">
      <c r="A2871" s="0" t="n">
        <v>3</v>
      </c>
      <c r="B2871" s="59" t="n">
        <v>46238</v>
      </c>
      <c r="C2871" s="0" t="n">
        <v>11</v>
      </c>
      <c r="D2871" s="0" t="s">
        <v>2126</v>
      </c>
      <c r="E2871" s="0" t="n">
        <v>1708</v>
      </c>
      <c r="F2871" s="0" t="s">
        <v>1615</v>
      </c>
      <c r="I2871" s="0" t="n">
        <v>264696</v>
      </c>
      <c r="J2871" s="0" t="n">
        <v>25662</v>
      </c>
      <c r="K2871" s="0" t="n">
        <v>7898591450662</v>
      </c>
      <c r="L2871" s="0" t="s">
        <v>2638</v>
      </c>
      <c r="N2871" s="0" t="n">
        <v>24</v>
      </c>
      <c r="O2871" s="60" t="n">
        <v>23.49</v>
      </c>
    </row>
    <row r="2872" customFormat="false" ht="15" hidden="false" customHeight="false" outlineLevel="0" collapsed="false">
      <c r="A2872" s="0" t="n">
        <v>3</v>
      </c>
      <c r="B2872" s="59" t="n">
        <v>46238</v>
      </c>
      <c r="C2872" s="0" t="n">
        <v>11</v>
      </c>
      <c r="D2872" s="0" t="s">
        <v>2126</v>
      </c>
      <c r="E2872" s="0" t="n">
        <v>1708</v>
      </c>
      <c r="F2872" s="0" t="s">
        <v>1615</v>
      </c>
      <c r="I2872" s="0" t="n">
        <v>264696</v>
      </c>
      <c r="J2872" s="0" t="n">
        <v>26370</v>
      </c>
      <c r="K2872" s="0" t="n">
        <v>7898591453595</v>
      </c>
      <c r="L2872" s="0" t="s">
        <v>3401</v>
      </c>
      <c r="N2872" s="0" t="n">
        <v>1</v>
      </c>
      <c r="O2872" s="60" t="n">
        <v>7.43</v>
      </c>
    </row>
    <row r="2873" customFormat="false" ht="15" hidden="false" customHeight="false" outlineLevel="0" collapsed="false">
      <c r="A2873" s="0" t="n">
        <v>3</v>
      </c>
      <c r="B2873" s="59" t="n">
        <v>46238</v>
      </c>
      <c r="C2873" s="0" t="n">
        <v>11</v>
      </c>
      <c r="D2873" s="0" t="s">
        <v>2126</v>
      </c>
      <c r="E2873" s="0" t="n">
        <v>1708</v>
      </c>
      <c r="F2873" s="0" t="s">
        <v>1615</v>
      </c>
      <c r="I2873" s="0" t="n">
        <v>264696</v>
      </c>
      <c r="J2873" s="0" t="n">
        <v>36473</v>
      </c>
      <c r="K2873" s="0" t="n">
        <v>7896383073495</v>
      </c>
      <c r="L2873" s="0" t="s">
        <v>3128</v>
      </c>
      <c r="N2873" s="0" t="n">
        <v>300</v>
      </c>
      <c r="O2873" s="60" t="n">
        <v>83.4</v>
      </c>
    </row>
    <row r="2874" customFormat="false" ht="15" hidden="false" customHeight="false" outlineLevel="0" collapsed="false">
      <c r="A2874" s="0" t="n">
        <v>3</v>
      </c>
      <c r="B2874" s="59" t="n">
        <v>46238</v>
      </c>
      <c r="C2874" s="0" t="n">
        <v>11</v>
      </c>
      <c r="D2874" s="0" t="s">
        <v>2126</v>
      </c>
      <c r="E2874" s="0" t="n">
        <v>1708</v>
      </c>
      <c r="F2874" s="0" t="s">
        <v>1615</v>
      </c>
      <c r="I2874" s="0" t="n">
        <v>264696</v>
      </c>
      <c r="J2874" s="0" t="n">
        <v>39637</v>
      </c>
      <c r="K2874" s="0" t="n">
        <v>7896383074034</v>
      </c>
      <c r="L2874" s="0" t="s">
        <v>3402</v>
      </c>
      <c r="N2874" s="0" t="n">
        <v>36</v>
      </c>
      <c r="O2874" s="60" t="n">
        <v>41.72</v>
      </c>
    </row>
    <row r="2875" customFormat="false" ht="15" hidden="false" customHeight="false" outlineLevel="0" collapsed="false">
      <c r="A2875" s="0" t="n">
        <v>3</v>
      </c>
      <c r="B2875" s="59" t="n">
        <v>46238</v>
      </c>
      <c r="C2875" s="0" t="n">
        <v>11</v>
      </c>
      <c r="D2875" s="0" t="s">
        <v>2126</v>
      </c>
      <c r="E2875" s="0" t="n">
        <v>1708</v>
      </c>
      <c r="F2875" s="0" t="s">
        <v>1615</v>
      </c>
      <c r="I2875" s="0" t="n">
        <v>264696</v>
      </c>
      <c r="J2875" s="0" t="n">
        <v>43023</v>
      </c>
      <c r="K2875" s="0" t="n">
        <v>7896202891798</v>
      </c>
      <c r="L2875" s="0" t="s">
        <v>3403</v>
      </c>
      <c r="N2875" s="0" t="n">
        <v>4</v>
      </c>
      <c r="O2875" s="60" t="n">
        <v>66.59</v>
      </c>
    </row>
    <row r="2876" customFormat="false" ht="15" hidden="false" customHeight="false" outlineLevel="0" collapsed="false">
      <c r="A2876" s="0" t="n">
        <v>3</v>
      </c>
      <c r="B2876" s="59" t="n">
        <v>46238</v>
      </c>
      <c r="C2876" s="0" t="n">
        <v>11</v>
      </c>
      <c r="D2876" s="0" t="s">
        <v>2126</v>
      </c>
      <c r="E2876" s="0" t="n">
        <v>1708</v>
      </c>
      <c r="F2876" s="0" t="s">
        <v>1615</v>
      </c>
      <c r="I2876" s="0" t="n">
        <v>264696</v>
      </c>
      <c r="J2876" s="0" t="n">
        <v>45059</v>
      </c>
      <c r="K2876" s="0" t="n">
        <v>7896202891866</v>
      </c>
      <c r="L2876" s="0" t="s">
        <v>3404</v>
      </c>
      <c r="N2876" s="0" t="n">
        <v>100</v>
      </c>
      <c r="O2876" s="60" t="n">
        <v>46.04</v>
      </c>
    </row>
    <row r="2877" customFormat="false" ht="15" hidden="false" customHeight="false" outlineLevel="0" collapsed="false">
      <c r="A2877" s="0" t="n">
        <v>3</v>
      </c>
      <c r="B2877" s="59" t="n">
        <v>46238</v>
      </c>
      <c r="C2877" s="0" t="n">
        <v>11</v>
      </c>
      <c r="D2877" s="0" t="s">
        <v>2126</v>
      </c>
      <c r="E2877" s="0" t="n">
        <v>1708</v>
      </c>
      <c r="F2877" s="0" t="s">
        <v>1615</v>
      </c>
      <c r="I2877" s="0" t="n">
        <v>264696</v>
      </c>
      <c r="J2877" s="0" t="n">
        <v>45456</v>
      </c>
      <c r="K2877" s="0" t="n">
        <v>7896306609893</v>
      </c>
      <c r="L2877" s="0" t="s">
        <v>3405</v>
      </c>
      <c r="N2877" s="0" t="n">
        <v>80</v>
      </c>
      <c r="O2877" s="60" t="n">
        <v>14.94</v>
      </c>
    </row>
    <row r="2878" customFormat="false" ht="15" hidden="false" customHeight="false" outlineLevel="0" collapsed="false">
      <c r="A2878" s="0" t="n">
        <v>3</v>
      </c>
      <c r="B2878" s="59" t="n">
        <v>46238</v>
      </c>
      <c r="C2878" s="0" t="n">
        <v>11</v>
      </c>
      <c r="D2878" s="0" t="s">
        <v>2126</v>
      </c>
      <c r="E2878" s="0" t="n">
        <v>1708</v>
      </c>
      <c r="F2878" s="0" t="s">
        <v>1615</v>
      </c>
      <c r="I2878" s="0" t="n">
        <v>264696</v>
      </c>
      <c r="J2878" s="0" t="n">
        <v>45457</v>
      </c>
      <c r="K2878" s="0" t="n">
        <v>7896306617683</v>
      </c>
      <c r="L2878" s="0" t="s">
        <v>3406</v>
      </c>
      <c r="N2878" s="0" t="n">
        <v>80</v>
      </c>
      <c r="O2878" s="60" t="n">
        <v>14.94</v>
      </c>
    </row>
    <row r="2879" customFormat="false" ht="15" hidden="false" customHeight="false" outlineLevel="0" collapsed="false">
      <c r="A2879" s="0" t="n">
        <v>3</v>
      </c>
      <c r="B2879" s="59" t="n">
        <v>46238</v>
      </c>
      <c r="C2879" s="0" t="n">
        <v>11</v>
      </c>
      <c r="D2879" s="0" t="s">
        <v>2126</v>
      </c>
      <c r="E2879" s="0" t="n">
        <v>1708</v>
      </c>
      <c r="F2879" s="0" t="s">
        <v>1615</v>
      </c>
      <c r="I2879" s="0" t="n">
        <v>264696</v>
      </c>
      <c r="J2879" s="0" t="n">
        <v>45465</v>
      </c>
      <c r="K2879" s="0" t="n">
        <v>7898405064283</v>
      </c>
      <c r="L2879" s="0" t="s">
        <v>3407</v>
      </c>
      <c r="N2879" s="0" t="n">
        <v>18</v>
      </c>
      <c r="O2879" s="60" t="n">
        <v>111.51</v>
      </c>
    </row>
    <row r="2880" customFormat="false" ht="15" hidden="false" customHeight="false" outlineLevel="0" collapsed="false">
      <c r="A2880" s="0" t="n">
        <v>3</v>
      </c>
      <c r="B2880" s="59" t="n">
        <v>46238</v>
      </c>
      <c r="C2880" s="0" t="n">
        <v>11</v>
      </c>
      <c r="D2880" s="0" t="s">
        <v>2126</v>
      </c>
      <c r="E2880" s="0" t="n">
        <v>1708</v>
      </c>
      <c r="F2880" s="0" t="s">
        <v>1615</v>
      </c>
      <c r="I2880" s="0" t="n">
        <v>264696</v>
      </c>
      <c r="J2880" s="0" t="n">
        <v>47444</v>
      </c>
      <c r="K2880" s="0" t="n">
        <v>7896306617706</v>
      </c>
      <c r="L2880" s="0" t="s">
        <v>3408</v>
      </c>
      <c r="N2880" s="0" t="n">
        <v>80</v>
      </c>
      <c r="O2880" s="60" t="n">
        <v>14.94</v>
      </c>
    </row>
    <row r="2881" customFormat="false" ht="15" hidden="false" customHeight="false" outlineLevel="0" collapsed="false">
      <c r="A2881" s="0" t="n">
        <v>3</v>
      </c>
      <c r="B2881" s="59" t="n">
        <v>46238</v>
      </c>
      <c r="C2881" s="0" t="n">
        <v>11</v>
      </c>
      <c r="D2881" s="0" t="s">
        <v>2126</v>
      </c>
      <c r="E2881" s="0" t="n">
        <v>1708</v>
      </c>
      <c r="F2881" s="0" t="s">
        <v>1615</v>
      </c>
      <c r="I2881" s="0" t="n">
        <v>264696</v>
      </c>
      <c r="J2881" s="0" t="n">
        <v>58872</v>
      </c>
      <c r="K2881" s="0" t="n">
        <v>7898656685152</v>
      </c>
      <c r="L2881" s="0" t="s">
        <v>3409</v>
      </c>
      <c r="N2881" s="0" t="n">
        <v>15</v>
      </c>
      <c r="O2881" s="60" t="n">
        <v>25</v>
      </c>
    </row>
    <row r="2882" customFormat="false" ht="15" hidden="false" customHeight="false" outlineLevel="0" collapsed="false">
      <c r="A2882" s="0" t="n">
        <v>3</v>
      </c>
      <c r="B2882" s="59" t="n">
        <v>46238</v>
      </c>
      <c r="C2882" s="0" t="n">
        <v>11</v>
      </c>
      <c r="D2882" s="0" t="s">
        <v>2126</v>
      </c>
      <c r="E2882" s="0" t="n">
        <v>1708</v>
      </c>
      <c r="F2882" s="0" t="s">
        <v>1615</v>
      </c>
      <c r="I2882" s="0" t="n">
        <v>264696</v>
      </c>
      <c r="J2882" s="0" t="n">
        <v>60562</v>
      </c>
      <c r="K2882" s="0" t="n">
        <v>7898405063941</v>
      </c>
      <c r="L2882" s="0" t="s">
        <v>3410</v>
      </c>
      <c r="N2882" s="0" t="n">
        <v>18</v>
      </c>
      <c r="O2882" s="60" t="n">
        <v>111.51</v>
      </c>
    </row>
    <row r="2883" customFormat="false" ht="15" hidden="false" customHeight="false" outlineLevel="0" collapsed="false">
      <c r="A2883" s="0" t="n">
        <v>3</v>
      </c>
      <c r="B2883" s="59" t="n">
        <v>46238</v>
      </c>
      <c r="C2883" s="0" t="n">
        <v>11</v>
      </c>
      <c r="D2883" s="0" t="s">
        <v>2126</v>
      </c>
      <c r="E2883" s="0" t="n">
        <v>1708</v>
      </c>
      <c r="F2883" s="0" t="s">
        <v>1615</v>
      </c>
      <c r="I2883" s="0" t="n">
        <v>264696</v>
      </c>
      <c r="J2883" s="0" t="n">
        <v>62306</v>
      </c>
      <c r="K2883" s="0" t="n">
        <v>7898591453434</v>
      </c>
      <c r="L2883" s="0" t="s">
        <v>3411</v>
      </c>
      <c r="N2883" s="0" t="n">
        <v>24</v>
      </c>
      <c r="O2883" s="60" t="n">
        <v>23.49</v>
      </c>
    </row>
    <row r="2884" customFormat="false" ht="15" hidden="false" customHeight="false" outlineLevel="0" collapsed="false">
      <c r="A2884" s="0" t="n">
        <v>3</v>
      </c>
      <c r="B2884" s="59" t="n">
        <v>46238</v>
      </c>
      <c r="C2884" s="0" t="n">
        <v>11</v>
      </c>
      <c r="D2884" s="0" t="s">
        <v>2126</v>
      </c>
      <c r="E2884" s="0" t="n">
        <v>1708</v>
      </c>
      <c r="F2884" s="0" t="s">
        <v>1615</v>
      </c>
      <c r="I2884" s="0" t="n">
        <v>264696</v>
      </c>
      <c r="J2884" s="0" t="n">
        <v>65106</v>
      </c>
      <c r="K2884" s="0" t="n">
        <v>7896306624261</v>
      </c>
      <c r="L2884" s="0" t="s">
        <v>3412</v>
      </c>
      <c r="N2884" s="0" t="n">
        <v>80</v>
      </c>
      <c r="O2884" s="60" t="n">
        <v>14.94</v>
      </c>
    </row>
    <row r="2885" customFormat="false" ht="15" hidden="false" customHeight="false" outlineLevel="0" collapsed="false">
      <c r="A2885" s="0" t="n">
        <v>3</v>
      </c>
      <c r="B2885" s="59" t="n">
        <v>46238</v>
      </c>
      <c r="C2885" s="0" t="n">
        <v>11</v>
      </c>
      <c r="D2885" s="0" t="s">
        <v>2126</v>
      </c>
      <c r="E2885" s="0" t="n">
        <v>1708</v>
      </c>
      <c r="F2885" s="0" t="s">
        <v>1615</v>
      </c>
      <c r="I2885" s="0" t="n">
        <v>264696</v>
      </c>
      <c r="J2885" s="0" t="n">
        <v>67399</v>
      </c>
      <c r="K2885" s="0" t="n">
        <v>7908228805120</v>
      </c>
      <c r="L2885" s="0" t="s">
        <v>3413</v>
      </c>
      <c r="N2885" s="0" t="n">
        <v>1</v>
      </c>
      <c r="O2885" s="60" t="n">
        <v>7.43</v>
      </c>
    </row>
    <row r="2886" customFormat="false" ht="15" hidden="false" customHeight="false" outlineLevel="0" collapsed="false">
      <c r="A2886" s="0" t="n">
        <v>3</v>
      </c>
      <c r="B2886" s="59" t="n">
        <v>46238</v>
      </c>
      <c r="C2886" s="0" t="n">
        <v>11</v>
      </c>
      <c r="D2886" s="0" t="s">
        <v>2126</v>
      </c>
      <c r="E2886" s="0" t="n">
        <v>1708</v>
      </c>
      <c r="F2886" s="0" t="s">
        <v>1615</v>
      </c>
      <c r="I2886" s="0" t="n">
        <v>264696</v>
      </c>
      <c r="J2886" s="0" t="n">
        <v>81995</v>
      </c>
      <c r="K2886" s="0" t="n">
        <v>7898656685121</v>
      </c>
      <c r="L2886" s="0" t="s">
        <v>3414</v>
      </c>
      <c r="N2886" s="0" t="n">
        <v>15</v>
      </c>
      <c r="O2886" s="60" t="n">
        <v>25</v>
      </c>
    </row>
    <row r="2887" customFormat="false" ht="15" hidden="false" customHeight="false" outlineLevel="0" collapsed="false">
      <c r="A2887" s="0" t="n">
        <v>3</v>
      </c>
      <c r="B2887" s="59" t="n">
        <v>46238</v>
      </c>
      <c r="C2887" s="0" t="n">
        <v>11</v>
      </c>
      <c r="D2887" s="0" t="s">
        <v>2126</v>
      </c>
      <c r="E2887" s="0" t="n">
        <v>1708</v>
      </c>
      <c r="F2887" s="0" t="s">
        <v>1615</v>
      </c>
      <c r="I2887" s="0" t="n">
        <v>264696</v>
      </c>
      <c r="J2887" s="0" t="n">
        <v>81996</v>
      </c>
      <c r="K2887" s="0" t="n">
        <v>7898656685091</v>
      </c>
      <c r="L2887" s="0" t="s">
        <v>3415</v>
      </c>
      <c r="N2887" s="0" t="n">
        <v>15</v>
      </c>
      <c r="O2887" s="60" t="n">
        <v>25</v>
      </c>
    </row>
    <row r="2888" customFormat="false" ht="15" hidden="false" customHeight="false" outlineLevel="0" collapsed="false">
      <c r="A2888" s="0" t="n">
        <v>3</v>
      </c>
      <c r="B2888" s="59" t="n">
        <v>46238</v>
      </c>
      <c r="C2888" s="0" t="n">
        <v>11</v>
      </c>
      <c r="D2888" s="0" t="s">
        <v>2126</v>
      </c>
      <c r="E2888" s="0" t="n">
        <v>1708</v>
      </c>
      <c r="F2888" s="0" t="s">
        <v>1615</v>
      </c>
      <c r="I2888" s="0" t="n">
        <v>264696</v>
      </c>
      <c r="J2888" s="0" t="n">
        <v>81997</v>
      </c>
      <c r="K2888" s="0" t="n">
        <v>7898656685916</v>
      </c>
      <c r="L2888" s="0" t="s">
        <v>3416</v>
      </c>
      <c r="N2888" s="0" t="n">
        <v>15</v>
      </c>
      <c r="O2888" s="60" t="n">
        <v>25</v>
      </c>
    </row>
    <row r="2889" customFormat="false" ht="15" hidden="false" customHeight="false" outlineLevel="0" collapsed="false">
      <c r="A2889" s="0" t="n">
        <v>3</v>
      </c>
      <c r="B2889" s="59" t="n">
        <v>46238</v>
      </c>
      <c r="C2889" s="0" t="n">
        <v>11</v>
      </c>
      <c r="D2889" s="0" t="s">
        <v>2126</v>
      </c>
      <c r="E2889" s="0" t="n">
        <v>10009</v>
      </c>
      <c r="F2889" s="0" t="s">
        <v>375</v>
      </c>
      <c r="I2889" s="0" t="n">
        <v>1434035</v>
      </c>
      <c r="J2889" s="0" t="n">
        <v>81180</v>
      </c>
      <c r="K2889" s="0" t="n">
        <v>7891000457368</v>
      </c>
      <c r="L2889" s="0" t="s">
        <v>2336</v>
      </c>
      <c r="N2889" s="0" t="n">
        <v>45</v>
      </c>
      <c r="O2889" s="60" t="n">
        <v>97.2</v>
      </c>
    </row>
    <row r="2890" customFormat="false" ht="15" hidden="false" customHeight="false" outlineLevel="0" collapsed="false">
      <c r="A2890" s="0" t="n">
        <v>3</v>
      </c>
      <c r="B2890" s="59" t="n">
        <v>46238</v>
      </c>
      <c r="C2890" s="0" t="n">
        <v>11</v>
      </c>
      <c r="D2890" s="0" t="s">
        <v>2126</v>
      </c>
      <c r="E2890" s="0" t="n">
        <v>10009</v>
      </c>
      <c r="F2890" s="0" t="s">
        <v>375</v>
      </c>
      <c r="I2890" s="0" t="n">
        <v>1434035</v>
      </c>
      <c r="J2890" s="0" t="n">
        <v>81983</v>
      </c>
      <c r="K2890" s="0" t="n">
        <v>7891000452158</v>
      </c>
      <c r="L2890" s="0" t="s">
        <v>3417</v>
      </c>
      <c r="N2890" s="0" t="n">
        <v>60</v>
      </c>
      <c r="O2890" s="60" t="n">
        <v>39.45</v>
      </c>
    </row>
    <row r="2891" customFormat="false" ht="15" hidden="false" customHeight="false" outlineLevel="0" collapsed="false">
      <c r="A2891" s="0" t="n">
        <v>3</v>
      </c>
      <c r="B2891" s="59" t="n">
        <v>46238</v>
      </c>
      <c r="C2891" s="0" t="n">
        <v>11</v>
      </c>
      <c r="D2891" s="0" t="s">
        <v>2126</v>
      </c>
      <c r="E2891" s="0" t="n">
        <v>10009</v>
      </c>
      <c r="F2891" s="0" t="s">
        <v>375</v>
      </c>
      <c r="I2891" s="0" t="n">
        <v>1434035</v>
      </c>
      <c r="J2891" s="0" t="n">
        <v>81984</v>
      </c>
      <c r="K2891" s="0" t="n">
        <v>7891000452165</v>
      </c>
      <c r="L2891" s="0" t="s">
        <v>3418</v>
      </c>
      <c r="N2891" s="0" t="n">
        <v>60</v>
      </c>
      <c r="O2891" s="60" t="n">
        <v>39.45</v>
      </c>
    </row>
    <row r="2892" customFormat="false" ht="15" hidden="false" customHeight="false" outlineLevel="0" collapsed="false">
      <c r="A2892" s="0" t="n">
        <v>3</v>
      </c>
      <c r="B2892" s="59" t="n">
        <v>46238</v>
      </c>
      <c r="C2892" s="0" t="n">
        <v>11</v>
      </c>
      <c r="D2892" s="0" t="s">
        <v>2126</v>
      </c>
      <c r="E2892" s="0" t="n">
        <v>10009</v>
      </c>
      <c r="F2892" s="0" t="s">
        <v>375</v>
      </c>
      <c r="I2892" s="0" t="n">
        <v>1434035</v>
      </c>
      <c r="J2892" s="0" t="n">
        <v>81985</v>
      </c>
      <c r="K2892" s="0" t="n">
        <v>7891000477274</v>
      </c>
      <c r="L2892" s="0" t="s">
        <v>3419</v>
      </c>
      <c r="N2892" s="0" t="n">
        <v>12</v>
      </c>
      <c r="O2892" s="60" t="n">
        <v>26.07</v>
      </c>
    </row>
    <row r="2893" customFormat="false" ht="15" hidden="false" customHeight="false" outlineLevel="0" collapsed="false">
      <c r="A2893" s="0" t="n">
        <v>3</v>
      </c>
      <c r="B2893" s="59" t="n">
        <v>46238</v>
      </c>
      <c r="C2893" s="0" t="n">
        <v>11</v>
      </c>
      <c r="D2893" s="0" t="s">
        <v>2126</v>
      </c>
      <c r="E2893" s="0" t="n">
        <v>10009</v>
      </c>
      <c r="F2893" s="0" t="s">
        <v>375</v>
      </c>
      <c r="I2893" s="0" t="n">
        <v>1434035</v>
      </c>
      <c r="J2893" s="0" t="n">
        <v>81986</v>
      </c>
      <c r="K2893" s="0" t="n">
        <v>7891000477366</v>
      </c>
      <c r="L2893" s="0" t="s">
        <v>3420</v>
      </c>
      <c r="N2893" s="0" t="n">
        <v>12</v>
      </c>
      <c r="O2893" s="60" t="n">
        <v>26.07</v>
      </c>
    </row>
    <row r="2894" customFormat="false" ht="15" hidden="false" customHeight="false" outlineLevel="0" collapsed="false">
      <c r="A2894" s="0" t="n">
        <v>3</v>
      </c>
      <c r="B2894" s="59" t="n">
        <v>46238</v>
      </c>
      <c r="C2894" s="0" t="n">
        <v>39</v>
      </c>
      <c r="D2894" s="0" t="s">
        <v>2239</v>
      </c>
      <c r="E2894" s="0" t="n">
        <v>10101</v>
      </c>
      <c r="F2894" s="0" t="s">
        <v>1710</v>
      </c>
      <c r="I2894" s="0" t="n">
        <v>259616</v>
      </c>
      <c r="J2894" s="0" t="n">
        <v>81982</v>
      </c>
      <c r="K2894" s="0" t="n">
        <v>7898945166324</v>
      </c>
      <c r="L2894" s="0" t="s">
        <v>3421</v>
      </c>
      <c r="N2894" s="0" t="n">
        <v>1</v>
      </c>
      <c r="O2894" s="60" t="n">
        <v>1689</v>
      </c>
    </row>
    <row r="2895" customFormat="false" ht="15" hidden="false" customHeight="false" outlineLevel="0" collapsed="false">
      <c r="A2895" s="0" t="n">
        <v>3</v>
      </c>
      <c r="B2895" s="59" t="n">
        <v>46238</v>
      </c>
      <c r="C2895" s="0" t="n">
        <v>39</v>
      </c>
      <c r="D2895" s="0" t="s">
        <v>2239</v>
      </c>
      <c r="E2895" s="0" t="n">
        <v>10101</v>
      </c>
      <c r="F2895" s="0" t="s">
        <v>1710</v>
      </c>
      <c r="I2895" s="0" t="n">
        <v>259616</v>
      </c>
      <c r="J2895" s="0" t="n">
        <v>81981</v>
      </c>
      <c r="K2895" s="0" t="n">
        <v>7892597355969</v>
      </c>
      <c r="L2895" s="0" t="s">
        <v>3422</v>
      </c>
      <c r="N2895" s="0" t="n">
        <v>1</v>
      </c>
      <c r="O2895" s="60" t="n">
        <v>879</v>
      </c>
    </row>
    <row r="2896" customFormat="false" ht="15" hidden="false" customHeight="false" outlineLevel="0" collapsed="false">
      <c r="A2896" s="0" t="n">
        <v>3</v>
      </c>
      <c r="B2896" s="59" t="n">
        <v>46238</v>
      </c>
      <c r="C2896" s="0" t="n">
        <v>171</v>
      </c>
      <c r="D2896" s="0" t="s">
        <v>2182</v>
      </c>
      <c r="E2896" s="0" t="n">
        <v>1656</v>
      </c>
      <c r="F2896" s="0" t="s">
        <v>262</v>
      </c>
      <c r="I2896" s="0" t="n">
        <v>224552</v>
      </c>
      <c r="J2896" s="0" t="n">
        <v>81994</v>
      </c>
      <c r="K2896" s="0" t="n">
        <v>7891091010664</v>
      </c>
      <c r="L2896" s="0" t="s">
        <v>3423</v>
      </c>
      <c r="N2896" s="0" t="n">
        <v>10</v>
      </c>
      <c r="O2896" s="60" t="n">
        <v>64.34</v>
      </c>
    </row>
    <row r="2897" customFormat="false" ht="15" hidden="false" customHeight="false" outlineLevel="0" collapsed="false">
      <c r="A2897" s="0" t="n">
        <v>3</v>
      </c>
      <c r="B2897" s="59" t="n">
        <v>46239</v>
      </c>
      <c r="C2897" s="0" t="n">
        <v>6</v>
      </c>
      <c r="D2897" s="0" t="s">
        <v>2125</v>
      </c>
      <c r="E2897" s="0" t="n">
        <v>42</v>
      </c>
      <c r="F2897" s="0" t="s">
        <v>81</v>
      </c>
      <c r="I2897" s="0" t="n">
        <v>4463</v>
      </c>
      <c r="J2897" s="0" t="n">
        <v>109791</v>
      </c>
      <c r="K2897" s="0" t="n">
        <v>9667</v>
      </c>
      <c r="L2897" s="0" t="s">
        <v>2123</v>
      </c>
      <c r="N2897" s="0" t="n">
        <v>6</v>
      </c>
      <c r="O2897" s="60" t="n">
        <v>15</v>
      </c>
    </row>
    <row r="2898" customFormat="false" ht="15" hidden="false" customHeight="false" outlineLevel="0" collapsed="false">
      <c r="A2898" s="0" t="n">
        <v>3</v>
      </c>
      <c r="B2898" s="59" t="n">
        <v>46239</v>
      </c>
      <c r="C2898" s="0" t="n">
        <v>6</v>
      </c>
      <c r="D2898" s="0" t="s">
        <v>2125</v>
      </c>
      <c r="E2898" s="0" t="n">
        <v>42</v>
      </c>
      <c r="F2898" s="0" t="s">
        <v>81</v>
      </c>
      <c r="I2898" s="0" t="n">
        <v>4463</v>
      </c>
      <c r="J2898" s="0" t="n">
        <v>37359</v>
      </c>
      <c r="K2898" s="0" t="n">
        <v>55526</v>
      </c>
      <c r="L2898" s="0" t="s">
        <v>2194</v>
      </c>
      <c r="N2898" s="0" t="n">
        <v>5</v>
      </c>
      <c r="O2898" s="60" t="n">
        <v>25</v>
      </c>
    </row>
    <row r="2899" customFormat="false" ht="15" hidden="false" customHeight="false" outlineLevel="0" collapsed="false">
      <c r="A2899" s="0" t="n">
        <v>3</v>
      </c>
      <c r="B2899" s="59" t="n">
        <v>46239</v>
      </c>
      <c r="C2899" s="0" t="n">
        <v>6</v>
      </c>
      <c r="D2899" s="0" t="s">
        <v>2125</v>
      </c>
      <c r="E2899" s="0" t="n">
        <v>42</v>
      </c>
      <c r="F2899" s="0" t="s">
        <v>81</v>
      </c>
      <c r="I2899" s="0" t="n">
        <v>4463</v>
      </c>
      <c r="J2899" s="0" t="n">
        <v>37361</v>
      </c>
      <c r="K2899" s="0" t="n">
        <v>2240817</v>
      </c>
      <c r="L2899" s="0" t="s">
        <v>2124</v>
      </c>
      <c r="N2899" s="0" t="n">
        <v>30</v>
      </c>
      <c r="O2899" s="60" t="n">
        <v>60</v>
      </c>
    </row>
    <row r="2900" customFormat="false" ht="15" hidden="false" customHeight="false" outlineLevel="0" collapsed="false">
      <c r="A2900" s="0" t="n">
        <v>3</v>
      </c>
      <c r="B2900" s="59" t="n">
        <v>46239</v>
      </c>
      <c r="C2900" s="0" t="n">
        <v>6</v>
      </c>
      <c r="D2900" s="0" t="s">
        <v>2125</v>
      </c>
      <c r="E2900" s="0" t="n">
        <v>42</v>
      </c>
      <c r="F2900" s="0" t="s">
        <v>81</v>
      </c>
      <c r="I2900" s="0" t="n">
        <v>4464</v>
      </c>
      <c r="J2900" s="0" t="n">
        <v>100103</v>
      </c>
      <c r="K2900" s="0" t="n">
        <v>104</v>
      </c>
      <c r="L2900" s="0" t="s">
        <v>2193</v>
      </c>
      <c r="N2900" s="0" t="n">
        <v>20</v>
      </c>
      <c r="O2900" s="60" t="n">
        <v>125</v>
      </c>
    </row>
    <row r="2901" customFormat="false" ht="15" hidden="false" customHeight="false" outlineLevel="0" collapsed="false">
      <c r="A2901" s="0" t="n">
        <v>3</v>
      </c>
      <c r="B2901" s="59" t="n">
        <v>46239</v>
      </c>
      <c r="C2901" s="0" t="n">
        <v>11</v>
      </c>
      <c r="D2901" s="0" t="s">
        <v>2126</v>
      </c>
      <c r="E2901" s="0" t="n">
        <v>10096</v>
      </c>
      <c r="F2901" s="0" t="s">
        <v>1235</v>
      </c>
      <c r="I2901" s="0" t="n">
        <v>118</v>
      </c>
      <c r="J2901" s="0" t="n">
        <v>61580</v>
      </c>
      <c r="K2901" s="0" t="n">
        <v>2258157</v>
      </c>
      <c r="L2901" s="0" t="s">
        <v>3008</v>
      </c>
      <c r="N2901" s="0" t="n">
        <v>15</v>
      </c>
      <c r="O2901" s="60" t="n">
        <v>180</v>
      </c>
    </row>
    <row r="2902" customFormat="false" ht="15" hidden="false" customHeight="false" outlineLevel="0" collapsed="false">
      <c r="A2902" s="0" t="n">
        <v>3</v>
      </c>
      <c r="B2902" s="59" t="n">
        <v>46239</v>
      </c>
      <c r="C2902" s="0" t="n">
        <v>11</v>
      </c>
      <c r="D2902" s="0" t="s">
        <v>2126</v>
      </c>
      <c r="E2902" s="0" t="n">
        <v>1185</v>
      </c>
      <c r="F2902" s="0" t="s">
        <v>168</v>
      </c>
      <c r="I2902" s="0" t="n">
        <v>393</v>
      </c>
      <c r="J2902" s="0" t="n">
        <v>105612</v>
      </c>
      <c r="K2902" s="0" t="n">
        <v>7896959500226</v>
      </c>
      <c r="L2902" s="0" t="s">
        <v>3424</v>
      </c>
      <c r="N2902" s="0" t="n">
        <v>50</v>
      </c>
      <c r="O2902" s="60" t="n">
        <v>109.5</v>
      </c>
    </row>
    <row r="2903" customFormat="false" ht="15" hidden="false" customHeight="false" outlineLevel="0" collapsed="false">
      <c r="A2903" s="0" t="n">
        <v>3</v>
      </c>
      <c r="B2903" s="59" t="n">
        <v>46239</v>
      </c>
      <c r="C2903" s="0" t="n">
        <v>11</v>
      </c>
      <c r="D2903" s="0" t="s">
        <v>2126</v>
      </c>
      <c r="E2903" s="0" t="n">
        <v>1185</v>
      </c>
      <c r="F2903" s="0" t="s">
        <v>168</v>
      </c>
      <c r="I2903" s="0" t="n">
        <v>393</v>
      </c>
      <c r="J2903" s="0" t="n">
        <v>106966</v>
      </c>
      <c r="K2903" s="0" t="n">
        <v>7896959500233</v>
      </c>
      <c r="L2903" s="0" t="s">
        <v>3425</v>
      </c>
      <c r="N2903" s="0" t="n">
        <v>20</v>
      </c>
      <c r="O2903" s="60" t="n">
        <v>85.8</v>
      </c>
    </row>
    <row r="2904" customFormat="false" ht="15" hidden="false" customHeight="false" outlineLevel="0" collapsed="false">
      <c r="A2904" s="0" t="n">
        <v>3</v>
      </c>
      <c r="B2904" s="59" t="n">
        <v>46239</v>
      </c>
      <c r="C2904" s="0" t="n">
        <v>11</v>
      </c>
      <c r="D2904" s="0" t="s">
        <v>2126</v>
      </c>
      <c r="E2904" s="0" t="n">
        <v>1185</v>
      </c>
      <c r="F2904" s="0" t="s">
        <v>168</v>
      </c>
      <c r="I2904" s="0" t="n">
        <v>393</v>
      </c>
      <c r="J2904" s="0" t="n">
        <v>107159</v>
      </c>
      <c r="K2904" s="0" t="n">
        <v>7896959500042</v>
      </c>
      <c r="L2904" s="0" t="s">
        <v>3426</v>
      </c>
      <c r="N2904" s="0" t="n">
        <v>30</v>
      </c>
      <c r="O2904" s="60" t="n">
        <v>51</v>
      </c>
    </row>
    <row r="2905" customFormat="false" ht="15" hidden="false" customHeight="false" outlineLevel="0" collapsed="false">
      <c r="A2905" s="0" t="n">
        <v>3</v>
      </c>
      <c r="B2905" s="59" t="n">
        <v>46239</v>
      </c>
      <c r="C2905" s="0" t="n">
        <v>11</v>
      </c>
      <c r="D2905" s="0" t="s">
        <v>2126</v>
      </c>
      <c r="E2905" s="0" t="n">
        <v>1185</v>
      </c>
      <c r="F2905" s="0" t="s">
        <v>168</v>
      </c>
      <c r="I2905" s="0" t="n">
        <v>393</v>
      </c>
      <c r="J2905" s="0" t="n">
        <v>107163</v>
      </c>
      <c r="K2905" s="0" t="n">
        <v>7896959500141</v>
      </c>
      <c r="L2905" s="0" t="s">
        <v>3427</v>
      </c>
      <c r="N2905" s="0" t="n">
        <v>30</v>
      </c>
      <c r="O2905" s="60" t="n">
        <v>51</v>
      </c>
    </row>
    <row r="2906" customFormat="false" ht="15" hidden="false" customHeight="false" outlineLevel="0" collapsed="false">
      <c r="A2906" s="0" t="n">
        <v>3</v>
      </c>
      <c r="B2906" s="59" t="n">
        <v>46239</v>
      </c>
      <c r="C2906" s="0" t="n">
        <v>11</v>
      </c>
      <c r="D2906" s="0" t="s">
        <v>2126</v>
      </c>
      <c r="E2906" s="0" t="n">
        <v>1185</v>
      </c>
      <c r="F2906" s="0" t="s">
        <v>168</v>
      </c>
      <c r="I2906" s="0" t="n">
        <v>393</v>
      </c>
      <c r="J2906" s="0" t="n">
        <v>107172</v>
      </c>
      <c r="K2906" s="0" t="n">
        <v>7896959500011</v>
      </c>
      <c r="L2906" s="0" t="s">
        <v>3428</v>
      </c>
      <c r="N2906" s="0" t="n">
        <v>60</v>
      </c>
      <c r="O2906" s="60" t="n">
        <v>66</v>
      </c>
    </row>
    <row r="2907" customFormat="false" ht="15" hidden="false" customHeight="false" outlineLevel="0" collapsed="false">
      <c r="A2907" s="0" t="n">
        <v>3</v>
      </c>
      <c r="B2907" s="59" t="n">
        <v>46239</v>
      </c>
      <c r="C2907" s="0" t="n">
        <v>11</v>
      </c>
      <c r="D2907" s="0" t="s">
        <v>2126</v>
      </c>
      <c r="E2907" s="0" t="n">
        <v>1185</v>
      </c>
      <c r="F2907" s="0" t="s">
        <v>168</v>
      </c>
      <c r="I2907" s="0" t="n">
        <v>393</v>
      </c>
      <c r="J2907" s="0" t="n">
        <v>107173</v>
      </c>
      <c r="K2907" s="0" t="n">
        <v>7896959500028</v>
      </c>
      <c r="L2907" s="0" t="s">
        <v>3429</v>
      </c>
      <c r="N2907" s="0" t="n">
        <v>60</v>
      </c>
      <c r="O2907" s="60" t="n">
        <v>126</v>
      </c>
    </row>
    <row r="2908" customFormat="false" ht="15" hidden="false" customHeight="false" outlineLevel="0" collapsed="false">
      <c r="A2908" s="0" t="n">
        <v>3</v>
      </c>
      <c r="B2908" s="59" t="n">
        <v>46239</v>
      </c>
      <c r="C2908" s="0" t="n">
        <v>11</v>
      </c>
      <c r="D2908" s="0" t="s">
        <v>2126</v>
      </c>
      <c r="E2908" s="0" t="n">
        <v>1185</v>
      </c>
      <c r="F2908" s="0" t="s">
        <v>168</v>
      </c>
      <c r="I2908" s="0" t="n">
        <v>393</v>
      </c>
      <c r="J2908" s="0" t="n">
        <v>107174</v>
      </c>
      <c r="K2908" s="0" t="n">
        <v>7896959500066</v>
      </c>
      <c r="L2908" s="0" t="s">
        <v>3430</v>
      </c>
      <c r="N2908" s="0" t="n">
        <v>30</v>
      </c>
      <c r="O2908" s="60" t="n">
        <v>45</v>
      </c>
    </row>
    <row r="2909" customFormat="false" ht="15" hidden="false" customHeight="false" outlineLevel="0" collapsed="false">
      <c r="A2909" s="0" t="n">
        <v>3</v>
      </c>
      <c r="B2909" s="59" t="n">
        <v>46239</v>
      </c>
      <c r="C2909" s="0" t="n">
        <v>11</v>
      </c>
      <c r="D2909" s="0" t="s">
        <v>2126</v>
      </c>
      <c r="E2909" s="0" t="n">
        <v>1185</v>
      </c>
      <c r="F2909" s="0" t="s">
        <v>168</v>
      </c>
      <c r="I2909" s="0" t="n">
        <v>393</v>
      </c>
      <c r="J2909" s="0" t="n">
        <v>107175</v>
      </c>
      <c r="K2909" s="0" t="n">
        <v>7896959500219</v>
      </c>
      <c r="L2909" s="0" t="s">
        <v>3431</v>
      </c>
      <c r="N2909" s="0" t="n">
        <v>30</v>
      </c>
      <c r="O2909" s="60" t="n">
        <v>66</v>
      </c>
    </row>
    <row r="2910" customFormat="false" ht="15" hidden="false" customHeight="false" outlineLevel="0" collapsed="false">
      <c r="A2910" s="0" t="n">
        <v>3</v>
      </c>
      <c r="B2910" s="59" t="n">
        <v>46239</v>
      </c>
      <c r="C2910" s="0" t="n">
        <v>11</v>
      </c>
      <c r="D2910" s="0" t="s">
        <v>2126</v>
      </c>
      <c r="E2910" s="0" t="n">
        <v>1185</v>
      </c>
      <c r="F2910" s="0" t="s">
        <v>168</v>
      </c>
      <c r="I2910" s="0" t="n">
        <v>393</v>
      </c>
      <c r="J2910" s="0" t="n">
        <v>107179</v>
      </c>
      <c r="K2910" s="0" t="n">
        <v>7896959500455</v>
      </c>
      <c r="L2910" s="0" t="s">
        <v>3432</v>
      </c>
      <c r="N2910" s="0" t="n">
        <v>30</v>
      </c>
      <c r="O2910" s="60" t="n">
        <v>50.7</v>
      </c>
    </row>
    <row r="2911" customFormat="false" ht="15" hidden="false" customHeight="false" outlineLevel="0" collapsed="false">
      <c r="A2911" s="0" t="n">
        <v>3</v>
      </c>
      <c r="B2911" s="59" t="n">
        <v>46239</v>
      </c>
      <c r="C2911" s="0" t="n">
        <v>11</v>
      </c>
      <c r="D2911" s="0" t="s">
        <v>2126</v>
      </c>
      <c r="E2911" s="0" t="n">
        <v>1185</v>
      </c>
      <c r="F2911" s="0" t="s">
        <v>168</v>
      </c>
      <c r="I2911" s="0" t="n">
        <v>393</v>
      </c>
      <c r="J2911" s="0" t="n">
        <v>107189</v>
      </c>
      <c r="K2911" s="0" t="n">
        <v>7896959500417</v>
      </c>
      <c r="L2911" s="0" t="s">
        <v>3433</v>
      </c>
      <c r="N2911" s="0" t="n">
        <v>30</v>
      </c>
      <c r="O2911" s="60" t="n">
        <v>69</v>
      </c>
    </row>
    <row r="2912" customFormat="false" ht="15" hidden="false" customHeight="false" outlineLevel="0" collapsed="false">
      <c r="A2912" s="0" t="n">
        <v>3</v>
      </c>
      <c r="B2912" s="59" t="n">
        <v>46239</v>
      </c>
      <c r="C2912" s="0" t="n">
        <v>11</v>
      </c>
      <c r="D2912" s="0" t="s">
        <v>2126</v>
      </c>
      <c r="E2912" s="0" t="n">
        <v>1185</v>
      </c>
      <c r="F2912" s="0" t="s">
        <v>168</v>
      </c>
      <c r="I2912" s="0" t="n">
        <v>393</v>
      </c>
      <c r="J2912" s="0" t="n">
        <v>65160</v>
      </c>
      <c r="K2912" s="0" t="n">
        <v>7896959500110</v>
      </c>
      <c r="L2912" s="0" t="s">
        <v>3434</v>
      </c>
      <c r="N2912" s="0" t="n">
        <v>30</v>
      </c>
      <c r="O2912" s="60" t="n">
        <v>57</v>
      </c>
    </row>
    <row r="2913" customFormat="false" ht="15" hidden="false" customHeight="false" outlineLevel="0" collapsed="false">
      <c r="A2913" s="0" t="n">
        <v>3</v>
      </c>
      <c r="B2913" s="59" t="n">
        <v>46239</v>
      </c>
      <c r="C2913" s="0" t="n">
        <v>11</v>
      </c>
      <c r="D2913" s="0" t="s">
        <v>2126</v>
      </c>
      <c r="E2913" s="0" t="n">
        <v>1185</v>
      </c>
      <c r="F2913" s="0" t="s">
        <v>168</v>
      </c>
      <c r="I2913" s="0" t="n">
        <v>393</v>
      </c>
      <c r="J2913" s="0" t="n">
        <v>65165</v>
      </c>
      <c r="K2913" s="0" t="n">
        <v>7896959500158</v>
      </c>
      <c r="L2913" s="0" t="s">
        <v>3435</v>
      </c>
      <c r="N2913" s="0" t="n">
        <v>30</v>
      </c>
      <c r="O2913" s="60" t="n">
        <v>48</v>
      </c>
    </row>
    <row r="2914" customFormat="false" ht="15" hidden="false" customHeight="false" outlineLevel="0" collapsed="false">
      <c r="A2914" s="0" t="n">
        <v>3</v>
      </c>
      <c r="B2914" s="59" t="n">
        <v>46239</v>
      </c>
      <c r="C2914" s="0" t="n">
        <v>11</v>
      </c>
      <c r="D2914" s="0" t="s">
        <v>2126</v>
      </c>
      <c r="E2914" s="0" t="n">
        <v>1185</v>
      </c>
      <c r="F2914" s="0" t="s">
        <v>168</v>
      </c>
      <c r="I2914" s="0" t="n">
        <v>393</v>
      </c>
      <c r="J2914" s="0" t="n">
        <v>65171</v>
      </c>
      <c r="K2914" s="0" t="n">
        <v>7896959500202</v>
      </c>
      <c r="L2914" s="0" t="s">
        <v>3436</v>
      </c>
      <c r="N2914" s="0" t="n">
        <v>30</v>
      </c>
      <c r="O2914" s="60" t="n">
        <v>45</v>
      </c>
    </row>
    <row r="2915" customFormat="false" ht="15" hidden="false" customHeight="false" outlineLevel="0" collapsed="false">
      <c r="A2915" s="0" t="n">
        <v>3</v>
      </c>
      <c r="B2915" s="59" t="n">
        <v>46239</v>
      </c>
      <c r="C2915" s="0" t="n">
        <v>11</v>
      </c>
      <c r="D2915" s="0" t="s">
        <v>2126</v>
      </c>
      <c r="E2915" s="0" t="n">
        <v>1185</v>
      </c>
      <c r="F2915" s="0" t="s">
        <v>168</v>
      </c>
      <c r="I2915" s="0" t="n">
        <v>393</v>
      </c>
      <c r="J2915" s="0" t="n">
        <v>66381</v>
      </c>
      <c r="K2915" s="0" t="n">
        <v>40141989710</v>
      </c>
      <c r="L2915" s="0" t="s">
        <v>3437</v>
      </c>
      <c r="N2915" s="0" t="n">
        <v>30</v>
      </c>
      <c r="O2915" s="60" t="n">
        <v>57</v>
      </c>
    </row>
    <row r="2916" customFormat="false" ht="15" hidden="false" customHeight="false" outlineLevel="0" collapsed="false">
      <c r="A2916" s="0" t="n">
        <v>3</v>
      </c>
      <c r="B2916" s="59" t="n">
        <v>46239</v>
      </c>
      <c r="C2916" s="0" t="n">
        <v>11</v>
      </c>
      <c r="D2916" s="0" t="s">
        <v>2126</v>
      </c>
      <c r="E2916" s="0" t="n">
        <v>1185</v>
      </c>
      <c r="F2916" s="0" t="s">
        <v>168</v>
      </c>
      <c r="I2916" s="0" t="n">
        <v>393</v>
      </c>
      <c r="J2916" s="0" t="n">
        <v>66384</v>
      </c>
      <c r="K2916" s="0" t="n">
        <v>40141989628</v>
      </c>
      <c r="L2916" s="0" t="s">
        <v>3438</v>
      </c>
      <c r="N2916" s="0" t="n">
        <v>30</v>
      </c>
      <c r="O2916" s="60" t="n">
        <v>51</v>
      </c>
    </row>
    <row r="2917" customFormat="false" ht="15" hidden="false" customHeight="false" outlineLevel="0" collapsed="false">
      <c r="A2917" s="0" t="n">
        <v>3</v>
      </c>
      <c r="B2917" s="59" t="n">
        <v>46239</v>
      </c>
      <c r="C2917" s="0" t="n">
        <v>11</v>
      </c>
      <c r="D2917" s="0" t="s">
        <v>2126</v>
      </c>
      <c r="E2917" s="0" t="n">
        <v>1185</v>
      </c>
      <c r="F2917" s="0" t="s">
        <v>168</v>
      </c>
      <c r="I2917" s="0" t="n">
        <v>393</v>
      </c>
      <c r="J2917" s="0" t="n">
        <v>66385</v>
      </c>
      <c r="K2917" s="0" t="n">
        <v>40141989666</v>
      </c>
      <c r="L2917" s="0" t="s">
        <v>3439</v>
      </c>
      <c r="N2917" s="0" t="n">
        <v>30</v>
      </c>
      <c r="O2917" s="60" t="n">
        <v>57</v>
      </c>
    </row>
    <row r="2918" customFormat="false" ht="15" hidden="false" customHeight="false" outlineLevel="0" collapsed="false">
      <c r="A2918" s="0" t="n">
        <v>3</v>
      </c>
      <c r="B2918" s="59" t="n">
        <v>46239</v>
      </c>
      <c r="C2918" s="0" t="n">
        <v>11</v>
      </c>
      <c r="D2918" s="0" t="s">
        <v>2126</v>
      </c>
      <c r="E2918" s="0" t="n">
        <v>1185</v>
      </c>
      <c r="F2918" s="0" t="s">
        <v>168</v>
      </c>
      <c r="I2918" s="0" t="n">
        <v>393</v>
      </c>
      <c r="J2918" s="0" t="n">
        <v>66391</v>
      </c>
      <c r="K2918" s="0" t="n">
        <v>7896959500424</v>
      </c>
      <c r="L2918" s="0" t="s">
        <v>3440</v>
      </c>
      <c r="N2918" s="0" t="n">
        <v>30</v>
      </c>
      <c r="O2918" s="60" t="n">
        <v>51</v>
      </c>
    </row>
    <row r="2919" customFormat="false" ht="15" hidden="false" customHeight="false" outlineLevel="0" collapsed="false">
      <c r="A2919" s="0" t="n">
        <v>3</v>
      </c>
      <c r="B2919" s="59" t="n">
        <v>46239</v>
      </c>
      <c r="C2919" s="0" t="n">
        <v>11</v>
      </c>
      <c r="D2919" s="0" t="s">
        <v>2126</v>
      </c>
      <c r="E2919" s="0" t="n">
        <v>1185</v>
      </c>
      <c r="F2919" s="0" t="s">
        <v>168</v>
      </c>
      <c r="I2919" s="0" t="n">
        <v>393</v>
      </c>
      <c r="J2919" s="0" t="n">
        <v>66397</v>
      </c>
      <c r="K2919" s="0" t="n">
        <v>7896959500370</v>
      </c>
      <c r="L2919" s="0" t="s">
        <v>3441</v>
      </c>
      <c r="N2919" s="0" t="n">
        <v>30</v>
      </c>
      <c r="O2919" s="60" t="n">
        <v>51</v>
      </c>
    </row>
    <row r="2920" customFormat="false" ht="15" hidden="false" customHeight="false" outlineLevel="0" collapsed="false">
      <c r="A2920" s="0" t="n">
        <v>3</v>
      </c>
      <c r="B2920" s="59" t="n">
        <v>46239</v>
      </c>
      <c r="C2920" s="0" t="n">
        <v>11</v>
      </c>
      <c r="D2920" s="0" t="s">
        <v>2126</v>
      </c>
      <c r="E2920" s="0" t="n">
        <v>1185</v>
      </c>
      <c r="F2920" s="0" t="s">
        <v>168</v>
      </c>
      <c r="I2920" s="0" t="n">
        <v>393</v>
      </c>
      <c r="J2920" s="0" t="n">
        <v>66757</v>
      </c>
      <c r="K2920" s="0" t="n">
        <v>40141989697</v>
      </c>
      <c r="L2920" s="0" t="s">
        <v>3442</v>
      </c>
      <c r="N2920" s="0" t="n">
        <v>30</v>
      </c>
      <c r="O2920" s="60" t="n">
        <v>57</v>
      </c>
    </row>
    <row r="2921" customFormat="false" ht="15" hidden="false" customHeight="false" outlineLevel="0" collapsed="false">
      <c r="A2921" s="0" t="n">
        <v>3</v>
      </c>
      <c r="B2921" s="59" t="n">
        <v>46239</v>
      </c>
      <c r="C2921" s="0" t="n">
        <v>11</v>
      </c>
      <c r="D2921" s="0" t="s">
        <v>2126</v>
      </c>
      <c r="E2921" s="0" t="n">
        <v>1185</v>
      </c>
      <c r="F2921" s="0" t="s">
        <v>168</v>
      </c>
      <c r="I2921" s="0" t="n">
        <v>393</v>
      </c>
      <c r="J2921" s="0" t="n">
        <v>66758</v>
      </c>
      <c r="K2921" s="0" t="n">
        <v>40141989642</v>
      </c>
      <c r="L2921" s="0" t="s">
        <v>3443</v>
      </c>
      <c r="N2921" s="0" t="n">
        <v>30</v>
      </c>
      <c r="O2921" s="60" t="n">
        <v>57</v>
      </c>
    </row>
    <row r="2922" customFormat="false" ht="15" hidden="false" customHeight="false" outlineLevel="0" collapsed="false">
      <c r="A2922" s="0" t="n">
        <v>3</v>
      </c>
      <c r="B2922" s="59" t="n">
        <v>46239</v>
      </c>
      <c r="C2922" s="0" t="n">
        <v>11</v>
      </c>
      <c r="D2922" s="0" t="s">
        <v>2126</v>
      </c>
      <c r="E2922" s="0" t="n">
        <v>1185</v>
      </c>
      <c r="F2922" s="0" t="s">
        <v>168</v>
      </c>
      <c r="I2922" s="0" t="n">
        <v>393</v>
      </c>
      <c r="J2922" s="0" t="n">
        <v>66760</v>
      </c>
      <c r="K2922" s="0" t="n">
        <v>40141989703</v>
      </c>
      <c r="L2922" s="0" t="s">
        <v>3444</v>
      </c>
      <c r="N2922" s="0" t="n">
        <v>30</v>
      </c>
      <c r="O2922" s="60" t="n">
        <v>45</v>
      </c>
    </row>
    <row r="2923" customFormat="false" ht="15" hidden="false" customHeight="false" outlineLevel="0" collapsed="false">
      <c r="A2923" s="0" t="n">
        <v>3</v>
      </c>
      <c r="B2923" s="59" t="n">
        <v>46239</v>
      </c>
      <c r="C2923" s="0" t="n">
        <v>11</v>
      </c>
      <c r="D2923" s="0" t="s">
        <v>2126</v>
      </c>
      <c r="E2923" s="0" t="n">
        <v>1185</v>
      </c>
      <c r="F2923" s="0" t="s">
        <v>168</v>
      </c>
      <c r="I2923" s="0" t="n">
        <v>393</v>
      </c>
      <c r="J2923" s="0" t="n">
        <v>66761</v>
      </c>
      <c r="K2923" s="0" t="n">
        <v>40141989680</v>
      </c>
      <c r="L2923" s="0" t="s">
        <v>3445</v>
      </c>
      <c r="N2923" s="0" t="n">
        <v>30</v>
      </c>
      <c r="O2923" s="60" t="n">
        <v>60</v>
      </c>
    </row>
    <row r="2924" customFormat="false" ht="15" hidden="false" customHeight="false" outlineLevel="0" collapsed="false">
      <c r="A2924" s="0" t="n">
        <v>3</v>
      </c>
      <c r="B2924" s="59" t="n">
        <v>46239</v>
      </c>
      <c r="C2924" s="0" t="n">
        <v>11</v>
      </c>
      <c r="D2924" s="0" t="s">
        <v>2126</v>
      </c>
      <c r="E2924" s="0" t="n">
        <v>1185</v>
      </c>
      <c r="F2924" s="0" t="s">
        <v>168</v>
      </c>
      <c r="I2924" s="0" t="n">
        <v>393</v>
      </c>
      <c r="J2924" s="0" t="n">
        <v>79652</v>
      </c>
      <c r="K2924" s="0" t="n">
        <v>631911126055</v>
      </c>
      <c r="L2924" s="0" t="s">
        <v>3446</v>
      </c>
      <c r="N2924" s="0" t="n">
        <v>30</v>
      </c>
      <c r="O2924" s="60" t="n">
        <v>57</v>
      </c>
    </row>
    <row r="2925" customFormat="false" ht="15" hidden="false" customHeight="false" outlineLevel="0" collapsed="false">
      <c r="A2925" s="0" t="n">
        <v>3</v>
      </c>
      <c r="B2925" s="59" t="n">
        <v>46239</v>
      </c>
      <c r="C2925" s="0" t="n">
        <v>11</v>
      </c>
      <c r="D2925" s="0" t="s">
        <v>2126</v>
      </c>
      <c r="E2925" s="0" t="n">
        <v>1185</v>
      </c>
      <c r="F2925" s="0" t="s">
        <v>168</v>
      </c>
      <c r="I2925" s="0" t="n">
        <v>393</v>
      </c>
      <c r="J2925" s="0" t="n">
        <v>80821</v>
      </c>
      <c r="K2925" s="0" t="n">
        <v>631911126031</v>
      </c>
      <c r="L2925" s="0" t="s">
        <v>3447</v>
      </c>
      <c r="N2925" s="0" t="n">
        <v>30</v>
      </c>
      <c r="O2925" s="60" t="n">
        <v>57</v>
      </c>
    </row>
    <row r="2926" customFormat="false" ht="15" hidden="false" customHeight="false" outlineLevel="0" collapsed="false">
      <c r="A2926" s="0" t="n">
        <v>3</v>
      </c>
      <c r="B2926" s="59" t="n">
        <v>46239</v>
      </c>
      <c r="C2926" s="0" t="n">
        <v>11</v>
      </c>
      <c r="D2926" s="0" t="s">
        <v>2126</v>
      </c>
      <c r="E2926" s="0" t="n">
        <v>1185</v>
      </c>
      <c r="F2926" s="0" t="s">
        <v>168</v>
      </c>
      <c r="I2926" s="0" t="n">
        <v>393</v>
      </c>
      <c r="J2926" s="0" t="n">
        <v>80822</v>
      </c>
      <c r="K2926" s="0" t="n">
        <v>631911126024</v>
      </c>
      <c r="L2926" s="0" t="s">
        <v>3448</v>
      </c>
      <c r="N2926" s="0" t="n">
        <v>30</v>
      </c>
      <c r="O2926" s="60" t="n">
        <v>66</v>
      </c>
    </row>
    <row r="2927" customFormat="false" ht="15" hidden="false" customHeight="false" outlineLevel="0" collapsed="false">
      <c r="A2927" s="0" t="n">
        <v>3</v>
      </c>
      <c r="B2927" s="59" t="n">
        <v>46239</v>
      </c>
      <c r="C2927" s="0" t="n">
        <v>11</v>
      </c>
      <c r="D2927" s="0" t="s">
        <v>2126</v>
      </c>
      <c r="E2927" s="0" t="n">
        <v>846</v>
      </c>
      <c r="F2927" s="0" t="s">
        <v>264</v>
      </c>
      <c r="I2927" s="0" t="n">
        <v>846</v>
      </c>
      <c r="J2927" s="0" t="n">
        <v>11810</v>
      </c>
      <c r="K2927" s="0" t="n">
        <v>7898927628222</v>
      </c>
      <c r="L2927" s="0" t="s">
        <v>3449</v>
      </c>
      <c r="N2927" s="0" t="n">
        <v>30</v>
      </c>
      <c r="O2927" s="60" t="n">
        <v>78</v>
      </c>
    </row>
    <row r="2928" customFormat="false" ht="15" hidden="false" customHeight="false" outlineLevel="0" collapsed="false">
      <c r="A2928" s="0" t="n">
        <v>3</v>
      </c>
      <c r="B2928" s="59" t="n">
        <v>46239</v>
      </c>
      <c r="C2928" s="0" t="n">
        <v>11</v>
      </c>
      <c r="D2928" s="0" t="s">
        <v>2126</v>
      </c>
      <c r="E2928" s="0" t="n">
        <v>846</v>
      </c>
      <c r="F2928" s="0" t="s">
        <v>264</v>
      </c>
      <c r="I2928" s="0" t="n">
        <v>846</v>
      </c>
      <c r="J2928" s="0" t="n">
        <v>15330</v>
      </c>
      <c r="K2928" s="0" t="n">
        <v>7898923148526</v>
      </c>
      <c r="L2928" s="0" t="s">
        <v>3450</v>
      </c>
      <c r="N2928" s="0" t="n">
        <v>12</v>
      </c>
      <c r="O2928" s="60" t="n">
        <v>28</v>
      </c>
    </row>
    <row r="2929" customFormat="false" ht="15" hidden="false" customHeight="false" outlineLevel="0" collapsed="false">
      <c r="A2929" s="0" t="n">
        <v>3</v>
      </c>
      <c r="B2929" s="59" t="n">
        <v>46239</v>
      </c>
      <c r="C2929" s="0" t="n">
        <v>11</v>
      </c>
      <c r="D2929" s="0" t="s">
        <v>2126</v>
      </c>
      <c r="E2929" s="0" t="n">
        <v>846</v>
      </c>
      <c r="F2929" s="0" t="s">
        <v>264</v>
      </c>
      <c r="I2929" s="0" t="n">
        <v>846</v>
      </c>
      <c r="J2929" s="0" t="n">
        <v>17612</v>
      </c>
      <c r="K2929" s="0" t="n">
        <v>7898927628277</v>
      </c>
      <c r="L2929" s="0" t="s">
        <v>3451</v>
      </c>
      <c r="N2929" s="0" t="n">
        <v>24</v>
      </c>
      <c r="O2929" s="60" t="n">
        <v>56.4</v>
      </c>
    </row>
    <row r="2930" customFormat="false" ht="15" hidden="false" customHeight="false" outlineLevel="0" collapsed="false">
      <c r="A2930" s="0" t="n">
        <v>3</v>
      </c>
      <c r="B2930" s="59" t="n">
        <v>46239</v>
      </c>
      <c r="C2930" s="0" t="n">
        <v>11</v>
      </c>
      <c r="D2930" s="0" t="s">
        <v>2126</v>
      </c>
      <c r="E2930" s="0" t="n">
        <v>846</v>
      </c>
      <c r="F2930" s="0" t="s">
        <v>264</v>
      </c>
      <c r="I2930" s="0" t="n">
        <v>846</v>
      </c>
      <c r="J2930" s="0" t="n">
        <v>27991</v>
      </c>
      <c r="K2930" s="0" t="n">
        <v>6956865000010</v>
      </c>
      <c r="L2930" s="0" t="s">
        <v>3452</v>
      </c>
      <c r="N2930" s="0" t="n">
        <v>60</v>
      </c>
      <c r="O2930" s="60" t="n">
        <v>210</v>
      </c>
    </row>
    <row r="2931" customFormat="false" ht="15" hidden="false" customHeight="false" outlineLevel="0" collapsed="false">
      <c r="A2931" s="0" t="n">
        <v>3</v>
      </c>
      <c r="B2931" s="59" t="n">
        <v>46239</v>
      </c>
      <c r="C2931" s="0" t="n">
        <v>11</v>
      </c>
      <c r="D2931" s="0" t="s">
        <v>2126</v>
      </c>
      <c r="E2931" s="0" t="n">
        <v>846</v>
      </c>
      <c r="F2931" s="0" t="s">
        <v>264</v>
      </c>
      <c r="I2931" s="0" t="n">
        <v>846</v>
      </c>
      <c r="J2931" s="0" t="n">
        <v>31688</v>
      </c>
      <c r="K2931" s="0" t="n">
        <v>7898932211099</v>
      </c>
      <c r="L2931" s="0" t="s">
        <v>3453</v>
      </c>
      <c r="N2931" s="0" t="n">
        <v>12</v>
      </c>
      <c r="O2931" s="60" t="n">
        <v>73</v>
      </c>
    </row>
    <row r="2932" customFormat="false" ht="15" hidden="false" customHeight="false" outlineLevel="0" collapsed="false">
      <c r="A2932" s="0" t="n">
        <v>3</v>
      </c>
      <c r="B2932" s="59" t="n">
        <v>46239</v>
      </c>
      <c r="C2932" s="0" t="n">
        <v>11</v>
      </c>
      <c r="D2932" s="0" t="s">
        <v>2126</v>
      </c>
      <c r="E2932" s="0" t="n">
        <v>846</v>
      </c>
      <c r="F2932" s="0" t="s">
        <v>264</v>
      </c>
      <c r="I2932" s="0" t="n">
        <v>846</v>
      </c>
      <c r="J2932" s="0" t="n">
        <v>31689</v>
      </c>
      <c r="K2932" s="0" t="n">
        <v>7898932211211</v>
      </c>
      <c r="L2932" s="0" t="s">
        <v>3454</v>
      </c>
      <c r="N2932" s="0" t="n">
        <v>12</v>
      </c>
      <c r="O2932" s="60" t="n">
        <v>38</v>
      </c>
    </row>
    <row r="2933" customFormat="false" ht="15" hidden="false" customHeight="false" outlineLevel="0" collapsed="false">
      <c r="A2933" s="0" t="n">
        <v>3</v>
      </c>
      <c r="B2933" s="59" t="n">
        <v>46239</v>
      </c>
      <c r="C2933" s="0" t="n">
        <v>11</v>
      </c>
      <c r="D2933" s="0" t="s">
        <v>2126</v>
      </c>
      <c r="E2933" s="0" t="n">
        <v>846</v>
      </c>
      <c r="F2933" s="0" t="s">
        <v>264</v>
      </c>
      <c r="I2933" s="0" t="n">
        <v>846</v>
      </c>
      <c r="J2933" s="0" t="n">
        <v>31690</v>
      </c>
      <c r="K2933" s="0" t="n">
        <v>7898932211686</v>
      </c>
      <c r="L2933" s="0" t="s">
        <v>3454</v>
      </c>
      <c r="N2933" s="0" t="n">
        <v>12</v>
      </c>
      <c r="O2933" s="60" t="n">
        <v>38</v>
      </c>
    </row>
    <row r="2934" customFormat="false" ht="15" hidden="false" customHeight="false" outlineLevel="0" collapsed="false">
      <c r="A2934" s="0" t="n">
        <v>3</v>
      </c>
      <c r="B2934" s="59" t="n">
        <v>46239</v>
      </c>
      <c r="C2934" s="0" t="n">
        <v>11</v>
      </c>
      <c r="D2934" s="0" t="s">
        <v>2126</v>
      </c>
      <c r="E2934" s="0" t="n">
        <v>846</v>
      </c>
      <c r="F2934" s="0" t="s">
        <v>264</v>
      </c>
      <c r="I2934" s="0" t="n">
        <v>846</v>
      </c>
      <c r="J2934" s="0" t="n">
        <v>32830</v>
      </c>
      <c r="K2934" s="0" t="n">
        <v>7898932211389</v>
      </c>
      <c r="L2934" s="0" t="s">
        <v>3455</v>
      </c>
      <c r="N2934" s="0" t="n">
        <v>5</v>
      </c>
      <c r="O2934" s="60" t="n">
        <v>50</v>
      </c>
    </row>
    <row r="2935" customFormat="false" ht="15" hidden="false" customHeight="false" outlineLevel="0" collapsed="false">
      <c r="A2935" s="0" t="n">
        <v>3</v>
      </c>
      <c r="B2935" s="59" t="n">
        <v>46239</v>
      </c>
      <c r="C2935" s="0" t="n">
        <v>11</v>
      </c>
      <c r="D2935" s="0" t="s">
        <v>2126</v>
      </c>
      <c r="E2935" s="0" t="n">
        <v>846</v>
      </c>
      <c r="F2935" s="0" t="s">
        <v>264</v>
      </c>
      <c r="I2935" s="0" t="n">
        <v>846</v>
      </c>
      <c r="J2935" s="0" t="n">
        <v>35669</v>
      </c>
      <c r="K2935" s="0" t="n">
        <v>7890000000017</v>
      </c>
      <c r="L2935" s="0" t="s">
        <v>3456</v>
      </c>
      <c r="N2935" s="0" t="n">
        <v>20</v>
      </c>
      <c r="O2935" s="60" t="n">
        <v>52</v>
      </c>
    </row>
    <row r="2936" customFormat="false" ht="15" hidden="false" customHeight="false" outlineLevel="0" collapsed="false">
      <c r="A2936" s="0" t="n">
        <v>3</v>
      </c>
      <c r="B2936" s="59" t="n">
        <v>46239</v>
      </c>
      <c r="C2936" s="0" t="n">
        <v>11</v>
      </c>
      <c r="D2936" s="0" t="s">
        <v>2126</v>
      </c>
      <c r="E2936" s="0" t="n">
        <v>846</v>
      </c>
      <c r="F2936" s="0" t="s">
        <v>264</v>
      </c>
      <c r="I2936" s="0" t="n">
        <v>846</v>
      </c>
      <c r="J2936" s="0" t="n">
        <v>47744</v>
      </c>
      <c r="K2936" s="0" t="n">
        <v>618231980543</v>
      </c>
      <c r="L2936" s="0" t="s">
        <v>3457</v>
      </c>
      <c r="N2936" s="0" t="n">
        <v>12</v>
      </c>
      <c r="O2936" s="60" t="n">
        <v>20</v>
      </c>
    </row>
    <row r="2937" customFormat="false" ht="15" hidden="false" customHeight="false" outlineLevel="0" collapsed="false">
      <c r="A2937" s="0" t="n">
        <v>3</v>
      </c>
      <c r="B2937" s="59" t="n">
        <v>46239</v>
      </c>
      <c r="C2937" s="0" t="n">
        <v>11</v>
      </c>
      <c r="D2937" s="0" t="s">
        <v>2126</v>
      </c>
      <c r="E2937" s="0" t="n">
        <v>846</v>
      </c>
      <c r="F2937" s="0" t="s">
        <v>264</v>
      </c>
      <c r="I2937" s="0" t="n">
        <v>846</v>
      </c>
      <c r="J2937" s="0" t="n">
        <v>47747</v>
      </c>
      <c r="K2937" s="0" t="n">
        <v>618231980550</v>
      </c>
      <c r="L2937" s="0" t="s">
        <v>3458</v>
      </c>
      <c r="N2937" s="0" t="n">
        <v>12</v>
      </c>
      <c r="O2937" s="60" t="n">
        <v>22</v>
      </c>
    </row>
    <row r="2938" customFormat="false" ht="15" hidden="false" customHeight="false" outlineLevel="0" collapsed="false">
      <c r="A2938" s="0" t="n">
        <v>3</v>
      </c>
      <c r="B2938" s="59" t="n">
        <v>46239</v>
      </c>
      <c r="C2938" s="0" t="n">
        <v>11</v>
      </c>
      <c r="D2938" s="0" t="s">
        <v>2126</v>
      </c>
      <c r="E2938" s="0" t="n">
        <v>846</v>
      </c>
      <c r="F2938" s="0" t="s">
        <v>264</v>
      </c>
      <c r="I2938" s="0" t="n">
        <v>846</v>
      </c>
      <c r="J2938" s="0" t="n">
        <v>47758</v>
      </c>
      <c r="K2938" s="0" t="n">
        <v>618231980574</v>
      </c>
      <c r="L2938" s="0" t="s">
        <v>3459</v>
      </c>
      <c r="N2938" s="0" t="n">
        <v>50</v>
      </c>
      <c r="O2938" s="60" t="n">
        <v>190</v>
      </c>
    </row>
    <row r="2939" customFormat="false" ht="15" hidden="false" customHeight="false" outlineLevel="0" collapsed="false">
      <c r="A2939" s="0" t="n">
        <v>3</v>
      </c>
      <c r="B2939" s="59" t="n">
        <v>46239</v>
      </c>
      <c r="C2939" s="0" t="n">
        <v>11</v>
      </c>
      <c r="D2939" s="0" t="s">
        <v>2126</v>
      </c>
      <c r="E2939" s="0" t="n">
        <v>846</v>
      </c>
      <c r="F2939" s="0" t="s">
        <v>264</v>
      </c>
      <c r="I2939" s="0" t="n">
        <v>846</v>
      </c>
      <c r="J2939" s="0" t="n">
        <v>48682</v>
      </c>
      <c r="K2939" s="0" t="n">
        <v>7898951048881</v>
      </c>
      <c r="L2939" s="0" t="s">
        <v>3460</v>
      </c>
      <c r="N2939" s="0" t="n">
        <v>12</v>
      </c>
      <c r="O2939" s="60" t="n">
        <v>28</v>
      </c>
    </row>
    <row r="2940" customFormat="false" ht="15" hidden="false" customHeight="false" outlineLevel="0" collapsed="false">
      <c r="A2940" s="0" t="n">
        <v>3</v>
      </c>
      <c r="B2940" s="59" t="n">
        <v>46239</v>
      </c>
      <c r="C2940" s="0" t="n">
        <v>11</v>
      </c>
      <c r="D2940" s="0" t="s">
        <v>2126</v>
      </c>
      <c r="E2940" s="0" t="n">
        <v>846</v>
      </c>
      <c r="F2940" s="0" t="s">
        <v>264</v>
      </c>
      <c r="I2940" s="0" t="n">
        <v>846</v>
      </c>
      <c r="J2940" s="0" t="n">
        <v>49955</v>
      </c>
      <c r="K2940" s="0" t="n">
        <v>618231980581</v>
      </c>
      <c r="L2940" s="0" t="s">
        <v>3461</v>
      </c>
      <c r="N2940" s="0" t="n">
        <v>50</v>
      </c>
      <c r="O2940" s="60" t="n">
        <v>127.5</v>
      </c>
    </row>
    <row r="2941" customFormat="false" ht="15" hidden="false" customHeight="false" outlineLevel="0" collapsed="false">
      <c r="A2941" s="0" t="n">
        <v>3</v>
      </c>
      <c r="B2941" s="59" t="n">
        <v>46239</v>
      </c>
      <c r="C2941" s="0" t="n">
        <v>11</v>
      </c>
      <c r="D2941" s="0" t="s">
        <v>2126</v>
      </c>
      <c r="E2941" s="0" t="n">
        <v>846</v>
      </c>
      <c r="F2941" s="0" t="s">
        <v>264</v>
      </c>
      <c r="I2941" s="0" t="n">
        <v>846</v>
      </c>
      <c r="J2941" s="0" t="n">
        <v>52804</v>
      </c>
      <c r="K2941" s="0" t="n">
        <v>618231980567</v>
      </c>
      <c r="L2941" s="0" t="s">
        <v>3462</v>
      </c>
      <c r="N2941" s="0" t="n">
        <v>12</v>
      </c>
      <c r="O2941" s="60" t="n">
        <v>30</v>
      </c>
    </row>
    <row r="2942" customFormat="false" ht="15" hidden="false" customHeight="false" outlineLevel="0" collapsed="false">
      <c r="A2942" s="0" t="n">
        <v>3</v>
      </c>
      <c r="B2942" s="59" t="n">
        <v>46239</v>
      </c>
      <c r="C2942" s="0" t="n">
        <v>11</v>
      </c>
      <c r="D2942" s="0" t="s">
        <v>2126</v>
      </c>
      <c r="E2942" s="0" t="n">
        <v>846</v>
      </c>
      <c r="F2942" s="0" t="s">
        <v>264</v>
      </c>
      <c r="I2942" s="0" t="n">
        <v>846</v>
      </c>
      <c r="J2942" s="0" t="n">
        <v>56239</v>
      </c>
      <c r="K2942" s="0" t="n">
        <v>7893020102785</v>
      </c>
      <c r="L2942" s="0" t="s">
        <v>3463</v>
      </c>
      <c r="N2942" s="0" t="n">
        <v>24</v>
      </c>
      <c r="O2942" s="60" t="n">
        <v>95</v>
      </c>
    </row>
    <row r="2943" customFormat="false" ht="15" hidden="false" customHeight="false" outlineLevel="0" collapsed="false">
      <c r="A2943" s="0" t="n">
        <v>3</v>
      </c>
      <c r="B2943" s="59" t="n">
        <v>46239</v>
      </c>
      <c r="C2943" s="0" t="n">
        <v>11</v>
      </c>
      <c r="D2943" s="0" t="s">
        <v>2126</v>
      </c>
      <c r="E2943" s="0" t="n">
        <v>846</v>
      </c>
      <c r="F2943" s="0" t="s">
        <v>264</v>
      </c>
      <c r="I2943" s="0" t="n">
        <v>846</v>
      </c>
      <c r="J2943" s="0" t="n">
        <v>56240</v>
      </c>
      <c r="K2943" s="0" t="n">
        <v>7893020102747</v>
      </c>
      <c r="L2943" s="0" t="s">
        <v>3464</v>
      </c>
      <c r="N2943" s="0" t="n">
        <v>24</v>
      </c>
      <c r="O2943" s="60" t="n">
        <v>90</v>
      </c>
    </row>
    <row r="2944" customFormat="false" ht="15" hidden="false" customHeight="false" outlineLevel="0" collapsed="false">
      <c r="A2944" s="0" t="n">
        <v>3</v>
      </c>
      <c r="B2944" s="59" t="n">
        <v>46239</v>
      </c>
      <c r="C2944" s="0" t="n">
        <v>11</v>
      </c>
      <c r="D2944" s="0" t="s">
        <v>2126</v>
      </c>
      <c r="E2944" s="0" t="n">
        <v>846</v>
      </c>
      <c r="F2944" s="0" t="s">
        <v>264</v>
      </c>
      <c r="I2944" s="0" t="n">
        <v>846</v>
      </c>
      <c r="J2944" s="0" t="n">
        <v>56241</v>
      </c>
      <c r="K2944" s="0" t="n">
        <v>7893020127009</v>
      </c>
      <c r="L2944" s="0" t="s">
        <v>3464</v>
      </c>
      <c r="N2944" s="0" t="n">
        <v>24</v>
      </c>
      <c r="O2944" s="60" t="n">
        <v>84</v>
      </c>
    </row>
    <row r="2945" customFormat="false" ht="15" hidden="false" customHeight="false" outlineLevel="0" collapsed="false">
      <c r="A2945" s="0" t="n">
        <v>3</v>
      </c>
      <c r="B2945" s="59" t="n">
        <v>46239</v>
      </c>
      <c r="C2945" s="0" t="n">
        <v>11</v>
      </c>
      <c r="D2945" s="0" t="s">
        <v>2126</v>
      </c>
      <c r="E2945" s="0" t="n">
        <v>846</v>
      </c>
      <c r="F2945" s="0" t="s">
        <v>264</v>
      </c>
      <c r="I2945" s="0" t="n">
        <v>846</v>
      </c>
      <c r="J2945" s="0" t="n">
        <v>56832</v>
      </c>
      <c r="K2945" s="0" t="n">
        <v>618341281585</v>
      </c>
      <c r="L2945" s="0" t="s">
        <v>3465</v>
      </c>
      <c r="N2945" s="0" t="n">
        <v>10</v>
      </c>
      <c r="O2945" s="60" t="n">
        <v>56</v>
      </c>
    </row>
    <row r="2946" customFormat="false" ht="15" hidden="false" customHeight="false" outlineLevel="0" collapsed="false">
      <c r="A2946" s="0" t="n">
        <v>3</v>
      </c>
      <c r="B2946" s="59" t="n">
        <v>46239</v>
      </c>
      <c r="C2946" s="0" t="n">
        <v>11</v>
      </c>
      <c r="D2946" s="0" t="s">
        <v>2126</v>
      </c>
      <c r="E2946" s="0" t="n">
        <v>846</v>
      </c>
      <c r="F2946" s="0" t="s">
        <v>264</v>
      </c>
      <c r="I2946" s="0" t="n">
        <v>846</v>
      </c>
      <c r="J2946" s="0" t="n">
        <v>56882</v>
      </c>
      <c r="K2946" s="0" t="n">
        <v>619205201879</v>
      </c>
      <c r="L2946" s="0" t="s">
        <v>3466</v>
      </c>
      <c r="N2946" s="0" t="n">
        <v>4</v>
      </c>
      <c r="O2946" s="60" t="n">
        <v>40</v>
      </c>
    </row>
    <row r="2947" customFormat="false" ht="15" hidden="false" customHeight="false" outlineLevel="0" collapsed="false">
      <c r="A2947" s="0" t="n">
        <v>3</v>
      </c>
      <c r="B2947" s="59" t="n">
        <v>46239</v>
      </c>
      <c r="C2947" s="0" t="n">
        <v>11</v>
      </c>
      <c r="D2947" s="0" t="s">
        <v>2126</v>
      </c>
      <c r="E2947" s="0" t="n">
        <v>846</v>
      </c>
      <c r="F2947" s="0" t="s">
        <v>264</v>
      </c>
      <c r="I2947" s="0" t="n">
        <v>846</v>
      </c>
      <c r="J2947" s="0" t="n">
        <v>59036</v>
      </c>
      <c r="K2947" s="0" t="n">
        <v>609963022168</v>
      </c>
      <c r="L2947" s="0" t="s">
        <v>3467</v>
      </c>
      <c r="N2947" s="0" t="n">
        <v>10</v>
      </c>
      <c r="O2947" s="60" t="n">
        <v>85</v>
      </c>
    </row>
    <row r="2948" customFormat="false" ht="15" hidden="false" customHeight="false" outlineLevel="0" collapsed="false">
      <c r="A2948" s="0" t="n">
        <v>3</v>
      </c>
      <c r="B2948" s="59" t="n">
        <v>46239</v>
      </c>
      <c r="C2948" s="0" t="n">
        <v>11</v>
      </c>
      <c r="D2948" s="0" t="s">
        <v>2126</v>
      </c>
      <c r="E2948" s="0" t="n">
        <v>846</v>
      </c>
      <c r="F2948" s="0" t="s">
        <v>264</v>
      </c>
      <c r="I2948" s="0" t="n">
        <v>846</v>
      </c>
      <c r="J2948" s="0" t="n">
        <v>59783</v>
      </c>
      <c r="K2948" s="0" t="n">
        <v>7898934643652</v>
      </c>
      <c r="L2948" s="0" t="s">
        <v>3468</v>
      </c>
      <c r="N2948" s="0" t="n">
        <v>12</v>
      </c>
      <c r="O2948" s="60" t="n">
        <v>49.5</v>
      </c>
    </row>
    <row r="2949" customFormat="false" ht="15" hidden="false" customHeight="false" outlineLevel="0" collapsed="false">
      <c r="A2949" s="0" t="n">
        <v>3</v>
      </c>
      <c r="B2949" s="59" t="n">
        <v>46239</v>
      </c>
      <c r="C2949" s="0" t="n">
        <v>11</v>
      </c>
      <c r="D2949" s="0" t="s">
        <v>2126</v>
      </c>
      <c r="E2949" s="0" t="n">
        <v>846</v>
      </c>
      <c r="F2949" s="0" t="s">
        <v>264</v>
      </c>
      <c r="I2949" s="0" t="n">
        <v>846</v>
      </c>
      <c r="J2949" s="0" t="n">
        <v>61859</v>
      </c>
      <c r="K2949" s="0" t="n">
        <v>7898932211457</v>
      </c>
      <c r="L2949" s="0" t="s">
        <v>3469</v>
      </c>
      <c r="N2949" s="0" t="n">
        <v>12</v>
      </c>
      <c r="O2949" s="60" t="n">
        <v>73</v>
      </c>
    </row>
    <row r="2950" customFormat="false" ht="15" hidden="false" customHeight="false" outlineLevel="0" collapsed="false">
      <c r="A2950" s="0" t="n">
        <v>3</v>
      </c>
      <c r="B2950" s="59" t="n">
        <v>46239</v>
      </c>
      <c r="C2950" s="0" t="n">
        <v>11</v>
      </c>
      <c r="D2950" s="0" t="s">
        <v>2126</v>
      </c>
      <c r="E2950" s="0" t="n">
        <v>846</v>
      </c>
      <c r="F2950" s="0" t="s">
        <v>264</v>
      </c>
      <c r="I2950" s="0" t="n">
        <v>846</v>
      </c>
      <c r="J2950" s="0" t="n">
        <v>62673</v>
      </c>
      <c r="K2950" s="0" t="n">
        <v>7898952461610</v>
      </c>
      <c r="L2950" s="0" t="s">
        <v>3470</v>
      </c>
      <c r="N2950" s="0" t="n">
        <v>5</v>
      </c>
      <c r="O2950" s="60" t="n">
        <v>40</v>
      </c>
    </row>
    <row r="2951" customFormat="false" ht="15" hidden="false" customHeight="false" outlineLevel="0" collapsed="false">
      <c r="A2951" s="0" t="n">
        <v>3</v>
      </c>
      <c r="B2951" s="59" t="n">
        <v>46239</v>
      </c>
      <c r="C2951" s="0" t="n">
        <v>11</v>
      </c>
      <c r="D2951" s="0" t="s">
        <v>2126</v>
      </c>
      <c r="E2951" s="0" t="n">
        <v>846</v>
      </c>
      <c r="F2951" s="0" t="s">
        <v>264</v>
      </c>
      <c r="I2951" s="0" t="n">
        <v>846</v>
      </c>
      <c r="J2951" s="0" t="n">
        <v>63362</v>
      </c>
      <c r="K2951" s="0" t="n">
        <v>609963022151</v>
      </c>
      <c r="L2951" s="0" t="s">
        <v>3471</v>
      </c>
      <c r="N2951" s="0" t="n">
        <v>10</v>
      </c>
      <c r="O2951" s="60" t="n">
        <v>40</v>
      </c>
    </row>
    <row r="2952" customFormat="false" ht="15" hidden="false" customHeight="false" outlineLevel="0" collapsed="false">
      <c r="A2952" s="0" t="n">
        <v>3</v>
      </c>
      <c r="B2952" s="59" t="n">
        <v>46239</v>
      </c>
      <c r="C2952" s="0" t="n">
        <v>11</v>
      </c>
      <c r="D2952" s="0" t="s">
        <v>2126</v>
      </c>
      <c r="E2952" s="0" t="n">
        <v>846</v>
      </c>
      <c r="F2952" s="0" t="s">
        <v>264</v>
      </c>
      <c r="I2952" s="0" t="n">
        <v>846</v>
      </c>
      <c r="J2952" s="0" t="n">
        <v>63363</v>
      </c>
      <c r="K2952" s="0" t="n">
        <v>618341872325</v>
      </c>
      <c r="L2952" s="0" t="s">
        <v>3472</v>
      </c>
      <c r="N2952" s="0" t="n">
        <v>5</v>
      </c>
      <c r="O2952" s="60" t="n">
        <v>18.75</v>
      </c>
    </row>
    <row r="2953" customFormat="false" ht="15" hidden="false" customHeight="false" outlineLevel="0" collapsed="false">
      <c r="A2953" s="0" t="n">
        <v>3</v>
      </c>
      <c r="B2953" s="59" t="n">
        <v>46239</v>
      </c>
      <c r="C2953" s="0" t="n">
        <v>11</v>
      </c>
      <c r="D2953" s="0" t="s">
        <v>2126</v>
      </c>
      <c r="E2953" s="0" t="n">
        <v>846</v>
      </c>
      <c r="F2953" s="0" t="s">
        <v>264</v>
      </c>
      <c r="I2953" s="0" t="n">
        <v>846</v>
      </c>
      <c r="J2953" s="0" t="n">
        <v>65122</v>
      </c>
      <c r="K2953" s="0" t="n">
        <v>7898093785750</v>
      </c>
      <c r="L2953" s="0" t="s">
        <v>3473</v>
      </c>
      <c r="N2953" s="0" t="n">
        <v>24</v>
      </c>
      <c r="O2953" s="60" t="n">
        <v>80.6</v>
      </c>
    </row>
    <row r="2954" customFormat="false" ht="15" hidden="false" customHeight="false" outlineLevel="0" collapsed="false">
      <c r="A2954" s="0" t="n">
        <v>3</v>
      </c>
      <c r="B2954" s="59" t="n">
        <v>46239</v>
      </c>
      <c r="C2954" s="0" t="n">
        <v>11</v>
      </c>
      <c r="D2954" s="0" t="s">
        <v>2126</v>
      </c>
      <c r="E2954" s="0" t="n">
        <v>846</v>
      </c>
      <c r="F2954" s="0" t="s">
        <v>264</v>
      </c>
      <c r="I2954" s="0" t="n">
        <v>846</v>
      </c>
      <c r="J2954" s="0" t="n">
        <v>68499</v>
      </c>
      <c r="K2954" s="0" t="n">
        <v>7898952461481</v>
      </c>
      <c r="L2954" s="0" t="s">
        <v>3474</v>
      </c>
      <c r="N2954" s="0" t="n">
        <v>4</v>
      </c>
      <c r="O2954" s="60" t="n">
        <v>40</v>
      </c>
    </row>
    <row r="2955" customFormat="false" ht="15" hidden="false" customHeight="false" outlineLevel="0" collapsed="false">
      <c r="A2955" s="0" t="n">
        <v>3</v>
      </c>
      <c r="B2955" s="59" t="n">
        <v>46239</v>
      </c>
      <c r="C2955" s="0" t="n">
        <v>11</v>
      </c>
      <c r="D2955" s="0" t="s">
        <v>2126</v>
      </c>
      <c r="E2955" s="0" t="n">
        <v>846</v>
      </c>
      <c r="F2955" s="0" t="s">
        <v>264</v>
      </c>
      <c r="I2955" s="0" t="n">
        <v>846</v>
      </c>
      <c r="J2955" s="0" t="n">
        <v>69387</v>
      </c>
      <c r="K2955" s="0" t="n">
        <v>609963022182</v>
      </c>
      <c r="L2955" s="0" t="s">
        <v>3475</v>
      </c>
      <c r="N2955" s="0" t="n">
        <v>20</v>
      </c>
      <c r="O2955" s="60" t="n">
        <v>27</v>
      </c>
    </row>
    <row r="2956" customFormat="false" ht="15" hidden="false" customHeight="false" outlineLevel="0" collapsed="false">
      <c r="A2956" s="0" t="n">
        <v>3</v>
      </c>
      <c r="B2956" s="59" t="n">
        <v>46239</v>
      </c>
      <c r="C2956" s="0" t="n">
        <v>11</v>
      </c>
      <c r="D2956" s="0" t="s">
        <v>2126</v>
      </c>
      <c r="E2956" s="0" t="n">
        <v>846</v>
      </c>
      <c r="F2956" s="0" t="s">
        <v>264</v>
      </c>
      <c r="I2956" s="0" t="n">
        <v>846</v>
      </c>
      <c r="J2956" s="0" t="n">
        <v>69953</v>
      </c>
      <c r="K2956" s="0" t="n">
        <v>7898963682172</v>
      </c>
      <c r="L2956" s="0" t="s">
        <v>3476</v>
      </c>
      <c r="N2956" s="0" t="n">
        <v>24</v>
      </c>
      <c r="O2956" s="60" t="n">
        <v>96</v>
      </c>
    </row>
    <row r="2957" customFormat="false" ht="15" hidden="false" customHeight="false" outlineLevel="0" collapsed="false">
      <c r="A2957" s="0" t="n">
        <v>3</v>
      </c>
      <c r="B2957" s="59" t="n">
        <v>46239</v>
      </c>
      <c r="C2957" s="0" t="n">
        <v>11</v>
      </c>
      <c r="D2957" s="0" t="s">
        <v>2126</v>
      </c>
      <c r="E2957" s="0" t="n">
        <v>846</v>
      </c>
      <c r="F2957" s="0" t="s">
        <v>264</v>
      </c>
      <c r="I2957" s="0" t="n">
        <v>846</v>
      </c>
      <c r="J2957" s="0" t="n">
        <v>70370</v>
      </c>
      <c r="K2957" s="0" t="n">
        <v>820219</v>
      </c>
      <c r="L2957" s="0" t="s">
        <v>3477</v>
      </c>
      <c r="N2957" s="0" t="n">
        <v>12</v>
      </c>
      <c r="O2957" s="60" t="n">
        <v>30</v>
      </c>
    </row>
    <row r="2958" customFormat="false" ht="15" hidden="false" customHeight="false" outlineLevel="0" collapsed="false">
      <c r="A2958" s="0" t="n">
        <v>3</v>
      </c>
      <c r="B2958" s="59" t="n">
        <v>46239</v>
      </c>
      <c r="C2958" s="0" t="n">
        <v>11</v>
      </c>
      <c r="D2958" s="0" t="s">
        <v>2126</v>
      </c>
      <c r="E2958" s="0" t="n">
        <v>846</v>
      </c>
      <c r="F2958" s="0" t="s">
        <v>264</v>
      </c>
      <c r="I2958" s="0" t="n">
        <v>846</v>
      </c>
      <c r="J2958" s="0" t="n">
        <v>80718</v>
      </c>
      <c r="K2958" s="0" t="n">
        <v>7896201526332</v>
      </c>
      <c r="L2958" s="0" t="s">
        <v>3478</v>
      </c>
      <c r="N2958" s="0" t="n">
        <v>72</v>
      </c>
      <c r="O2958" s="60" t="n">
        <v>84</v>
      </c>
    </row>
    <row r="2959" customFormat="false" ht="15" hidden="false" customHeight="false" outlineLevel="0" collapsed="false">
      <c r="A2959" s="0" t="n">
        <v>3</v>
      </c>
      <c r="B2959" s="59" t="n">
        <v>46239</v>
      </c>
      <c r="C2959" s="0" t="n">
        <v>11</v>
      </c>
      <c r="D2959" s="0" t="s">
        <v>2126</v>
      </c>
      <c r="E2959" s="0" t="n">
        <v>846</v>
      </c>
      <c r="F2959" s="0" t="s">
        <v>264</v>
      </c>
      <c r="I2959" s="0" t="n">
        <v>846</v>
      </c>
      <c r="J2959" s="0" t="n">
        <v>81988</v>
      </c>
      <c r="K2959" s="0" t="n">
        <v>7892587151007</v>
      </c>
      <c r="L2959" s="0" t="s">
        <v>3479</v>
      </c>
      <c r="N2959" s="0" t="n">
        <v>20</v>
      </c>
      <c r="O2959" s="60" t="n">
        <v>50</v>
      </c>
    </row>
    <row r="2960" customFormat="false" ht="15" hidden="false" customHeight="false" outlineLevel="0" collapsed="false">
      <c r="A2960" s="0" t="n">
        <v>3</v>
      </c>
      <c r="B2960" s="59" t="n">
        <v>46239</v>
      </c>
      <c r="C2960" s="0" t="n">
        <v>11</v>
      </c>
      <c r="D2960" s="0" t="s">
        <v>2126</v>
      </c>
      <c r="E2960" s="0" t="n">
        <v>846</v>
      </c>
      <c r="F2960" s="0" t="s">
        <v>264</v>
      </c>
      <c r="I2960" s="0" t="n">
        <v>846</v>
      </c>
      <c r="J2960" s="0" t="n">
        <v>81990</v>
      </c>
      <c r="K2960" s="0" t="n">
        <v>819916</v>
      </c>
      <c r="L2960" s="0" t="s">
        <v>3480</v>
      </c>
      <c r="N2960" s="0" t="n">
        <v>10</v>
      </c>
      <c r="O2960" s="60" t="n">
        <v>33</v>
      </c>
    </row>
    <row r="2961" customFormat="false" ht="15" hidden="false" customHeight="false" outlineLevel="0" collapsed="false">
      <c r="A2961" s="0" t="n">
        <v>3</v>
      </c>
      <c r="B2961" s="59" t="n">
        <v>46239</v>
      </c>
      <c r="C2961" s="0" t="n">
        <v>11</v>
      </c>
      <c r="D2961" s="0" t="s">
        <v>2126</v>
      </c>
      <c r="E2961" s="0" t="n">
        <v>10102</v>
      </c>
      <c r="F2961" s="0" t="s">
        <v>1508</v>
      </c>
      <c r="I2961" s="0" t="n">
        <v>1481</v>
      </c>
      <c r="J2961" s="0" t="n">
        <v>100012</v>
      </c>
      <c r="K2961" s="0" t="n">
        <v>13</v>
      </c>
      <c r="L2961" s="0" t="s">
        <v>2232</v>
      </c>
      <c r="N2961" s="0" t="n">
        <v>19.49</v>
      </c>
      <c r="O2961" s="60" t="n">
        <v>717.23</v>
      </c>
    </row>
    <row r="2962" customFormat="false" ht="15" hidden="false" customHeight="false" outlineLevel="0" collapsed="false">
      <c r="A2962" s="0" t="n">
        <v>3</v>
      </c>
      <c r="B2962" s="59" t="n">
        <v>46239</v>
      </c>
      <c r="C2962" s="0" t="n">
        <v>11</v>
      </c>
      <c r="D2962" s="0" t="s">
        <v>2126</v>
      </c>
      <c r="E2962" s="0" t="n">
        <v>10102</v>
      </c>
      <c r="F2962" s="0" t="s">
        <v>1508</v>
      </c>
      <c r="I2962" s="0" t="n">
        <v>1481</v>
      </c>
      <c r="J2962" s="0" t="n">
        <v>100013</v>
      </c>
      <c r="K2962" s="0" t="n">
        <v>14</v>
      </c>
      <c r="L2962" s="0" t="s">
        <v>2233</v>
      </c>
      <c r="N2962" s="0" t="n">
        <v>21.2</v>
      </c>
      <c r="O2962" s="60" t="n">
        <v>780.16</v>
      </c>
    </row>
    <row r="2963" customFormat="false" ht="15" hidden="false" customHeight="false" outlineLevel="0" collapsed="false">
      <c r="A2963" s="0" t="n">
        <v>3</v>
      </c>
      <c r="B2963" s="59" t="n">
        <v>46239</v>
      </c>
      <c r="C2963" s="0" t="n">
        <v>11</v>
      </c>
      <c r="D2963" s="0" t="s">
        <v>2126</v>
      </c>
      <c r="E2963" s="0" t="n">
        <v>10102</v>
      </c>
      <c r="F2963" s="0" t="s">
        <v>1508</v>
      </c>
      <c r="I2963" s="0" t="n">
        <v>1481</v>
      </c>
      <c r="J2963" s="0" t="n">
        <v>100024</v>
      </c>
      <c r="K2963" s="0" t="n">
        <v>25</v>
      </c>
      <c r="L2963" s="0" t="s">
        <v>2998</v>
      </c>
      <c r="N2963" s="0" t="n">
        <v>52.195</v>
      </c>
      <c r="O2963" s="60" t="n">
        <v>626.34</v>
      </c>
    </row>
    <row r="2964" customFormat="false" ht="15" hidden="false" customHeight="false" outlineLevel="0" collapsed="false">
      <c r="A2964" s="0" t="n">
        <v>3</v>
      </c>
      <c r="B2964" s="59" t="n">
        <v>46239</v>
      </c>
      <c r="C2964" s="0" t="n">
        <v>11</v>
      </c>
      <c r="D2964" s="0" t="s">
        <v>2126</v>
      </c>
      <c r="E2964" s="0" t="n">
        <v>10102</v>
      </c>
      <c r="F2964" s="0" t="s">
        <v>1508</v>
      </c>
      <c r="I2964" s="0" t="n">
        <v>1481</v>
      </c>
      <c r="J2964" s="0" t="n">
        <v>100035</v>
      </c>
      <c r="K2964" s="0" t="n">
        <v>36</v>
      </c>
      <c r="L2964" s="0" t="s">
        <v>2784</v>
      </c>
      <c r="N2964" s="0" t="n">
        <v>180.23</v>
      </c>
      <c r="O2964" s="60" t="n">
        <v>1173.3</v>
      </c>
    </row>
    <row r="2965" customFormat="false" ht="15" hidden="false" customHeight="false" outlineLevel="0" collapsed="false">
      <c r="A2965" s="0" t="n">
        <v>3</v>
      </c>
      <c r="B2965" s="59" t="n">
        <v>46239</v>
      </c>
      <c r="C2965" s="0" t="n">
        <v>11</v>
      </c>
      <c r="D2965" s="0" t="s">
        <v>2126</v>
      </c>
      <c r="E2965" s="0" t="n">
        <v>10102</v>
      </c>
      <c r="F2965" s="0" t="s">
        <v>1508</v>
      </c>
      <c r="I2965" s="0" t="n">
        <v>1481</v>
      </c>
      <c r="J2965" s="0" t="n">
        <v>100054</v>
      </c>
      <c r="K2965" s="0" t="n">
        <v>55</v>
      </c>
      <c r="L2965" s="0" t="s">
        <v>3481</v>
      </c>
      <c r="N2965" s="0" t="n">
        <v>54</v>
      </c>
      <c r="O2965" s="60" t="n">
        <v>502.2</v>
      </c>
    </row>
    <row r="2966" customFormat="false" ht="15" hidden="false" customHeight="false" outlineLevel="0" collapsed="false">
      <c r="A2966" s="0" t="n">
        <v>3</v>
      </c>
      <c r="B2966" s="59" t="n">
        <v>46239</v>
      </c>
      <c r="C2966" s="0" t="n">
        <v>11</v>
      </c>
      <c r="D2966" s="0" t="s">
        <v>2126</v>
      </c>
      <c r="E2966" s="0" t="n">
        <v>10102</v>
      </c>
      <c r="F2966" s="0" t="s">
        <v>1508</v>
      </c>
      <c r="I2966" s="0" t="n">
        <v>1481</v>
      </c>
      <c r="J2966" s="0" t="n">
        <v>108591</v>
      </c>
      <c r="K2966" s="0" t="n">
        <v>8461</v>
      </c>
      <c r="L2966" s="0" t="s">
        <v>2171</v>
      </c>
      <c r="N2966" s="0" t="n">
        <v>108</v>
      </c>
      <c r="O2966" s="60" t="n">
        <v>1269</v>
      </c>
    </row>
    <row r="2967" customFormat="false" ht="15" hidden="false" customHeight="false" outlineLevel="0" collapsed="false">
      <c r="A2967" s="0" t="n">
        <v>3</v>
      </c>
      <c r="B2967" s="59" t="n">
        <v>46239</v>
      </c>
      <c r="C2967" s="0" t="n">
        <v>11</v>
      </c>
      <c r="D2967" s="0" t="s">
        <v>2126</v>
      </c>
      <c r="E2967" s="0" t="n">
        <v>1457</v>
      </c>
      <c r="F2967" s="0" t="s">
        <v>180</v>
      </c>
      <c r="I2967" s="0" t="n">
        <v>13932</v>
      </c>
      <c r="J2967" s="0" t="n">
        <v>59521</v>
      </c>
      <c r="K2967" s="0" t="n">
        <v>7896862002664</v>
      </c>
      <c r="L2967" s="0" t="s">
        <v>2127</v>
      </c>
      <c r="N2967" s="0" t="n">
        <v>12</v>
      </c>
      <c r="O2967" s="60" t="n">
        <v>65.88</v>
      </c>
    </row>
    <row r="2968" customFormat="false" ht="15" hidden="false" customHeight="false" outlineLevel="0" collapsed="false">
      <c r="A2968" s="0" t="n">
        <v>3</v>
      </c>
      <c r="B2968" s="59" t="n">
        <v>46239</v>
      </c>
      <c r="C2968" s="0" t="n">
        <v>11</v>
      </c>
      <c r="D2968" s="0" t="s">
        <v>2126</v>
      </c>
      <c r="E2968" s="0" t="n">
        <v>1457</v>
      </c>
      <c r="F2968" s="0" t="s">
        <v>180</v>
      </c>
      <c r="I2968" s="0" t="n">
        <v>13932</v>
      </c>
      <c r="J2968" s="0" t="n">
        <v>59541</v>
      </c>
      <c r="K2968" s="0" t="n">
        <v>7896862000752</v>
      </c>
      <c r="L2968" s="0" t="s">
        <v>2130</v>
      </c>
      <c r="N2968" s="0" t="n">
        <v>6</v>
      </c>
      <c r="O2968" s="60" t="n">
        <v>65.28</v>
      </c>
    </row>
    <row r="2969" customFormat="false" ht="15" hidden="false" customHeight="false" outlineLevel="0" collapsed="false">
      <c r="A2969" s="0" t="n">
        <v>3</v>
      </c>
      <c r="B2969" s="59" t="n">
        <v>46239</v>
      </c>
      <c r="C2969" s="0" t="n">
        <v>11</v>
      </c>
      <c r="D2969" s="0" t="s">
        <v>2126</v>
      </c>
      <c r="E2969" s="0" t="n">
        <v>1457</v>
      </c>
      <c r="F2969" s="0" t="s">
        <v>180</v>
      </c>
      <c r="I2969" s="0" t="n">
        <v>13932</v>
      </c>
      <c r="J2969" s="0" t="n">
        <v>59542</v>
      </c>
      <c r="K2969" s="0" t="n">
        <v>7896862000776</v>
      </c>
      <c r="L2969" s="0" t="s">
        <v>2476</v>
      </c>
      <c r="N2969" s="0" t="n">
        <v>6</v>
      </c>
      <c r="O2969" s="60" t="n">
        <v>65.28</v>
      </c>
    </row>
    <row r="2970" customFormat="false" ht="15" hidden="false" customHeight="false" outlineLevel="0" collapsed="false">
      <c r="A2970" s="0" t="n">
        <v>3</v>
      </c>
      <c r="B2970" s="59" t="n">
        <v>46239</v>
      </c>
      <c r="C2970" s="0" t="n">
        <v>11</v>
      </c>
      <c r="D2970" s="0" t="s">
        <v>2126</v>
      </c>
      <c r="E2970" s="0" t="n">
        <v>1457</v>
      </c>
      <c r="F2970" s="0" t="s">
        <v>180</v>
      </c>
      <c r="I2970" s="0" t="n">
        <v>13932</v>
      </c>
      <c r="J2970" s="0" t="n">
        <v>59720</v>
      </c>
      <c r="K2970" s="0" t="n">
        <v>7896862002329</v>
      </c>
      <c r="L2970" s="0" t="s">
        <v>2131</v>
      </c>
      <c r="N2970" s="0" t="n">
        <v>2</v>
      </c>
      <c r="O2970" s="60" t="n">
        <v>8.78</v>
      </c>
    </row>
    <row r="2971" customFormat="false" ht="15" hidden="false" customHeight="false" outlineLevel="0" collapsed="false">
      <c r="A2971" s="0" t="n">
        <v>3</v>
      </c>
      <c r="B2971" s="59" t="n">
        <v>46239</v>
      </c>
      <c r="C2971" s="0" t="n">
        <v>11</v>
      </c>
      <c r="D2971" s="0" t="s">
        <v>2126</v>
      </c>
      <c r="E2971" s="0" t="n">
        <v>1457</v>
      </c>
      <c r="F2971" s="0" t="s">
        <v>180</v>
      </c>
      <c r="I2971" s="0" t="n">
        <v>13932</v>
      </c>
      <c r="J2971" s="0" t="n">
        <v>59722</v>
      </c>
      <c r="K2971" s="0" t="n">
        <v>7896862001889</v>
      </c>
      <c r="L2971" s="0" t="s">
        <v>2132</v>
      </c>
      <c r="N2971" s="0" t="n">
        <v>2</v>
      </c>
      <c r="O2971" s="60" t="n">
        <v>8.78</v>
      </c>
    </row>
    <row r="2972" customFormat="false" ht="15" hidden="false" customHeight="false" outlineLevel="0" collapsed="false">
      <c r="A2972" s="0" t="n">
        <v>3</v>
      </c>
      <c r="B2972" s="59" t="n">
        <v>46239</v>
      </c>
      <c r="C2972" s="0" t="n">
        <v>11</v>
      </c>
      <c r="D2972" s="0" t="s">
        <v>2126</v>
      </c>
      <c r="E2972" s="0" t="n">
        <v>1457</v>
      </c>
      <c r="F2972" s="0" t="s">
        <v>180</v>
      </c>
      <c r="I2972" s="0" t="n">
        <v>13932</v>
      </c>
      <c r="J2972" s="0" t="n">
        <v>59724</v>
      </c>
      <c r="K2972" s="0" t="n">
        <v>7896862001865</v>
      </c>
      <c r="L2972" s="0" t="s">
        <v>2133</v>
      </c>
      <c r="N2972" s="0" t="n">
        <v>2</v>
      </c>
      <c r="O2972" s="60" t="n">
        <v>8.78</v>
      </c>
    </row>
    <row r="2973" customFormat="false" ht="15" hidden="false" customHeight="false" outlineLevel="0" collapsed="false">
      <c r="A2973" s="0" t="n">
        <v>3</v>
      </c>
      <c r="B2973" s="59" t="n">
        <v>46239</v>
      </c>
      <c r="C2973" s="0" t="n">
        <v>11</v>
      </c>
      <c r="D2973" s="0" t="s">
        <v>2126</v>
      </c>
      <c r="E2973" s="0" t="n">
        <v>1457</v>
      </c>
      <c r="F2973" s="0" t="s">
        <v>180</v>
      </c>
      <c r="I2973" s="0" t="n">
        <v>13932</v>
      </c>
      <c r="J2973" s="0" t="n">
        <v>59725</v>
      </c>
      <c r="K2973" s="0" t="n">
        <v>7896862000875</v>
      </c>
      <c r="L2973" s="0" t="s">
        <v>3482</v>
      </c>
      <c r="N2973" s="0" t="n">
        <v>2</v>
      </c>
      <c r="O2973" s="60" t="n">
        <v>26.38</v>
      </c>
    </row>
    <row r="2974" customFormat="false" ht="15" hidden="false" customHeight="false" outlineLevel="0" collapsed="false">
      <c r="A2974" s="0" t="n">
        <v>3</v>
      </c>
      <c r="B2974" s="59" t="n">
        <v>46239</v>
      </c>
      <c r="C2974" s="0" t="n">
        <v>11</v>
      </c>
      <c r="D2974" s="0" t="s">
        <v>2126</v>
      </c>
      <c r="E2974" s="0" t="n">
        <v>1457</v>
      </c>
      <c r="F2974" s="0" t="s">
        <v>180</v>
      </c>
      <c r="I2974" s="0" t="n">
        <v>13932</v>
      </c>
      <c r="J2974" s="0" t="n">
        <v>59736</v>
      </c>
      <c r="K2974" s="0" t="n">
        <v>7896862002657</v>
      </c>
      <c r="L2974" s="0" t="s">
        <v>2135</v>
      </c>
      <c r="N2974" s="0" t="n">
        <v>12</v>
      </c>
      <c r="O2974" s="60" t="n">
        <v>65.88</v>
      </c>
    </row>
    <row r="2975" customFormat="false" ht="15" hidden="false" customHeight="false" outlineLevel="0" collapsed="false">
      <c r="A2975" s="0" t="n">
        <v>3</v>
      </c>
      <c r="B2975" s="59" t="n">
        <v>46239</v>
      </c>
      <c r="C2975" s="0" t="n">
        <v>11</v>
      </c>
      <c r="D2975" s="0" t="s">
        <v>2126</v>
      </c>
      <c r="E2975" s="0" t="n">
        <v>1457</v>
      </c>
      <c r="F2975" s="0" t="s">
        <v>180</v>
      </c>
      <c r="I2975" s="0" t="n">
        <v>13932</v>
      </c>
      <c r="J2975" s="0" t="n">
        <v>74279</v>
      </c>
      <c r="K2975" s="0" t="n">
        <v>7896862003074</v>
      </c>
      <c r="L2975" s="0" t="s">
        <v>3483</v>
      </c>
      <c r="N2975" s="0" t="n">
        <v>12</v>
      </c>
      <c r="O2975" s="60" t="n">
        <v>51.36</v>
      </c>
    </row>
    <row r="2976" customFormat="false" ht="15" hidden="false" customHeight="false" outlineLevel="0" collapsed="false">
      <c r="A2976" s="0" t="n">
        <v>3</v>
      </c>
      <c r="B2976" s="59" t="n">
        <v>46239</v>
      </c>
      <c r="C2976" s="0" t="n">
        <v>11</v>
      </c>
      <c r="D2976" s="0" t="s">
        <v>2126</v>
      </c>
      <c r="E2976" s="0" t="n">
        <v>1378</v>
      </c>
      <c r="F2976" s="0" t="s">
        <v>121</v>
      </c>
      <c r="I2976" s="0" t="n">
        <v>18523</v>
      </c>
      <c r="J2976" s="0" t="n">
        <v>74061</v>
      </c>
      <c r="K2976" s="0" t="n">
        <v>42882264255</v>
      </c>
      <c r="L2976" s="0" t="s">
        <v>2297</v>
      </c>
      <c r="N2976" s="0" t="n">
        <v>7</v>
      </c>
      <c r="O2976" s="60" t="n">
        <v>35.7</v>
      </c>
    </row>
    <row r="2977" customFormat="false" ht="15" hidden="false" customHeight="false" outlineLevel="0" collapsed="false">
      <c r="A2977" s="0" t="n">
        <v>3</v>
      </c>
      <c r="B2977" s="59" t="n">
        <v>46239</v>
      </c>
      <c r="C2977" s="0" t="n">
        <v>11</v>
      </c>
      <c r="D2977" s="0" t="s">
        <v>2126</v>
      </c>
      <c r="E2977" s="0" t="n">
        <v>1378</v>
      </c>
      <c r="F2977" s="0" t="s">
        <v>121</v>
      </c>
      <c r="I2977" s="0" t="n">
        <v>18523</v>
      </c>
      <c r="J2977" s="0" t="n">
        <v>74063</v>
      </c>
      <c r="K2977" s="0" t="n">
        <v>42882264262</v>
      </c>
      <c r="L2977" s="0" t="s">
        <v>2298</v>
      </c>
      <c r="N2977" s="0" t="n">
        <v>9</v>
      </c>
      <c r="O2977" s="60" t="n">
        <v>40.5</v>
      </c>
    </row>
    <row r="2978" customFormat="false" ht="15" hidden="false" customHeight="false" outlineLevel="0" collapsed="false">
      <c r="A2978" s="0" t="n">
        <v>3</v>
      </c>
      <c r="B2978" s="59" t="n">
        <v>46239</v>
      </c>
      <c r="C2978" s="0" t="n">
        <v>11</v>
      </c>
      <c r="D2978" s="0" t="s">
        <v>2126</v>
      </c>
      <c r="E2978" s="0" t="n">
        <v>1378</v>
      </c>
      <c r="F2978" s="0" t="s">
        <v>121</v>
      </c>
      <c r="I2978" s="0" t="n">
        <v>18523</v>
      </c>
      <c r="J2978" s="0" t="n">
        <v>74064</v>
      </c>
      <c r="K2978" s="0" t="n">
        <v>42882264279</v>
      </c>
      <c r="L2978" s="0" t="s">
        <v>2299</v>
      </c>
      <c r="N2978" s="0" t="n">
        <v>7</v>
      </c>
      <c r="O2978" s="60" t="n">
        <v>33.6</v>
      </c>
    </row>
    <row r="2979" customFormat="false" ht="15" hidden="false" customHeight="false" outlineLevel="0" collapsed="false">
      <c r="A2979" s="0" t="n">
        <v>3</v>
      </c>
      <c r="B2979" s="59" t="n">
        <v>46239</v>
      </c>
      <c r="C2979" s="0" t="n">
        <v>11</v>
      </c>
      <c r="D2979" s="0" t="s">
        <v>2126</v>
      </c>
      <c r="E2979" s="0" t="n">
        <v>1378</v>
      </c>
      <c r="F2979" s="0" t="s">
        <v>121</v>
      </c>
      <c r="I2979" s="0" t="n">
        <v>18523</v>
      </c>
      <c r="J2979" s="0" t="n">
        <v>74065</v>
      </c>
      <c r="K2979" s="0" t="n">
        <v>602883558090</v>
      </c>
      <c r="L2979" s="0" t="s">
        <v>2300</v>
      </c>
      <c r="N2979" s="0" t="n">
        <v>2</v>
      </c>
      <c r="O2979" s="60" t="n">
        <v>15.6</v>
      </c>
    </row>
    <row r="2980" customFormat="false" ht="15" hidden="false" customHeight="false" outlineLevel="0" collapsed="false">
      <c r="A2980" s="0" t="n">
        <v>3</v>
      </c>
      <c r="B2980" s="59" t="n">
        <v>46239</v>
      </c>
      <c r="C2980" s="0" t="n">
        <v>11</v>
      </c>
      <c r="D2980" s="0" t="s">
        <v>2126</v>
      </c>
      <c r="E2980" s="0" t="n">
        <v>1378</v>
      </c>
      <c r="F2980" s="0" t="s">
        <v>121</v>
      </c>
      <c r="I2980" s="0" t="n">
        <v>18523</v>
      </c>
      <c r="J2980" s="0" t="n">
        <v>77994</v>
      </c>
      <c r="K2980" s="0" t="n">
        <v>780117</v>
      </c>
      <c r="L2980" s="0" t="s">
        <v>2301</v>
      </c>
      <c r="N2980" s="0" t="n">
        <v>27</v>
      </c>
      <c r="O2980" s="60" t="n">
        <v>156.6</v>
      </c>
    </row>
    <row r="2981" customFormat="false" ht="15" hidden="false" customHeight="false" outlineLevel="0" collapsed="false">
      <c r="A2981" s="0" t="n">
        <v>3</v>
      </c>
      <c r="B2981" s="59" t="n">
        <v>46239</v>
      </c>
      <c r="C2981" s="0" t="n">
        <v>11</v>
      </c>
      <c r="D2981" s="0" t="s">
        <v>2126</v>
      </c>
      <c r="E2981" s="0" t="n">
        <v>1723</v>
      </c>
      <c r="F2981" s="0" t="s">
        <v>77</v>
      </c>
      <c r="I2981" s="0" t="n">
        <v>174334</v>
      </c>
      <c r="J2981" s="0" t="n">
        <v>29079</v>
      </c>
      <c r="K2981" s="0" t="n">
        <v>55515</v>
      </c>
      <c r="L2981" s="0" t="s">
        <v>2213</v>
      </c>
      <c r="N2981" s="0" t="n">
        <v>72.55</v>
      </c>
      <c r="O2981" s="60" t="n">
        <v>2321.6</v>
      </c>
    </row>
    <row r="2982" customFormat="false" ht="15" hidden="false" customHeight="false" outlineLevel="0" collapsed="false">
      <c r="A2982" s="0" t="n">
        <v>3</v>
      </c>
      <c r="B2982" s="59" t="n">
        <v>46239</v>
      </c>
      <c r="C2982" s="0" t="n">
        <v>11</v>
      </c>
      <c r="D2982" s="0" t="s">
        <v>2126</v>
      </c>
      <c r="E2982" s="0" t="n">
        <v>1723</v>
      </c>
      <c r="F2982" s="0" t="s">
        <v>77</v>
      </c>
      <c r="I2982" s="0" t="n">
        <v>174334</v>
      </c>
      <c r="J2982" s="0" t="n">
        <v>29080</v>
      </c>
      <c r="K2982" s="0" t="n">
        <v>55516</v>
      </c>
      <c r="L2982" s="0" t="s">
        <v>2137</v>
      </c>
      <c r="N2982" s="0" t="n">
        <v>59.2</v>
      </c>
      <c r="O2982" s="60" t="n">
        <v>1302.4</v>
      </c>
    </row>
    <row r="2983" customFormat="false" ht="15" hidden="false" customHeight="false" outlineLevel="0" collapsed="false">
      <c r="A2983" s="0" t="n">
        <v>3</v>
      </c>
      <c r="B2983" s="59" t="n">
        <v>46239</v>
      </c>
      <c r="C2983" s="0" t="n">
        <v>11</v>
      </c>
      <c r="D2983" s="0" t="s">
        <v>2126</v>
      </c>
      <c r="E2983" s="0" t="n">
        <v>1734</v>
      </c>
      <c r="F2983" s="0" t="s">
        <v>126</v>
      </c>
      <c r="I2983" s="0" t="n">
        <v>257004</v>
      </c>
      <c r="J2983" s="0" t="n">
        <v>38215</v>
      </c>
      <c r="K2983" s="0" t="n">
        <v>7898055450474</v>
      </c>
      <c r="L2983" s="0" t="s">
        <v>2478</v>
      </c>
      <c r="N2983" s="0" t="n">
        <v>20</v>
      </c>
      <c r="O2983" s="60" t="n">
        <v>159.45</v>
      </c>
    </row>
    <row r="2984" customFormat="false" ht="15" hidden="false" customHeight="false" outlineLevel="0" collapsed="false">
      <c r="A2984" s="0" t="n">
        <v>3</v>
      </c>
      <c r="B2984" s="59" t="n">
        <v>46239</v>
      </c>
      <c r="C2984" s="0" t="n">
        <v>11</v>
      </c>
      <c r="D2984" s="0" t="s">
        <v>2126</v>
      </c>
      <c r="E2984" s="0" t="n">
        <v>1734</v>
      </c>
      <c r="F2984" s="0" t="s">
        <v>126</v>
      </c>
      <c r="I2984" s="0" t="n">
        <v>257004</v>
      </c>
      <c r="J2984" s="0" t="n">
        <v>38782</v>
      </c>
      <c r="K2984" s="0" t="n">
        <v>7898055450306</v>
      </c>
      <c r="L2984" s="0" t="s">
        <v>2480</v>
      </c>
      <c r="N2984" s="0" t="n">
        <v>20</v>
      </c>
      <c r="O2984" s="60" t="n">
        <v>56.65</v>
      </c>
    </row>
    <row r="2985" customFormat="false" ht="15" hidden="false" customHeight="false" outlineLevel="0" collapsed="false">
      <c r="A2985" s="0" t="n">
        <v>3</v>
      </c>
      <c r="B2985" s="59" t="n">
        <v>46239</v>
      </c>
      <c r="C2985" s="0" t="n">
        <v>11</v>
      </c>
      <c r="D2985" s="0" t="s">
        <v>2126</v>
      </c>
      <c r="E2985" s="0" t="n">
        <v>1734</v>
      </c>
      <c r="F2985" s="0" t="s">
        <v>126</v>
      </c>
      <c r="I2985" s="0" t="n">
        <v>257004</v>
      </c>
      <c r="J2985" s="0" t="n">
        <v>38784</v>
      </c>
      <c r="K2985" s="0" t="n">
        <v>7898055450320</v>
      </c>
      <c r="L2985" s="0" t="s">
        <v>2981</v>
      </c>
      <c r="N2985" s="0" t="n">
        <v>20</v>
      </c>
      <c r="O2985" s="60" t="n">
        <v>56.65</v>
      </c>
    </row>
    <row r="2986" customFormat="false" ht="15" hidden="false" customHeight="false" outlineLevel="0" collapsed="false">
      <c r="A2986" s="0" t="n">
        <v>3</v>
      </c>
      <c r="B2986" s="59" t="n">
        <v>46239</v>
      </c>
      <c r="C2986" s="0" t="n">
        <v>11</v>
      </c>
      <c r="D2986" s="0" t="s">
        <v>2126</v>
      </c>
      <c r="E2986" s="0" t="n">
        <v>1734</v>
      </c>
      <c r="F2986" s="0" t="s">
        <v>126</v>
      </c>
      <c r="I2986" s="0" t="n">
        <v>257004</v>
      </c>
      <c r="J2986" s="0" t="n">
        <v>38785</v>
      </c>
      <c r="K2986" s="0" t="n">
        <v>7898055450344</v>
      </c>
      <c r="L2986" s="0" t="s">
        <v>2481</v>
      </c>
      <c r="N2986" s="0" t="n">
        <v>20</v>
      </c>
      <c r="O2986" s="60" t="n">
        <v>56.65</v>
      </c>
    </row>
    <row r="2987" customFormat="false" ht="15" hidden="false" customHeight="false" outlineLevel="0" collapsed="false">
      <c r="A2987" s="0" t="n">
        <v>3</v>
      </c>
      <c r="B2987" s="59" t="n">
        <v>46239</v>
      </c>
      <c r="C2987" s="0" t="n">
        <v>11</v>
      </c>
      <c r="D2987" s="0" t="s">
        <v>2126</v>
      </c>
      <c r="E2987" s="0" t="n">
        <v>1734</v>
      </c>
      <c r="F2987" s="0" t="s">
        <v>126</v>
      </c>
      <c r="I2987" s="0" t="n">
        <v>257004</v>
      </c>
      <c r="J2987" s="0" t="n">
        <v>38791</v>
      </c>
      <c r="K2987" s="0" t="n">
        <v>7898055450931</v>
      </c>
      <c r="L2987" s="0" t="s">
        <v>2138</v>
      </c>
      <c r="N2987" s="0" t="n">
        <v>30</v>
      </c>
      <c r="O2987" s="60" t="n">
        <v>78.68</v>
      </c>
    </row>
    <row r="2988" customFormat="false" ht="15" hidden="false" customHeight="false" outlineLevel="0" collapsed="false">
      <c r="A2988" s="0" t="n">
        <v>3</v>
      </c>
      <c r="B2988" s="59" t="n">
        <v>46239</v>
      </c>
      <c r="C2988" s="0" t="n">
        <v>11</v>
      </c>
      <c r="D2988" s="0" t="s">
        <v>2126</v>
      </c>
      <c r="E2988" s="0" t="n">
        <v>1734</v>
      </c>
      <c r="F2988" s="0" t="s">
        <v>126</v>
      </c>
      <c r="I2988" s="0" t="n">
        <v>257004</v>
      </c>
      <c r="J2988" s="0" t="n">
        <v>38792</v>
      </c>
      <c r="K2988" s="0" t="n">
        <v>7898055450894</v>
      </c>
      <c r="L2988" s="0" t="s">
        <v>2139</v>
      </c>
      <c r="N2988" s="0" t="n">
        <v>30</v>
      </c>
      <c r="O2988" s="60" t="n">
        <v>78.68</v>
      </c>
    </row>
    <row r="2989" customFormat="false" ht="15" hidden="false" customHeight="false" outlineLevel="0" collapsed="false">
      <c r="A2989" s="0" t="n">
        <v>3</v>
      </c>
      <c r="B2989" s="59" t="n">
        <v>46239</v>
      </c>
      <c r="C2989" s="0" t="n">
        <v>11</v>
      </c>
      <c r="D2989" s="0" t="s">
        <v>2126</v>
      </c>
      <c r="E2989" s="0" t="n">
        <v>1734</v>
      </c>
      <c r="F2989" s="0" t="s">
        <v>126</v>
      </c>
      <c r="I2989" s="0" t="n">
        <v>257004</v>
      </c>
      <c r="J2989" s="0" t="n">
        <v>39028</v>
      </c>
      <c r="K2989" s="0" t="n">
        <v>7898055450368</v>
      </c>
      <c r="L2989" s="0" t="s">
        <v>2482</v>
      </c>
      <c r="N2989" s="0" t="n">
        <v>20</v>
      </c>
      <c r="O2989" s="60" t="n">
        <v>111.19</v>
      </c>
    </row>
    <row r="2990" customFormat="false" ht="15" hidden="false" customHeight="false" outlineLevel="0" collapsed="false">
      <c r="A2990" s="0" t="n">
        <v>3</v>
      </c>
      <c r="B2990" s="59" t="n">
        <v>46239</v>
      </c>
      <c r="C2990" s="0" t="n">
        <v>11</v>
      </c>
      <c r="D2990" s="0" t="s">
        <v>2126</v>
      </c>
      <c r="E2990" s="0" t="n">
        <v>1734</v>
      </c>
      <c r="F2990" s="0" t="s">
        <v>126</v>
      </c>
      <c r="I2990" s="0" t="n">
        <v>257004</v>
      </c>
      <c r="J2990" s="0" t="n">
        <v>40277</v>
      </c>
      <c r="K2990" s="0" t="n">
        <v>7898055450467</v>
      </c>
      <c r="L2990" s="0" t="s">
        <v>2140</v>
      </c>
      <c r="N2990" s="0" t="n">
        <v>12</v>
      </c>
      <c r="O2990" s="60" t="n">
        <v>67.98</v>
      </c>
    </row>
    <row r="2991" customFormat="false" ht="15" hidden="false" customHeight="false" outlineLevel="0" collapsed="false">
      <c r="A2991" s="0" t="n">
        <v>3</v>
      </c>
      <c r="B2991" s="59" t="n">
        <v>46239</v>
      </c>
      <c r="C2991" s="0" t="n">
        <v>11</v>
      </c>
      <c r="D2991" s="0" t="s">
        <v>2126</v>
      </c>
      <c r="E2991" s="0" t="n">
        <v>1734</v>
      </c>
      <c r="F2991" s="0" t="s">
        <v>126</v>
      </c>
      <c r="I2991" s="0" t="n">
        <v>257004</v>
      </c>
      <c r="J2991" s="0" t="n">
        <v>44940</v>
      </c>
      <c r="K2991" s="0" t="n">
        <v>7898055450382</v>
      </c>
      <c r="L2991" s="0" t="s">
        <v>2983</v>
      </c>
      <c r="N2991" s="0" t="n">
        <v>20</v>
      </c>
      <c r="O2991" s="60" t="n">
        <v>56.65</v>
      </c>
    </row>
    <row r="2992" customFormat="false" ht="15" hidden="false" customHeight="false" outlineLevel="0" collapsed="false">
      <c r="A2992" s="0" t="n">
        <v>3</v>
      </c>
      <c r="B2992" s="59" t="n">
        <v>46239</v>
      </c>
      <c r="C2992" s="0" t="n">
        <v>11</v>
      </c>
      <c r="D2992" s="0" t="s">
        <v>2126</v>
      </c>
      <c r="E2992" s="0" t="n">
        <v>1734</v>
      </c>
      <c r="F2992" s="0" t="s">
        <v>126</v>
      </c>
      <c r="I2992" s="0" t="n">
        <v>257004</v>
      </c>
      <c r="J2992" s="0" t="n">
        <v>45875</v>
      </c>
      <c r="K2992" s="0" t="n">
        <v>7898055450214</v>
      </c>
      <c r="L2992" s="0" t="s">
        <v>2483</v>
      </c>
      <c r="N2992" s="0" t="n">
        <v>20</v>
      </c>
      <c r="O2992" s="60" t="n">
        <v>56.65</v>
      </c>
    </row>
    <row r="2993" customFormat="false" ht="15" hidden="false" customHeight="false" outlineLevel="0" collapsed="false">
      <c r="A2993" s="0" t="n">
        <v>3</v>
      </c>
      <c r="B2993" s="59" t="n">
        <v>46239</v>
      </c>
      <c r="C2993" s="0" t="n">
        <v>11</v>
      </c>
      <c r="D2993" s="0" t="s">
        <v>2126</v>
      </c>
      <c r="E2993" s="0" t="n">
        <v>1734</v>
      </c>
      <c r="F2993" s="0" t="s">
        <v>126</v>
      </c>
      <c r="I2993" s="0" t="n">
        <v>257004</v>
      </c>
      <c r="J2993" s="0" t="n">
        <v>72253</v>
      </c>
      <c r="K2993" s="0" t="n">
        <v>7898055455554</v>
      </c>
      <c r="L2993" s="0" t="s">
        <v>3484</v>
      </c>
      <c r="N2993" s="0" t="n">
        <v>20</v>
      </c>
      <c r="O2993" s="60" t="n">
        <v>159.45</v>
      </c>
    </row>
    <row r="2994" customFormat="false" ht="15" hidden="false" customHeight="false" outlineLevel="0" collapsed="false">
      <c r="A2994" s="0" t="n">
        <v>3</v>
      </c>
      <c r="B2994" s="59" t="n">
        <v>46239</v>
      </c>
      <c r="C2994" s="0" t="n">
        <v>11</v>
      </c>
      <c r="D2994" s="0" t="s">
        <v>2126</v>
      </c>
      <c r="E2994" s="0" t="n">
        <v>1734</v>
      </c>
      <c r="F2994" s="0" t="s">
        <v>126</v>
      </c>
      <c r="I2994" s="0" t="n">
        <v>257004</v>
      </c>
      <c r="J2994" s="0" t="n">
        <v>81026</v>
      </c>
      <c r="K2994" s="0" t="n">
        <v>7898055455745</v>
      </c>
      <c r="L2994" s="0" t="s">
        <v>2142</v>
      </c>
      <c r="N2994" s="0" t="n">
        <v>8</v>
      </c>
      <c r="O2994" s="60" t="n">
        <v>54.55</v>
      </c>
    </row>
    <row r="2995" customFormat="false" ht="15" hidden="false" customHeight="false" outlineLevel="0" collapsed="false">
      <c r="A2995" s="0" t="n">
        <v>3</v>
      </c>
      <c r="B2995" s="59" t="n">
        <v>46239</v>
      </c>
      <c r="C2995" s="0" t="n">
        <v>11</v>
      </c>
      <c r="D2995" s="0" t="s">
        <v>2126</v>
      </c>
      <c r="E2995" s="0" t="n">
        <v>1734</v>
      </c>
      <c r="F2995" s="0" t="s">
        <v>126</v>
      </c>
      <c r="I2995" s="0" t="n">
        <v>257005</v>
      </c>
      <c r="J2995" s="0" t="n">
        <v>38212</v>
      </c>
      <c r="K2995" s="0" t="n">
        <v>7898055451624</v>
      </c>
      <c r="L2995" s="0" t="s">
        <v>2146</v>
      </c>
      <c r="N2995" s="0" t="n">
        <v>4</v>
      </c>
      <c r="O2995" s="60" t="n">
        <v>50.35</v>
      </c>
    </row>
    <row r="2996" customFormat="false" ht="15" hidden="false" customHeight="false" outlineLevel="0" collapsed="false">
      <c r="A2996" s="0" t="n">
        <v>3</v>
      </c>
      <c r="B2996" s="59" t="n">
        <v>46239</v>
      </c>
      <c r="C2996" s="0" t="n">
        <v>11</v>
      </c>
      <c r="D2996" s="0" t="s">
        <v>2126</v>
      </c>
      <c r="E2996" s="0" t="n">
        <v>1734</v>
      </c>
      <c r="F2996" s="0" t="s">
        <v>126</v>
      </c>
      <c r="I2996" s="0" t="n">
        <v>257005</v>
      </c>
      <c r="J2996" s="0" t="n">
        <v>38216</v>
      </c>
      <c r="K2996" s="0" t="n">
        <v>7898055454281</v>
      </c>
      <c r="L2996" s="0" t="s">
        <v>2148</v>
      </c>
      <c r="N2996" s="0" t="n">
        <v>4</v>
      </c>
      <c r="O2996" s="60" t="n">
        <v>50.35</v>
      </c>
    </row>
    <row r="2997" customFormat="false" ht="15" hidden="false" customHeight="false" outlineLevel="0" collapsed="false">
      <c r="A2997" s="0" t="n">
        <v>3</v>
      </c>
      <c r="B2997" s="59" t="n">
        <v>46239</v>
      </c>
      <c r="C2997" s="0" t="n">
        <v>11</v>
      </c>
      <c r="D2997" s="0" t="s">
        <v>2126</v>
      </c>
      <c r="E2997" s="0" t="n">
        <v>1734</v>
      </c>
      <c r="F2997" s="0" t="s">
        <v>126</v>
      </c>
      <c r="I2997" s="0" t="n">
        <v>257005</v>
      </c>
      <c r="J2997" s="0" t="n">
        <v>38221</v>
      </c>
      <c r="K2997" s="0" t="n">
        <v>7898055452102</v>
      </c>
      <c r="L2997" s="0" t="s">
        <v>2150</v>
      </c>
      <c r="N2997" s="0" t="n">
        <v>4</v>
      </c>
      <c r="O2997" s="60" t="n">
        <v>50.35</v>
      </c>
    </row>
    <row r="2998" customFormat="false" ht="15" hidden="false" customHeight="false" outlineLevel="0" collapsed="false">
      <c r="A2998" s="0" t="n">
        <v>3</v>
      </c>
      <c r="B2998" s="59" t="n">
        <v>46239</v>
      </c>
      <c r="C2998" s="0" t="n">
        <v>11</v>
      </c>
      <c r="D2998" s="0" t="s">
        <v>2126</v>
      </c>
      <c r="E2998" s="0" t="n">
        <v>1734</v>
      </c>
      <c r="F2998" s="0" t="s">
        <v>126</v>
      </c>
      <c r="I2998" s="0" t="n">
        <v>257005</v>
      </c>
      <c r="J2998" s="0" t="n">
        <v>38789</v>
      </c>
      <c r="K2998" s="0" t="n">
        <v>7898055451754</v>
      </c>
      <c r="L2998" s="0" t="s">
        <v>2536</v>
      </c>
      <c r="N2998" s="0" t="n">
        <v>4</v>
      </c>
      <c r="O2998" s="60" t="n">
        <v>50.35</v>
      </c>
    </row>
    <row r="2999" customFormat="false" ht="15" hidden="false" customHeight="false" outlineLevel="0" collapsed="false">
      <c r="A2999" s="0" t="n">
        <v>3</v>
      </c>
      <c r="B2999" s="59" t="n">
        <v>46239</v>
      </c>
      <c r="C2999" s="0" t="n">
        <v>11</v>
      </c>
      <c r="D2999" s="0" t="s">
        <v>2126</v>
      </c>
      <c r="E2999" s="0" t="n">
        <v>1734</v>
      </c>
      <c r="F2999" s="0" t="s">
        <v>126</v>
      </c>
      <c r="I2999" s="0" t="n">
        <v>257005</v>
      </c>
      <c r="J2999" s="0" t="n">
        <v>38790</v>
      </c>
      <c r="K2999" s="0" t="n">
        <v>7898055453659</v>
      </c>
      <c r="L2999" s="0" t="s">
        <v>3485</v>
      </c>
      <c r="N2999" s="0" t="n">
        <v>4</v>
      </c>
      <c r="O2999" s="60" t="n">
        <v>50.35</v>
      </c>
    </row>
    <row r="3000" customFormat="false" ht="15" hidden="false" customHeight="false" outlineLevel="0" collapsed="false">
      <c r="A3000" s="0" t="n">
        <v>3</v>
      </c>
      <c r="B3000" s="59" t="n">
        <v>46239</v>
      </c>
      <c r="C3000" s="0" t="n">
        <v>11</v>
      </c>
      <c r="D3000" s="0" t="s">
        <v>2126</v>
      </c>
      <c r="E3000" s="0" t="n">
        <v>1734</v>
      </c>
      <c r="F3000" s="0" t="s">
        <v>126</v>
      </c>
      <c r="I3000" s="0" t="n">
        <v>257005</v>
      </c>
      <c r="J3000" s="0" t="n">
        <v>39252</v>
      </c>
      <c r="K3000" s="0" t="n">
        <v>7898055450993</v>
      </c>
      <c r="L3000" s="0" t="s">
        <v>2151</v>
      </c>
      <c r="N3000" s="0" t="n">
        <v>4</v>
      </c>
      <c r="O3000" s="60" t="n">
        <v>50.35</v>
      </c>
    </row>
    <row r="3001" customFormat="false" ht="15" hidden="false" customHeight="false" outlineLevel="0" collapsed="false">
      <c r="A3001" s="0" t="n">
        <v>3</v>
      </c>
      <c r="B3001" s="59" t="n">
        <v>46239</v>
      </c>
      <c r="C3001" s="0" t="n">
        <v>11</v>
      </c>
      <c r="D3001" s="0" t="s">
        <v>2126</v>
      </c>
      <c r="E3001" s="0" t="n">
        <v>1734</v>
      </c>
      <c r="F3001" s="0" t="s">
        <v>126</v>
      </c>
      <c r="I3001" s="0" t="n">
        <v>257005</v>
      </c>
      <c r="J3001" s="0" t="n">
        <v>39440</v>
      </c>
      <c r="K3001" s="0" t="n">
        <v>7898055451662</v>
      </c>
      <c r="L3001" s="0" t="s">
        <v>2152</v>
      </c>
      <c r="N3001" s="0" t="n">
        <v>4</v>
      </c>
      <c r="O3001" s="60" t="n">
        <v>50.35</v>
      </c>
    </row>
    <row r="3002" customFormat="false" ht="15" hidden="false" customHeight="false" outlineLevel="0" collapsed="false">
      <c r="A3002" s="0" t="n">
        <v>3</v>
      </c>
      <c r="B3002" s="59" t="n">
        <v>46239</v>
      </c>
      <c r="C3002" s="0" t="n">
        <v>11</v>
      </c>
      <c r="D3002" s="0" t="s">
        <v>2126</v>
      </c>
      <c r="E3002" s="0" t="n">
        <v>1734</v>
      </c>
      <c r="F3002" s="0" t="s">
        <v>126</v>
      </c>
      <c r="I3002" s="0" t="n">
        <v>257005</v>
      </c>
      <c r="J3002" s="0" t="n">
        <v>41948</v>
      </c>
      <c r="K3002" s="0" t="n">
        <v>7898055451617</v>
      </c>
      <c r="L3002" s="0" t="s">
        <v>3486</v>
      </c>
      <c r="N3002" s="0" t="n">
        <v>4</v>
      </c>
      <c r="O3002" s="60" t="n">
        <v>50.35</v>
      </c>
    </row>
    <row r="3003" customFormat="false" ht="15" hidden="false" customHeight="false" outlineLevel="0" collapsed="false">
      <c r="A3003" s="0" t="n">
        <v>3</v>
      </c>
      <c r="B3003" s="59" t="n">
        <v>46239</v>
      </c>
      <c r="C3003" s="0" t="n">
        <v>11</v>
      </c>
      <c r="D3003" s="0" t="s">
        <v>2126</v>
      </c>
      <c r="E3003" s="0" t="n">
        <v>1734</v>
      </c>
      <c r="F3003" s="0" t="s">
        <v>126</v>
      </c>
      <c r="I3003" s="0" t="n">
        <v>257005</v>
      </c>
      <c r="J3003" s="0" t="n">
        <v>57024</v>
      </c>
      <c r="K3003" s="0" t="n">
        <v>7898055455172</v>
      </c>
      <c r="L3003" s="0" t="s">
        <v>3487</v>
      </c>
      <c r="N3003" s="0" t="n">
        <v>4</v>
      </c>
      <c r="O3003" s="60" t="n">
        <v>79.72</v>
      </c>
    </row>
    <row r="3004" customFormat="false" ht="15" hidden="false" customHeight="false" outlineLevel="0" collapsed="false">
      <c r="A3004" s="0" t="n">
        <v>3</v>
      </c>
      <c r="B3004" s="59" t="n">
        <v>46239</v>
      </c>
      <c r="C3004" s="0" t="n">
        <v>11</v>
      </c>
      <c r="D3004" s="0" t="s">
        <v>2126</v>
      </c>
      <c r="E3004" s="0" t="n">
        <v>1745</v>
      </c>
      <c r="F3004" s="0" t="s">
        <v>594</v>
      </c>
      <c r="I3004" s="0" t="n">
        <v>356005</v>
      </c>
      <c r="J3004" s="0" t="n">
        <v>101859</v>
      </c>
      <c r="K3004" s="0" t="n">
        <v>7896224807098</v>
      </c>
      <c r="L3004" s="0" t="s">
        <v>2739</v>
      </c>
      <c r="N3004" s="0" t="n">
        <v>40</v>
      </c>
      <c r="O3004" s="60" t="n">
        <v>560</v>
      </c>
    </row>
    <row r="3005" customFormat="false" ht="15" hidden="false" customHeight="false" outlineLevel="0" collapsed="false">
      <c r="A3005" s="0" t="n">
        <v>3</v>
      </c>
      <c r="B3005" s="59" t="n">
        <v>46239</v>
      </c>
      <c r="C3005" s="0" t="n">
        <v>11</v>
      </c>
      <c r="D3005" s="0" t="s">
        <v>2126</v>
      </c>
      <c r="E3005" s="0" t="n">
        <v>1745</v>
      </c>
      <c r="F3005" s="0" t="s">
        <v>594</v>
      </c>
      <c r="I3005" s="0" t="n">
        <v>356005</v>
      </c>
      <c r="J3005" s="0" t="n">
        <v>101877</v>
      </c>
      <c r="K3005" s="0" t="n">
        <v>7896224813082</v>
      </c>
      <c r="L3005" s="0" t="s">
        <v>2740</v>
      </c>
      <c r="N3005" s="0" t="n">
        <v>20</v>
      </c>
      <c r="O3005" s="60" t="n">
        <v>284</v>
      </c>
    </row>
    <row r="3006" customFormat="false" ht="15" hidden="false" customHeight="false" outlineLevel="0" collapsed="false">
      <c r="A3006" s="0" t="n">
        <v>3</v>
      </c>
      <c r="B3006" s="59" t="n">
        <v>46239</v>
      </c>
      <c r="C3006" s="0" t="n">
        <v>11</v>
      </c>
      <c r="D3006" s="0" t="s">
        <v>2126</v>
      </c>
      <c r="E3006" s="0" t="n">
        <v>1745</v>
      </c>
      <c r="F3006" s="0" t="s">
        <v>594</v>
      </c>
      <c r="I3006" s="0" t="n">
        <v>356005</v>
      </c>
      <c r="J3006" s="0" t="n">
        <v>102076</v>
      </c>
      <c r="K3006" s="0" t="n">
        <v>7896490288898</v>
      </c>
      <c r="L3006" s="0" t="s">
        <v>3488</v>
      </c>
      <c r="N3006" s="0" t="n">
        <v>20</v>
      </c>
      <c r="O3006" s="60" t="n">
        <v>20.83</v>
      </c>
    </row>
    <row r="3007" customFormat="false" ht="15" hidden="false" customHeight="false" outlineLevel="0" collapsed="false">
      <c r="A3007" s="0" t="n">
        <v>3</v>
      </c>
      <c r="B3007" s="59" t="n">
        <v>46239</v>
      </c>
      <c r="C3007" s="0" t="n">
        <v>11</v>
      </c>
      <c r="D3007" s="0" t="s">
        <v>2126</v>
      </c>
      <c r="E3007" s="0" t="n">
        <v>1745</v>
      </c>
      <c r="F3007" s="0" t="s">
        <v>594</v>
      </c>
      <c r="I3007" s="0" t="n">
        <v>356005</v>
      </c>
      <c r="J3007" s="0" t="n">
        <v>102086</v>
      </c>
      <c r="K3007" s="0" t="n">
        <v>7896490288836</v>
      </c>
      <c r="L3007" s="0" t="s">
        <v>3489</v>
      </c>
      <c r="N3007" s="0" t="n">
        <v>20</v>
      </c>
      <c r="O3007" s="60" t="n">
        <v>26.71</v>
      </c>
    </row>
    <row r="3008" customFormat="false" ht="15" hidden="false" customHeight="false" outlineLevel="0" collapsed="false">
      <c r="A3008" s="0" t="n">
        <v>3</v>
      </c>
      <c r="B3008" s="59" t="n">
        <v>46239</v>
      </c>
      <c r="C3008" s="0" t="n">
        <v>11</v>
      </c>
      <c r="D3008" s="0" t="s">
        <v>2126</v>
      </c>
      <c r="E3008" s="0" t="n">
        <v>1745</v>
      </c>
      <c r="F3008" s="0" t="s">
        <v>594</v>
      </c>
      <c r="I3008" s="0" t="n">
        <v>356005</v>
      </c>
      <c r="J3008" s="0" t="n">
        <v>102221</v>
      </c>
      <c r="K3008" s="0" t="n">
        <v>7896224803106</v>
      </c>
      <c r="L3008" s="0" t="s">
        <v>3490</v>
      </c>
      <c r="N3008" s="0" t="n">
        <v>12</v>
      </c>
      <c r="O3008" s="60" t="n">
        <v>62.21</v>
      </c>
    </row>
    <row r="3009" customFormat="false" ht="15" hidden="false" customHeight="false" outlineLevel="0" collapsed="false">
      <c r="A3009" s="0" t="n">
        <v>3</v>
      </c>
      <c r="B3009" s="59" t="n">
        <v>46239</v>
      </c>
      <c r="C3009" s="0" t="n">
        <v>11</v>
      </c>
      <c r="D3009" s="0" t="s">
        <v>2126</v>
      </c>
      <c r="E3009" s="0" t="n">
        <v>1745</v>
      </c>
      <c r="F3009" s="0" t="s">
        <v>594</v>
      </c>
      <c r="I3009" s="0" t="n">
        <v>356005</v>
      </c>
      <c r="J3009" s="0" t="n">
        <v>103344</v>
      </c>
      <c r="K3009" s="0" t="n">
        <v>7896490288775</v>
      </c>
      <c r="L3009" s="0" t="s">
        <v>2746</v>
      </c>
      <c r="N3009" s="0" t="n">
        <v>30</v>
      </c>
      <c r="O3009" s="60" t="n">
        <v>52.5</v>
      </c>
    </row>
    <row r="3010" customFormat="false" ht="15" hidden="false" customHeight="false" outlineLevel="0" collapsed="false">
      <c r="A3010" s="0" t="n">
        <v>3</v>
      </c>
      <c r="B3010" s="59" t="n">
        <v>46239</v>
      </c>
      <c r="C3010" s="0" t="n">
        <v>11</v>
      </c>
      <c r="D3010" s="0" t="s">
        <v>2126</v>
      </c>
      <c r="E3010" s="0" t="n">
        <v>1745</v>
      </c>
      <c r="F3010" s="0" t="s">
        <v>594</v>
      </c>
      <c r="I3010" s="0" t="n">
        <v>356005</v>
      </c>
      <c r="J3010" s="0" t="n">
        <v>104280</v>
      </c>
      <c r="K3010" s="0" t="n">
        <v>7896224800693</v>
      </c>
      <c r="L3010" s="0" t="s">
        <v>3491</v>
      </c>
      <c r="N3010" s="0" t="n">
        <v>6</v>
      </c>
      <c r="O3010" s="60" t="n">
        <v>115.34</v>
      </c>
    </row>
    <row r="3011" customFormat="false" ht="15" hidden="false" customHeight="false" outlineLevel="0" collapsed="false">
      <c r="A3011" s="0" t="n">
        <v>3</v>
      </c>
      <c r="B3011" s="59" t="n">
        <v>46239</v>
      </c>
      <c r="C3011" s="0" t="n">
        <v>11</v>
      </c>
      <c r="D3011" s="0" t="s">
        <v>2126</v>
      </c>
      <c r="E3011" s="0" t="n">
        <v>1745</v>
      </c>
      <c r="F3011" s="0" t="s">
        <v>594</v>
      </c>
      <c r="I3011" s="0" t="n">
        <v>356005</v>
      </c>
      <c r="J3011" s="0" t="n">
        <v>16098</v>
      </c>
      <c r="K3011" s="0" t="n">
        <v>7896005803714</v>
      </c>
      <c r="L3011" s="0" t="s">
        <v>3492</v>
      </c>
      <c r="N3011" s="0" t="n">
        <v>10</v>
      </c>
      <c r="O3011" s="60" t="n">
        <v>47.9</v>
      </c>
    </row>
    <row r="3012" customFormat="false" ht="15" hidden="false" customHeight="false" outlineLevel="0" collapsed="false">
      <c r="A3012" s="0" t="n">
        <v>3</v>
      </c>
      <c r="B3012" s="59" t="n">
        <v>46239</v>
      </c>
      <c r="C3012" s="0" t="n">
        <v>11</v>
      </c>
      <c r="D3012" s="0" t="s">
        <v>2126</v>
      </c>
      <c r="E3012" s="0" t="n">
        <v>1745</v>
      </c>
      <c r="F3012" s="0" t="s">
        <v>594</v>
      </c>
      <c r="I3012" s="0" t="n">
        <v>356005</v>
      </c>
      <c r="J3012" s="0" t="n">
        <v>17536</v>
      </c>
      <c r="K3012" s="0" t="n">
        <v>7896005800669</v>
      </c>
      <c r="L3012" s="0" t="s">
        <v>3493</v>
      </c>
      <c r="N3012" s="0" t="n">
        <v>6</v>
      </c>
      <c r="O3012" s="60" t="n">
        <v>115.34</v>
      </c>
    </row>
    <row r="3013" customFormat="false" ht="15" hidden="false" customHeight="false" outlineLevel="0" collapsed="false">
      <c r="A3013" s="0" t="n">
        <v>3</v>
      </c>
      <c r="B3013" s="59" t="n">
        <v>46239</v>
      </c>
      <c r="C3013" s="0" t="n">
        <v>11</v>
      </c>
      <c r="D3013" s="0" t="s">
        <v>2126</v>
      </c>
      <c r="E3013" s="0" t="n">
        <v>1745</v>
      </c>
      <c r="F3013" s="0" t="s">
        <v>594</v>
      </c>
      <c r="I3013" s="0" t="n">
        <v>356005</v>
      </c>
      <c r="J3013" s="0" t="n">
        <v>25314</v>
      </c>
      <c r="K3013" s="0" t="n">
        <v>7896045112104</v>
      </c>
      <c r="L3013" s="0" t="s">
        <v>3494</v>
      </c>
      <c r="N3013" s="0" t="n">
        <v>18</v>
      </c>
      <c r="O3013" s="60" t="n">
        <v>13.55</v>
      </c>
    </row>
    <row r="3014" customFormat="false" ht="15" hidden="false" customHeight="false" outlineLevel="0" collapsed="false">
      <c r="A3014" s="0" t="n">
        <v>3</v>
      </c>
      <c r="B3014" s="59" t="n">
        <v>46239</v>
      </c>
      <c r="C3014" s="0" t="n">
        <v>11</v>
      </c>
      <c r="D3014" s="0" t="s">
        <v>2126</v>
      </c>
      <c r="E3014" s="0" t="n">
        <v>1745</v>
      </c>
      <c r="F3014" s="0" t="s">
        <v>594</v>
      </c>
      <c r="I3014" s="0" t="n">
        <v>356005</v>
      </c>
      <c r="J3014" s="0" t="n">
        <v>27751</v>
      </c>
      <c r="K3014" s="0" t="n">
        <v>7896005801512</v>
      </c>
      <c r="L3014" s="0" t="s">
        <v>3495</v>
      </c>
      <c r="N3014" s="0" t="n">
        <v>20</v>
      </c>
      <c r="O3014" s="60" t="n">
        <v>278</v>
      </c>
    </row>
    <row r="3015" customFormat="false" ht="15" hidden="false" customHeight="false" outlineLevel="0" collapsed="false">
      <c r="A3015" s="0" t="n">
        <v>3</v>
      </c>
      <c r="B3015" s="59" t="n">
        <v>46239</v>
      </c>
      <c r="C3015" s="0" t="n">
        <v>11</v>
      </c>
      <c r="D3015" s="0" t="s">
        <v>2126</v>
      </c>
      <c r="E3015" s="0" t="n">
        <v>1745</v>
      </c>
      <c r="F3015" s="0" t="s">
        <v>594</v>
      </c>
      <c r="I3015" s="0" t="n">
        <v>356005</v>
      </c>
      <c r="J3015" s="0" t="n">
        <v>38570</v>
      </c>
      <c r="K3015" s="0" t="n">
        <v>7896005809501</v>
      </c>
      <c r="L3015" s="0" t="s">
        <v>3496</v>
      </c>
      <c r="N3015" s="0" t="n">
        <v>6</v>
      </c>
      <c r="O3015" s="60" t="n">
        <v>35.04</v>
      </c>
    </row>
    <row r="3016" customFormat="false" ht="15" hidden="false" customHeight="false" outlineLevel="0" collapsed="false">
      <c r="A3016" s="0" t="n">
        <v>3</v>
      </c>
      <c r="B3016" s="59" t="n">
        <v>46239</v>
      </c>
      <c r="C3016" s="0" t="n">
        <v>11</v>
      </c>
      <c r="D3016" s="0" t="s">
        <v>2126</v>
      </c>
      <c r="E3016" s="0" t="n">
        <v>1745</v>
      </c>
      <c r="F3016" s="0" t="s">
        <v>594</v>
      </c>
      <c r="I3016" s="0" t="n">
        <v>356005</v>
      </c>
      <c r="J3016" s="0" t="n">
        <v>38571</v>
      </c>
      <c r="K3016" s="0" t="n">
        <v>7896005809518</v>
      </c>
      <c r="L3016" s="0" t="s">
        <v>3497</v>
      </c>
      <c r="N3016" s="0" t="n">
        <v>6</v>
      </c>
      <c r="O3016" s="60" t="n">
        <v>35.04</v>
      </c>
    </row>
    <row r="3017" customFormat="false" ht="15" hidden="false" customHeight="false" outlineLevel="0" collapsed="false">
      <c r="A3017" s="0" t="n">
        <v>3</v>
      </c>
      <c r="B3017" s="59" t="n">
        <v>46239</v>
      </c>
      <c r="C3017" s="0" t="n">
        <v>11</v>
      </c>
      <c r="D3017" s="0" t="s">
        <v>2126</v>
      </c>
      <c r="E3017" s="0" t="n">
        <v>1745</v>
      </c>
      <c r="F3017" s="0" t="s">
        <v>594</v>
      </c>
      <c r="I3017" s="0" t="n">
        <v>356005</v>
      </c>
      <c r="J3017" s="0" t="n">
        <v>60541</v>
      </c>
      <c r="K3017" s="0" t="n">
        <v>7896045112081</v>
      </c>
      <c r="L3017" s="0" t="s">
        <v>3498</v>
      </c>
      <c r="N3017" s="0" t="n">
        <v>18</v>
      </c>
      <c r="O3017" s="60" t="n">
        <v>13.55</v>
      </c>
    </row>
    <row r="3018" customFormat="false" ht="15" hidden="false" customHeight="false" outlineLevel="0" collapsed="false">
      <c r="A3018" s="0" t="n">
        <v>3</v>
      </c>
      <c r="B3018" s="59" t="n">
        <v>46239</v>
      </c>
      <c r="C3018" s="0" t="n">
        <v>11</v>
      </c>
      <c r="D3018" s="0" t="s">
        <v>2126</v>
      </c>
      <c r="E3018" s="0" t="n">
        <v>1745</v>
      </c>
      <c r="F3018" s="0" t="s">
        <v>594</v>
      </c>
      <c r="I3018" s="0" t="n">
        <v>356005</v>
      </c>
      <c r="J3018" s="0" t="n">
        <v>60544</v>
      </c>
      <c r="K3018" s="0" t="n">
        <v>7896045112135</v>
      </c>
      <c r="L3018" s="0" t="s">
        <v>3499</v>
      </c>
      <c r="N3018" s="0" t="n">
        <v>18</v>
      </c>
      <c r="O3018" s="60" t="n">
        <v>13.55</v>
      </c>
    </row>
    <row r="3019" customFormat="false" ht="15" hidden="false" customHeight="false" outlineLevel="0" collapsed="false">
      <c r="A3019" s="0" t="n">
        <v>3</v>
      </c>
      <c r="B3019" s="59" t="n">
        <v>46239</v>
      </c>
      <c r="C3019" s="0" t="n">
        <v>11</v>
      </c>
      <c r="D3019" s="0" t="s">
        <v>2126</v>
      </c>
      <c r="E3019" s="0" t="n">
        <v>1745</v>
      </c>
      <c r="F3019" s="0" t="s">
        <v>594</v>
      </c>
      <c r="I3019" s="0" t="n">
        <v>356005</v>
      </c>
      <c r="J3019" s="0" t="n">
        <v>76461</v>
      </c>
      <c r="K3019" s="0" t="n">
        <v>7896045115365</v>
      </c>
      <c r="L3019" s="0" t="s">
        <v>3500</v>
      </c>
      <c r="N3019" s="0" t="n">
        <v>12</v>
      </c>
      <c r="O3019" s="60" t="n">
        <v>97.75</v>
      </c>
    </row>
    <row r="3020" customFormat="false" ht="15" hidden="false" customHeight="false" outlineLevel="0" collapsed="false">
      <c r="A3020" s="0" t="n">
        <v>3</v>
      </c>
      <c r="B3020" s="59" t="n">
        <v>46239</v>
      </c>
      <c r="C3020" s="0" t="n">
        <v>11</v>
      </c>
      <c r="D3020" s="0" t="s">
        <v>2126</v>
      </c>
      <c r="E3020" s="0" t="n">
        <v>1024</v>
      </c>
      <c r="F3020" s="0" t="s">
        <v>162</v>
      </c>
      <c r="I3020" s="0" t="n">
        <v>615608</v>
      </c>
      <c r="J3020" s="0" t="n">
        <v>60866</v>
      </c>
      <c r="K3020" s="0" t="n">
        <v>7898654710474</v>
      </c>
      <c r="L3020" s="0" t="s">
        <v>2934</v>
      </c>
      <c r="N3020" s="0" t="n">
        <v>90</v>
      </c>
      <c r="O3020" s="60" t="n">
        <v>210</v>
      </c>
    </row>
    <row r="3021" customFormat="false" ht="15" hidden="false" customHeight="false" outlineLevel="0" collapsed="false">
      <c r="A3021" s="0" t="n">
        <v>3</v>
      </c>
      <c r="B3021" s="59" t="n">
        <v>46239</v>
      </c>
      <c r="C3021" s="0" t="n">
        <v>11</v>
      </c>
      <c r="D3021" s="0" t="s">
        <v>2126</v>
      </c>
      <c r="E3021" s="0" t="n">
        <v>1740</v>
      </c>
      <c r="F3021" s="0" t="s">
        <v>171</v>
      </c>
      <c r="I3021" s="0" t="n">
        <v>1255606</v>
      </c>
      <c r="J3021" s="0" t="n">
        <v>100034</v>
      </c>
      <c r="K3021" s="0" t="n">
        <v>35</v>
      </c>
      <c r="L3021" s="0" t="s">
        <v>2999</v>
      </c>
      <c r="N3021" s="0" t="n">
        <v>60</v>
      </c>
      <c r="O3021" s="60" t="n">
        <v>980</v>
      </c>
    </row>
    <row r="3022" customFormat="false" ht="15" hidden="false" customHeight="false" outlineLevel="0" collapsed="false">
      <c r="A3022" s="0" t="n">
        <v>3</v>
      </c>
      <c r="B3022" s="59" t="n">
        <v>46239</v>
      </c>
      <c r="C3022" s="0" t="n">
        <v>11</v>
      </c>
      <c r="D3022" s="0" t="s">
        <v>2126</v>
      </c>
      <c r="E3022" s="0" t="n">
        <v>1740</v>
      </c>
      <c r="F3022" s="0" t="s">
        <v>171</v>
      </c>
      <c r="I3022" s="0" t="n">
        <v>1255606</v>
      </c>
      <c r="J3022" s="0" t="n">
        <v>100036</v>
      </c>
      <c r="K3022" s="0" t="n">
        <v>37</v>
      </c>
      <c r="L3022" s="0" t="s">
        <v>2170</v>
      </c>
      <c r="N3022" s="0" t="n">
        <v>50</v>
      </c>
      <c r="O3022" s="60" t="n">
        <v>999</v>
      </c>
    </row>
    <row r="3023" customFormat="false" ht="15" hidden="false" customHeight="false" outlineLevel="0" collapsed="false">
      <c r="A3023" s="0" t="n">
        <v>3</v>
      </c>
      <c r="B3023" s="59" t="n">
        <v>46239</v>
      </c>
      <c r="C3023" s="0" t="n">
        <v>11</v>
      </c>
      <c r="D3023" s="0" t="s">
        <v>2126</v>
      </c>
      <c r="E3023" s="0" t="n">
        <v>1740</v>
      </c>
      <c r="F3023" s="0" t="s">
        <v>171</v>
      </c>
      <c r="I3023" s="0" t="n">
        <v>1255606</v>
      </c>
      <c r="J3023" s="0" t="n">
        <v>41242</v>
      </c>
      <c r="K3023" s="0" t="n">
        <v>7891164138370</v>
      </c>
      <c r="L3023" s="0" t="s">
        <v>2574</v>
      </c>
      <c r="N3023" s="0" t="n">
        <v>60</v>
      </c>
      <c r="O3023" s="60" t="n">
        <v>93.58</v>
      </c>
    </row>
    <row r="3024" customFormat="false" ht="15" hidden="false" customHeight="false" outlineLevel="0" collapsed="false">
      <c r="A3024" s="0" t="n">
        <v>3</v>
      </c>
      <c r="B3024" s="59" t="n">
        <v>46239</v>
      </c>
      <c r="C3024" s="0" t="n">
        <v>11</v>
      </c>
      <c r="D3024" s="0" t="s">
        <v>2126</v>
      </c>
      <c r="E3024" s="0" t="n">
        <v>1740</v>
      </c>
      <c r="F3024" s="0" t="s">
        <v>171</v>
      </c>
      <c r="I3024" s="0" t="n">
        <v>1255606</v>
      </c>
      <c r="J3024" s="0" t="n">
        <v>63511</v>
      </c>
      <c r="K3024" s="0" t="n">
        <v>7891164027124</v>
      </c>
      <c r="L3024" s="0" t="s">
        <v>2692</v>
      </c>
      <c r="N3024" s="0" t="n">
        <v>20</v>
      </c>
      <c r="O3024" s="60" t="n">
        <v>187.8</v>
      </c>
    </row>
    <row r="3025" customFormat="false" ht="15" hidden="false" customHeight="false" outlineLevel="0" collapsed="false">
      <c r="A3025" s="0" t="n">
        <v>3</v>
      </c>
      <c r="B3025" s="59" t="n">
        <v>46239</v>
      </c>
      <c r="C3025" s="0" t="n">
        <v>11</v>
      </c>
      <c r="D3025" s="0" t="s">
        <v>2126</v>
      </c>
      <c r="E3025" s="0" t="n">
        <v>1740</v>
      </c>
      <c r="F3025" s="0" t="s">
        <v>171</v>
      </c>
      <c r="I3025" s="0" t="n">
        <v>1255606</v>
      </c>
      <c r="J3025" s="0" t="n">
        <v>81469</v>
      </c>
      <c r="K3025" s="0" t="n">
        <v>7898681940042</v>
      </c>
      <c r="L3025" s="0" t="s">
        <v>2579</v>
      </c>
      <c r="N3025" s="0" t="n">
        <v>12</v>
      </c>
      <c r="O3025" s="60" t="n">
        <v>55.2</v>
      </c>
    </row>
    <row r="3026" customFormat="false" ht="15" hidden="false" customHeight="false" outlineLevel="0" collapsed="false">
      <c r="A3026" s="0" t="n">
        <v>3</v>
      </c>
      <c r="B3026" s="59" t="n">
        <v>46239</v>
      </c>
      <c r="C3026" s="0" t="n">
        <v>11</v>
      </c>
      <c r="D3026" s="0" t="s">
        <v>2126</v>
      </c>
      <c r="E3026" s="0" t="n">
        <v>1740</v>
      </c>
      <c r="F3026" s="0" t="s">
        <v>171</v>
      </c>
      <c r="I3026" s="0" t="n">
        <v>1255607</v>
      </c>
      <c r="J3026" s="0" t="n">
        <v>106130</v>
      </c>
      <c r="K3026" s="0" t="n">
        <v>7891000340004</v>
      </c>
      <c r="L3026" s="0" t="s">
        <v>2158</v>
      </c>
      <c r="N3026" s="0" t="n">
        <v>5</v>
      </c>
      <c r="O3026" s="60" t="n">
        <v>18.9</v>
      </c>
    </row>
    <row r="3027" customFormat="false" ht="15" hidden="false" customHeight="false" outlineLevel="0" collapsed="false">
      <c r="A3027" s="0" t="n">
        <v>3</v>
      </c>
      <c r="B3027" s="59" t="n">
        <v>46239</v>
      </c>
      <c r="C3027" s="0" t="n">
        <v>11</v>
      </c>
      <c r="D3027" s="0" t="s">
        <v>2126</v>
      </c>
      <c r="E3027" s="0" t="n">
        <v>1740</v>
      </c>
      <c r="F3027" s="0" t="s">
        <v>171</v>
      </c>
      <c r="I3027" s="0" t="n">
        <v>1255607</v>
      </c>
      <c r="J3027" s="0" t="n">
        <v>14219</v>
      </c>
      <c r="K3027" s="0" t="n">
        <v>7891000072950</v>
      </c>
      <c r="L3027" s="0" t="s">
        <v>2183</v>
      </c>
      <c r="N3027" s="0" t="n">
        <v>5</v>
      </c>
      <c r="O3027" s="60" t="n">
        <v>22.7</v>
      </c>
    </row>
    <row r="3028" customFormat="false" ht="15" hidden="false" customHeight="false" outlineLevel="0" collapsed="false">
      <c r="A3028" s="0" t="n">
        <v>3</v>
      </c>
      <c r="B3028" s="59" t="n">
        <v>46239</v>
      </c>
      <c r="C3028" s="0" t="n">
        <v>11</v>
      </c>
      <c r="D3028" s="0" t="s">
        <v>2126</v>
      </c>
      <c r="E3028" s="0" t="n">
        <v>1740</v>
      </c>
      <c r="F3028" s="0" t="s">
        <v>171</v>
      </c>
      <c r="I3028" s="0" t="n">
        <v>1255607</v>
      </c>
      <c r="J3028" s="0" t="n">
        <v>16602</v>
      </c>
      <c r="K3028" s="0" t="n">
        <v>7891000084649</v>
      </c>
      <c r="L3028" s="0" t="s">
        <v>2159</v>
      </c>
      <c r="N3028" s="0" t="n">
        <v>5</v>
      </c>
      <c r="O3028" s="60" t="n">
        <v>54.95</v>
      </c>
    </row>
    <row r="3029" customFormat="false" ht="15" hidden="false" customHeight="false" outlineLevel="0" collapsed="false">
      <c r="A3029" s="0" t="n">
        <v>3</v>
      </c>
      <c r="B3029" s="59" t="n">
        <v>46239</v>
      </c>
      <c r="C3029" s="0" t="n">
        <v>11</v>
      </c>
      <c r="D3029" s="0" t="s">
        <v>2126</v>
      </c>
      <c r="E3029" s="0" t="n">
        <v>1740</v>
      </c>
      <c r="F3029" s="0" t="s">
        <v>171</v>
      </c>
      <c r="I3029" s="0" t="n">
        <v>1255607</v>
      </c>
      <c r="J3029" s="0" t="n">
        <v>20021</v>
      </c>
      <c r="K3029" s="0" t="n">
        <v>7891000103937</v>
      </c>
      <c r="L3029" s="0" t="s">
        <v>2682</v>
      </c>
      <c r="N3029" s="0" t="n">
        <v>3</v>
      </c>
      <c r="O3029" s="60" t="n">
        <v>27.75</v>
      </c>
    </row>
    <row r="3030" customFormat="false" ht="15" hidden="false" customHeight="false" outlineLevel="0" collapsed="false">
      <c r="A3030" s="0" t="n">
        <v>3</v>
      </c>
      <c r="B3030" s="59" t="n">
        <v>46239</v>
      </c>
      <c r="C3030" s="0" t="n">
        <v>11</v>
      </c>
      <c r="D3030" s="0" t="s">
        <v>2126</v>
      </c>
      <c r="E3030" s="0" t="n">
        <v>1740</v>
      </c>
      <c r="F3030" s="0" t="s">
        <v>171</v>
      </c>
      <c r="I3030" s="0" t="n">
        <v>1255607</v>
      </c>
      <c r="J3030" s="0" t="n">
        <v>25112</v>
      </c>
      <c r="K3030" s="0" t="n">
        <v>7891000244425</v>
      </c>
      <c r="L3030" s="0" t="s">
        <v>2685</v>
      </c>
      <c r="N3030" s="0" t="n">
        <v>1</v>
      </c>
      <c r="O3030" s="60" t="n">
        <v>12.29</v>
      </c>
    </row>
    <row r="3031" customFormat="false" ht="15" hidden="false" customHeight="false" outlineLevel="0" collapsed="false">
      <c r="A3031" s="0" t="n">
        <v>3</v>
      </c>
      <c r="B3031" s="59" t="n">
        <v>46239</v>
      </c>
      <c r="C3031" s="0" t="n">
        <v>11</v>
      </c>
      <c r="D3031" s="0" t="s">
        <v>2126</v>
      </c>
      <c r="E3031" s="0" t="n">
        <v>1740</v>
      </c>
      <c r="F3031" s="0" t="s">
        <v>171</v>
      </c>
      <c r="I3031" s="0" t="n">
        <v>1255607</v>
      </c>
      <c r="J3031" s="0" t="n">
        <v>27878</v>
      </c>
      <c r="K3031" s="0" t="n">
        <v>7891000261026</v>
      </c>
      <c r="L3031" s="0" t="s">
        <v>2162</v>
      </c>
      <c r="N3031" s="0" t="n">
        <v>6</v>
      </c>
      <c r="O3031" s="60" t="n">
        <v>53.1</v>
      </c>
    </row>
    <row r="3032" customFormat="false" ht="15" hidden="false" customHeight="false" outlineLevel="0" collapsed="false">
      <c r="A3032" s="0" t="n">
        <v>3</v>
      </c>
      <c r="B3032" s="59" t="n">
        <v>46239</v>
      </c>
      <c r="C3032" s="0" t="n">
        <v>11</v>
      </c>
      <c r="D3032" s="0" t="s">
        <v>2126</v>
      </c>
      <c r="E3032" s="0" t="n">
        <v>1740</v>
      </c>
      <c r="F3032" s="0" t="s">
        <v>171</v>
      </c>
      <c r="I3032" s="0" t="n">
        <v>1255607</v>
      </c>
      <c r="J3032" s="0" t="n">
        <v>28389</v>
      </c>
      <c r="K3032" s="0" t="n">
        <v>7891000261460</v>
      </c>
      <c r="L3032" s="0" t="s">
        <v>2164</v>
      </c>
      <c r="N3032" s="0" t="n">
        <v>10</v>
      </c>
      <c r="O3032" s="60" t="n">
        <v>47.3</v>
      </c>
    </row>
    <row r="3033" customFormat="false" ht="15" hidden="false" customHeight="false" outlineLevel="0" collapsed="false">
      <c r="A3033" s="0" t="n">
        <v>3</v>
      </c>
      <c r="B3033" s="59" t="n">
        <v>46239</v>
      </c>
      <c r="C3033" s="0" t="n">
        <v>11</v>
      </c>
      <c r="D3033" s="0" t="s">
        <v>2126</v>
      </c>
      <c r="E3033" s="0" t="n">
        <v>1740</v>
      </c>
      <c r="F3033" s="0" t="s">
        <v>171</v>
      </c>
      <c r="I3033" s="0" t="n">
        <v>1255607</v>
      </c>
      <c r="J3033" s="0" t="n">
        <v>47788</v>
      </c>
      <c r="K3033" s="0" t="n">
        <v>7891000363256</v>
      </c>
      <c r="L3033" s="0" t="s">
        <v>2184</v>
      </c>
      <c r="N3033" s="0" t="n">
        <v>2</v>
      </c>
      <c r="O3033" s="60" t="n">
        <v>16.38</v>
      </c>
    </row>
    <row r="3034" customFormat="false" ht="15" hidden="false" customHeight="false" outlineLevel="0" collapsed="false">
      <c r="A3034" s="0" t="n">
        <v>3</v>
      </c>
      <c r="B3034" s="59" t="n">
        <v>46239</v>
      </c>
      <c r="C3034" s="0" t="n">
        <v>11</v>
      </c>
      <c r="D3034" s="0" t="s">
        <v>2126</v>
      </c>
      <c r="E3034" s="0" t="n">
        <v>1740</v>
      </c>
      <c r="F3034" s="0" t="s">
        <v>171</v>
      </c>
      <c r="I3034" s="0" t="n">
        <v>1255607</v>
      </c>
      <c r="J3034" s="0" t="n">
        <v>47789</v>
      </c>
      <c r="K3034" s="0" t="n">
        <v>7891000362037</v>
      </c>
      <c r="L3034" s="0" t="s">
        <v>2165</v>
      </c>
      <c r="N3034" s="0" t="n">
        <v>6</v>
      </c>
      <c r="O3034" s="60" t="n">
        <v>49.14</v>
      </c>
    </row>
    <row r="3035" customFormat="false" ht="15" hidden="false" customHeight="false" outlineLevel="0" collapsed="false">
      <c r="A3035" s="0" t="n">
        <v>3</v>
      </c>
      <c r="B3035" s="59" t="n">
        <v>46239</v>
      </c>
      <c r="C3035" s="0" t="n">
        <v>11</v>
      </c>
      <c r="D3035" s="0" t="s">
        <v>2126</v>
      </c>
      <c r="E3035" s="0" t="n">
        <v>1740</v>
      </c>
      <c r="F3035" s="0" t="s">
        <v>171</v>
      </c>
      <c r="I3035" s="0" t="n">
        <v>1255607</v>
      </c>
      <c r="J3035" s="0" t="n">
        <v>50424</v>
      </c>
      <c r="K3035" s="0" t="n">
        <v>7898953148169</v>
      </c>
      <c r="L3035" s="0" t="s">
        <v>2166</v>
      </c>
      <c r="N3035" s="0" t="n">
        <v>6</v>
      </c>
      <c r="O3035" s="60" t="n">
        <v>59.88</v>
      </c>
    </row>
    <row r="3036" customFormat="false" ht="15" hidden="false" customHeight="false" outlineLevel="0" collapsed="false">
      <c r="A3036" s="0" t="n">
        <v>3</v>
      </c>
      <c r="B3036" s="59" t="n">
        <v>46239</v>
      </c>
      <c r="C3036" s="0" t="n">
        <v>11</v>
      </c>
      <c r="D3036" s="0" t="s">
        <v>2126</v>
      </c>
      <c r="E3036" s="0" t="n">
        <v>1740</v>
      </c>
      <c r="F3036" s="0" t="s">
        <v>171</v>
      </c>
      <c r="I3036" s="0" t="n">
        <v>1255607</v>
      </c>
      <c r="J3036" s="0" t="n">
        <v>64795</v>
      </c>
      <c r="K3036" s="0" t="n">
        <v>7891097105739</v>
      </c>
      <c r="L3036" s="0" t="s">
        <v>2687</v>
      </c>
      <c r="N3036" s="0" t="n">
        <v>10</v>
      </c>
      <c r="O3036" s="60" t="n">
        <v>83.3</v>
      </c>
    </row>
    <row r="3037" customFormat="false" ht="15" hidden="false" customHeight="false" outlineLevel="0" collapsed="false">
      <c r="A3037" s="0" t="n">
        <v>3</v>
      </c>
      <c r="B3037" s="59" t="n">
        <v>46239</v>
      </c>
      <c r="C3037" s="0" t="n">
        <v>11</v>
      </c>
      <c r="D3037" s="0" t="s">
        <v>2126</v>
      </c>
      <c r="E3037" s="0" t="n">
        <v>1672</v>
      </c>
      <c r="F3037" s="0" t="s">
        <v>68</v>
      </c>
      <c r="I3037" s="0" t="n">
        <v>1411864</v>
      </c>
      <c r="J3037" s="0" t="n">
        <v>37507</v>
      </c>
      <c r="K3037" s="0" t="n">
        <v>7896579310854</v>
      </c>
      <c r="L3037" s="0" t="s">
        <v>2472</v>
      </c>
      <c r="N3037" s="0" t="n">
        <v>70</v>
      </c>
      <c r="O3037" s="60" t="n">
        <v>490</v>
      </c>
    </row>
    <row r="3038" customFormat="false" ht="15" hidden="false" customHeight="false" outlineLevel="0" collapsed="false">
      <c r="A3038" s="0" t="n">
        <v>3</v>
      </c>
      <c r="B3038" s="59" t="n">
        <v>46239</v>
      </c>
      <c r="C3038" s="0" t="n">
        <v>11</v>
      </c>
      <c r="D3038" s="0" t="s">
        <v>2126</v>
      </c>
      <c r="E3038" s="0" t="n">
        <v>1613</v>
      </c>
      <c r="F3038" s="0" t="s">
        <v>178</v>
      </c>
      <c r="I3038" s="0" t="n">
        <v>1615570</v>
      </c>
      <c r="J3038" s="0" t="n">
        <v>100034</v>
      </c>
      <c r="K3038" s="0" t="n">
        <v>35</v>
      </c>
      <c r="L3038" s="0" t="s">
        <v>2999</v>
      </c>
      <c r="N3038" s="0" t="n">
        <v>30</v>
      </c>
      <c r="O3038" s="60" t="n">
        <v>467.1</v>
      </c>
    </row>
    <row r="3039" customFormat="false" ht="15" hidden="false" customHeight="false" outlineLevel="0" collapsed="false">
      <c r="A3039" s="0" t="n">
        <v>3</v>
      </c>
      <c r="B3039" s="59" t="n">
        <v>46239</v>
      </c>
      <c r="C3039" s="0" t="n">
        <v>11</v>
      </c>
      <c r="D3039" s="0" t="s">
        <v>2126</v>
      </c>
      <c r="E3039" s="0" t="n">
        <v>1613</v>
      </c>
      <c r="F3039" s="0" t="s">
        <v>178</v>
      </c>
      <c r="I3039" s="0" t="n">
        <v>1615570</v>
      </c>
      <c r="J3039" s="0" t="n">
        <v>100045</v>
      </c>
      <c r="K3039" s="0" t="n">
        <v>46</v>
      </c>
      <c r="L3039" s="0" t="s">
        <v>2974</v>
      </c>
      <c r="N3039" s="0" t="n">
        <v>80</v>
      </c>
      <c r="O3039" s="60" t="n">
        <v>896.8</v>
      </c>
    </row>
    <row r="3040" customFormat="false" ht="15" hidden="false" customHeight="false" outlineLevel="0" collapsed="false">
      <c r="A3040" s="0" t="n">
        <v>3</v>
      </c>
      <c r="B3040" s="59" t="n">
        <v>46239</v>
      </c>
      <c r="C3040" s="0" t="n">
        <v>11</v>
      </c>
      <c r="D3040" s="0" t="s">
        <v>2126</v>
      </c>
      <c r="E3040" s="0" t="n">
        <v>1613</v>
      </c>
      <c r="F3040" s="0" t="s">
        <v>178</v>
      </c>
      <c r="I3040" s="0" t="n">
        <v>1615570</v>
      </c>
      <c r="J3040" s="0" t="n">
        <v>103795</v>
      </c>
      <c r="K3040" s="0" t="n">
        <v>7893000436800</v>
      </c>
      <c r="L3040" s="0" t="s">
        <v>3501</v>
      </c>
      <c r="N3040" s="0" t="n">
        <v>12</v>
      </c>
      <c r="O3040" s="60" t="n">
        <v>128.76</v>
      </c>
    </row>
    <row r="3041" customFormat="false" ht="15" hidden="false" customHeight="false" outlineLevel="0" collapsed="false">
      <c r="A3041" s="0" t="n">
        <v>3</v>
      </c>
      <c r="B3041" s="59" t="n">
        <v>46239</v>
      </c>
      <c r="C3041" s="0" t="n">
        <v>11</v>
      </c>
      <c r="D3041" s="0" t="s">
        <v>2126</v>
      </c>
      <c r="E3041" s="0" t="n">
        <v>1613</v>
      </c>
      <c r="F3041" s="0" t="s">
        <v>178</v>
      </c>
      <c r="I3041" s="0" t="n">
        <v>1615570</v>
      </c>
      <c r="J3041" s="0" t="n">
        <v>103796</v>
      </c>
      <c r="K3041" s="0" t="n">
        <v>7893000436725</v>
      </c>
      <c r="L3041" s="0" t="s">
        <v>2975</v>
      </c>
      <c r="N3041" s="0" t="n">
        <v>12</v>
      </c>
      <c r="O3041" s="60" t="n">
        <v>150.12</v>
      </c>
    </row>
    <row r="3042" customFormat="false" ht="15" hidden="false" customHeight="false" outlineLevel="0" collapsed="false">
      <c r="A3042" s="0" t="n">
        <v>3</v>
      </c>
      <c r="B3042" s="59" t="n">
        <v>46239</v>
      </c>
      <c r="C3042" s="0" t="n">
        <v>11</v>
      </c>
      <c r="D3042" s="0" t="s">
        <v>2126</v>
      </c>
      <c r="E3042" s="0" t="n">
        <v>1613</v>
      </c>
      <c r="F3042" s="0" t="s">
        <v>178</v>
      </c>
      <c r="I3042" s="0" t="n">
        <v>1615570</v>
      </c>
      <c r="J3042" s="0" t="n">
        <v>103848</v>
      </c>
      <c r="K3042" s="0" t="n">
        <v>7893000488878</v>
      </c>
      <c r="L3042" s="0" t="s">
        <v>3502</v>
      </c>
      <c r="N3042" s="0" t="n">
        <v>16</v>
      </c>
      <c r="O3042" s="60" t="n">
        <v>201.58</v>
      </c>
    </row>
    <row r="3043" customFormat="false" ht="15" hidden="false" customHeight="false" outlineLevel="0" collapsed="false">
      <c r="A3043" s="0" t="n">
        <v>3</v>
      </c>
      <c r="B3043" s="59" t="n">
        <v>46239</v>
      </c>
      <c r="C3043" s="0" t="n">
        <v>11</v>
      </c>
      <c r="D3043" s="0" t="s">
        <v>2126</v>
      </c>
      <c r="E3043" s="0" t="n">
        <v>1613</v>
      </c>
      <c r="F3043" s="0" t="s">
        <v>178</v>
      </c>
      <c r="I3043" s="0" t="n">
        <v>1615570</v>
      </c>
      <c r="J3043" s="0" t="n">
        <v>110181</v>
      </c>
      <c r="K3043" s="0" t="n">
        <v>37389</v>
      </c>
      <c r="L3043" s="0" t="s">
        <v>2978</v>
      </c>
      <c r="N3043" s="0" t="n">
        <v>75</v>
      </c>
      <c r="O3043" s="60" t="n">
        <v>815.25</v>
      </c>
    </row>
    <row r="3044" customFormat="false" ht="15" hidden="false" customHeight="false" outlineLevel="0" collapsed="false">
      <c r="A3044" s="0" t="n">
        <v>3</v>
      </c>
      <c r="B3044" s="59" t="n">
        <v>46239</v>
      </c>
      <c r="C3044" s="0" t="n">
        <v>11</v>
      </c>
      <c r="D3044" s="0" t="s">
        <v>2126</v>
      </c>
      <c r="E3044" s="0" t="n">
        <v>1613</v>
      </c>
      <c r="F3044" s="0" t="s">
        <v>178</v>
      </c>
      <c r="I3044" s="0" t="n">
        <v>1615570</v>
      </c>
      <c r="J3044" s="0" t="n">
        <v>110215</v>
      </c>
      <c r="K3044" s="0" t="n">
        <v>37498</v>
      </c>
      <c r="L3044" s="0" t="s">
        <v>3503</v>
      </c>
      <c r="N3044" s="0" t="n">
        <v>13.95</v>
      </c>
      <c r="O3044" s="60" t="n">
        <v>295.27</v>
      </c>
    </row>
    <row r="3045" customFormat="false" ht="15" hidden="false" customHeight="false" outlineLevel="0" collapsed="false">
      <c r="A3045" s="0" t="n">
        <v>3</v>
      </c>
      <c r="B3045" s="59" t="n">
        <v>46239</v>
      </c>
      <c r="C3045" s="0" t="n">
        <v>11</v>
      </c>
      <c r="D3045" s="0" t="s">
        <v>2126</v>
      </c>
      <c r="E3045" s="0" t="n">
        <v>1613</v>
      </c>
      <c r="F3045" s="0" t="s">
        <v>178</v>
      </c>
      <c r="I3045" s="0" t="n">
        <v>1615570</v>
      </c>
      <c r="J3045" s="0" t="n">
        <v>52903</v>
      </c>
      <c r="K3045" s="0" t="n">
        <v>7891515591939</v>
      </c>
      <c r="L3045" s="0" t="s">
        <v>2433</v>
      </c>
      <c r="N3045" s="0" t="n">
        <v>28</v>
      </c>
      <c r="O3045" s="60" t="n">
        <v>283.01</v>
      </c>
    </row>
    <row r="3046" customFormat="false" ht="15" hidden="false" customHeight="false" outlineLevel="0" collapsed="false">
      <c r="A3046" s="0" t="n">
        <v>3</v>
      </c>
      <c r="B3046" s="59" t="n">
        <v>46239</v>
      </c>
      <c r="C3046" s="0" t="n">
        <v>11</v>
      </c>
      <c r="D3046" s="0" t="s">
        <v>2126</v>
      </c>
      <c r="E3046" s="0" t="n">
        <v>1613</v>
      </c>
      <c r="F3046" s="0" t="s">
        <v>178</v>
      </c>
      <c r="I3046" s="0" t="n">
        <v>1615570</v>
      </c>
      <c r="J3046" s="0" t="n">
        <v>53671</v>
      </c>
      <c r="K3046" s="0" t="n">
        <v>7891515592080</v>
      </c>
      <c r="L3046" s="0" t="s">
        <v>3504</v>
      </c>
      <c r="N3046" s="0" t="n">
        <v>28</v>
      </c>
      <c r="O3046" s="60" t="n">
        <v>283.01</v>
      </c>
    </row>
    <row r="3047" customFormat="false" ht="15" hidden="false" customHeight="false" outlineLevel="0" collapsed="false">
      <c r="A3047" s="0" t="n">
        <v>3</v>
      </c>
      <c r="B3047" s="59" t="n">
        <v>46239</v>
      </c>
      <c r="C3047" s="0" t="n">
        <v>11</v>
      </c>
      <c r="D3047" s="0" t="s">
        <v>2126</v>
      </c>
      <c r="E3047" s="0" t="n">
        <v>1608</v>
      </c>
      <c r="F3047" s="0" t="s">
        <v>42</v>
      </c>
      <c r="I3047" s="0" t="n">
        <v>1704242</v>
      </c>
      <c r="J3047" s="0" t="n">
        <v>65341</v>
      </c>
      <c r="K3047" s="0" t="n">
        <v>7892840822309</v>
      </c>
      <c r="L3047" s="0" t="s">
        <v>3067</v>
      </c>
      <c r="N3047" s="0" t="n">
        <v>56</v>
      </c>
      <c r="O3047" s="60" t="n">
        <v>166.32</v>
      </c>
    </row>
    <row r="3048" customFormat="false" ht="15" hidden="false" customHeight="false" outlineLevel="0" collapsed="false">
      <c r="A3048" s="0" t="n">
        <v>3</v>
      </c>
      <c r="B3048" s="59" t="n">
        <v>46239</v>
      </c>
      <c r="C3048" s="0" t="n">
        <v>11</v>
      </c>
      <c r="D3048" s="0" t="s">
        <v>2126</v>
      </c>
      <c r="E3048" s="0" t="n">
        <v>1705</v>
      </c>
      <c r="F3048" s="0" t="s">
        <v>123</v>
      </c>
      <c r="I3048" s="0" t="n">
        <v>1968355</v>
      </c>
      <c r="J3048" s="0" t="n">
        <v>21426</v>
      </c>
      <c r="K3048" s="0" t="n">
        <v>7894900014211</v>
      </c>
      <c r="L3048" s="0" t="s">
        <v>2591</v>
      </c>
      <c r="N3048" s="0" t="n">
        <v>90</v>
      </c>
      <c r="O3048" s="60" t="n">
        <v>593.41</v>
      </c>
    </row>
    <row r="3049" customFormat="false" ht="15" hidden="false" customHeight="false" outlineLevel="0" collapsed="false">
      <c r="A3049" s="0" t="n">
        <v>3</v>
      </c>
      <c r="B3049" s="59" t="n">
        <v>46239</v>
      </c>
      <c r="C3049" s="0" t="n">
        <v>22</v>
      </c>
      <c r="D3049" s="0" t="s">
        <v>2172</v>
      </c>
      <c r="E3049" s="0" t="n">
        <v>42</v>
      </c>
      <c r="F3049" s="0" t="s">
        <v>81</v>
      </c>
      <c r="I3049" s="0" t="n">
        <v>4462</v>
      </c>
      <c r="J3049" s="0" t="n">
        <v>100000</v>
      </c>
      <c r="K3049" s="0" t="n">
        <v>1</v>
      </c>
      <c r="L3049" s="0" t="s">
        <v>2173</v>
      </c>
      <c r="N3049" s="0" t="n">
        <v>3.062</v>
      </c>
      <c r="O3049" s="60" t="n">
        <v>60.31</v>
      </c>
    </row>
    <row r="3050" customFormat="false" ht="15" hidden="false" customHeight="false" outlineLevel="0" collapsed="false">
      <c r="A3050" s="0" t="n">
        <v>3</v>
      </c>
      <c r="B3050" s="59" t="n">
        <v>46239</v>
      </c>
      <c r="C3050" s="0" t="n">
        <v>22</v>
      </c>
      <c r="D3050" s="0" t="s">
        <v>2172</v>
      </c>
      <c r="E3050" s="0" t="n">
        <v>42</v>
      </c>
      <c r="F3050" s="0" t="s">
        <v>81</v>
      </c>
      <c r="I3050" s="0" t="n">
        <v>4462</v>
      </c>
      <c r="J3050" s="0" t="n">
        <v>100000</v>
      </c>
      <c r="K3050" s="0" t="n">
        <v>1</v>
      </c>
      <c r="L3050" s="0" t="s">
        <v>2173</v>
      </c>
      <c r="N3050" s="0" t="n">
        <v>2.446</v>
      </c>
      <c r="O3050" s="60" t="n">
        <v>56.85</v>
      </c>
    </row>
    <row r="3051" customFormat="false" ht="15" hidden="false" customHeight="false" outlineLevel="0" collapsed="false">
      <c r="A3051" s="0" t="n">
        <v>3</v>
      </c>
      <c r="B3051" s="59" t="n">
        <v>46239</v>
      </c>
      <c r="C3051" s="0" t="n">
        <v>22</v>
      </c>
      <c r="D3051" s="0" t="s">
        <v>2172</v>
      </c>
      <c r="E3051" s="0" t="n">
        <v>42</v>
      </c>
      <c r="F3051" s="0" t="s">
        <v>81</v>
      </c>
      <c r="I3051" s="0" t="n">
        <v>4462</v>
      </c>
      <c r="J3051" s="0" t="n">
        <v>100001</v>
      </c>
      <c r="K3051" s="0" t="n">
        <v>2</v>
      </c>
      <c r="L3051" s="0" t="s">
        <v>2174</v>
      </c>
      <c r="N3051" s="0" t="n">
        <v>8.625</v>
      </c>
      <c r="O3051" s="60" t="n">
        <v>181.61</v>
      </c>
    </row>
    <row r="3052" customFormat="false" ht="15" hidden="false" customHeight="false" outlineLevel="0" collapsed="false">
      <c r="A3052" s="0" t="n">
        <v>3</v>
      </c>
      <c r="B3052" s="59" t="n">
        <v>46239</v>
      </c>
      <c r="C3052" s="0" t="n">
        <v>22</v>
      </c>
      <c r="D3052" s="0" t="s">
        <v>2172</v>
      </c>
      <c r="E3052" s="0" t="n">
        <v>42</v>
      </c>
      <c r="F3052" s="0" t="s">
        <v>81</v>
      </c>
      <c r="I3052" s="0" t="n">
        <v>4462</v>
      </c>
      <c r="J3052" s="0" t="n">
        <v>100002</v>
      </c>
      <c r="K3052" s="0" t="n">
        <v>3</v>
      </c>
      <c r="L3052" s="0" t="s">
        <v>2175</v>
      </c>
      <c r="N3052" s="0" t="n">
        <v>20.58</v>
      </c>
      <c r="O3052" s="60" t="n">
        <v>447.31</v>
      </c>
    </row>
    <row r="3053" customFormat="false" ht="15" hidden="false" customHeight="false" outlineLevel="0" collapsed="false">
      <c r="A3053" s="0" t="n">
        <v>3</v>
      </c>
      <c r="B3053" s="59" t="n">
        <v>46239</v>
      </c>
      <c r="C3053" s="0" t="n">
        <v>22</v>
      </c>
      <c r="D3053" s="0" t="s">
        <v>2172</v>
      </c>
      <c r="E3053" s="0" t="n">
        <v>42</v>
      </c>
      <c r="F3053" s="0" t="s">
        <v>81</v>
      </c>
      <c r="I3053" s="0" t="n">
        <v>4462</v>
      </c>
      <c r="J3053" s="0" t="n">
        <v>100003</v>
      </c>
      <c r="K3053" s="0" t="n">
        <v>4</v>
      </c>
      <c r="L3053" s="0" t="s">
        <v>2176</v>
      </c>
      <c r="N3053" s="0" t="n">
        <v>18.07</v>
      </c>
      <c r="O3053" s="60" t="n">
        <v>429.59</v>
      </c>
    </row>
    <row r="3054" customFormat="false" ht="15" hidden="false" customHeight="false" outlineLevel="0" collapsed="false">
      <c r="A3054" s="0" t="n">
        <v>3</v>
      </c>
      <c r="B3054" s="59" t="n">
        <v>46239</v>
      </c>
      <c r="C3054" s="0" t="n">
        <v>22</v>
      </c>
      <c r="D3054" s="0" t="s">
        <v>2172</v>
      </c>
      <c r="E3054" s="0" t="n">
        <v>42</v>
      </c>
      <c r="F3054" s="0" t="s">
        <v>81</v>
      </c>
      <c r="I3054" s="0" t="n">
        <v>4462</v>
      </c>
      <c r="J3054" s="0" t="n">
        <v>100006</v>
      </c>
      <c r="K3054" s="0" t="n">
        <v>7</v>
      </c>
      <c r="L3054" s="0" t="s">
        <v>2228</v>
      </c>
      <c r="N3054" s="0" t="n">
        <v>2.924</v>
      </c>
      <c r="O3054" s="60" t="n">
        <v>93.75</v>
      </c>
    </row>
    <row r="3055" customFormat="false" ht="15" hidden="false" customHeight="false" outlineLevel="0" collapsed="false">
      <c r="A3055" s="0" t="n">
        <v>3</v>
      </c>
      <c r="B3055" s="59" t="n">
        <v>46239</v>
      </c>
      <c r="C3055" s="0" t="n">
        <v>22</v>
      </c>
      <c r="D3055" s="0" t="s">
        <v>2172</v>
      </c>
      <c r="E3055" s="0" t="n">
        <v>42</v>
      </c>
      <c r="F3055" s="0" t="s">
        <v>81</v>
      </c>
      <c r="I3055" s="0" t="n">
        <v>4462</v>
      </c>
      <c r="J3055" s="0" t="n">
        <v>100007</v>
      </c>
      <c r="K3055" s="0" t="n">
        <v>8</v>
      </c>
      <c r="L3055" s="0" t="s">
        <v>2177</v>
      </c>
      <c r="N3055" s="0" t="n">
        <v>4.446</v>
      </c>
      <c r="O3055" s="60" t="n">
        <v>102.68</v>
      </c>
    </row>
    <row r="3056" customFormat="false" ht="15" hidden="false" customHeight="false" outlineLevel="0" collapsed="false">
      <c r="A3056" s="0" t="n">
        <v>3</v>
      </c>
      <c r="B3056" s="59" t="n">
        <v>46239</v>
      </c>
      <c r="C3056" s="0" t="n">
        <v>22</v>
      </c>
      <c r="D3056" s="0" t="s">
        <v>2172</v>
      </c>
      <c r="E3056" s="0" t="n">
        <v>42</v>
      </c>
      <c r="F3056" s="0" t="s">
        <v>81</v>
      </c>
      <c r="I3056" s="0" t="n">
        <v>4462</v>
      </c>
      <c r="J3056" s="0" t="n">
        <v>100007</v>
      </c>
      <c r="K3056" s="0" t="n">
        <v>8</v>
      </c>
      <c r="L3056" s="0" t="s">
        <v>2177</v>
      </c>
      <c r="N3056" s="0" t="n">
        <v>1.804</v>
      </c>
      <c r="O3056" s="60" t="n">
        <v>49.16</v>
      </c>
    </row>
    <row r="3057" customFormat="false" ht="15" hidden="false" customHeight="false" outlineLevel="0" collapsed="false">
      <c r="A3057" s="0" t="n">
        <v>3</v>
      </c>
      <c r="B3057" s="59" t="n">
        <v>46239</v>
      </c>
      <c r="C3057" s="0" t="n">
        <v>22</v>
      </c>
      <c r="D3057" s="0" t="s">
        <v>2172</v>
      </c>
      <c r="E3057" s="0" t="n">
        <v>42</v>
      </c>
      <c r="F3057" s="0" t="s">
        <v>81</v>
      </c>
      <c r="I3057" s="0" t="n">
        <v>4462</v>
      </c>
      <c r="J3057" s="0" t="n">
        <v>100008</v>
      </c>
      <c r="K3057" s="0" t="n">
        <v>9</v>
      </c>
      <c r="L3057" s="0" t="s">
        <v>2229</v>
      </c>
      <c r="N3057" s="0" t="n">
        <v>14.135</v>
      </c>
      <c r="O3057" s="60" t="n">
        <v>464.55</v>
      </c>
    </row>
    <row r="3058" customFormat="false" ht="15" hidden="false" customHeight="false" outlineLevel="0" collapsed="false">
      <c r="A3058" s="0" t="n">
        <v>3</v>
      </c>
      <c r="B3058" s="59" t="n">
        <v>46239</v>
      </c>
      <c r="C3058" s="0" t="n">
        <v>22</v>
      </c>
      <c r="D3058" s="0" t="s">
        <v>2172</v>
      </c>
      <c r="E3058" s="0" t="n">
        <v>42</v>
      </c>
      <c r="F3058" s="0" t="s">
        <v>81</v>
      </c>
      <c r="I3058" s="0" t="n">
        <v>4462</v>
      </c>
      <c r="J3058" s="0" t="n">
        <v>100010</v>
      </c>
      <c r="K3058" s="0" t="n">
        <v>11</v>
      </c>
      <c r="L3058" s="0" t="s">
        <v>2230</v>
      </c>
      <c r="N3058" s="0" t="n">
        <v>3.068</v>
      </c>
      <c r="O3058" s="60" t="n">
        <v>115.59</v>
      </c>
    </row>
    <row r="3059" customFormat="false" ht="15" hidden="false" customHeight="false" outlineLevel="0" collapsed="false">
      <c r="A3059" s="0" t="n">
        <v>3</v>
      </c>
      <c r="B3059" s="59" t="n">
        <v>46239</v>
      </c>
      <c r="C3059" s="0" t="n">
        <v>22</v>
      </c>
      <c r="D3059" s="0" t="s">
        <v>2172</v>
      </c>
      <c r="E3059" s="0" t="n">
        <v>42</v>
      </c>
      <c r="F3059" s="0" t="s">
        <v>81</v>
      </c>
      <c r="I3059" s="0" t="n">
        <v>4462</v>
      </c>
      <c r="J3059" s="0" t="n">
        <v>100011</v>
      </c>
      <c r="K3059" s="0" t="n">
        <v>12</v>
      </c>
      <c r="L3059" s="0" t="s">
        <v>2231</v>
      </c>
      <c r="N3059" s="0" t="n">
        <v>5.546</v>
      </c>
      <c r="O3059" s="60" t="n">
        <v>208.95</v>
      </c>
    </row>
    <row r="3060" customFormat="false" ht="15" hidden="false" customHeight="false" outlineLevel="0" collapsed="false">
      <c r="A3060" s="0" t="n">
        <v>3</v>
      </c>
      <c r="B3060" s="59" t="n">
        <v>46239</v>
      </c>
      <c r="C3060" s="0" t="n">
        <v>22</v>
      </c>
      <c r="D3060" s="0" t="s">
        <v>2172</v>
      </c>
      <c r="E3060" s="0" t="n">
        <v>42</v>
      </c>
      <c r="F3060" s="0" t="s">
        <v>81</v>
      </c>
      <c r="I3060" s="0" t="n">
        <v>4462</v>
      </c>
      <c r="J3060" s="0" t="n">
        <v>100012</v>
      </c>
      <c r="K3060" s="0" t="n">
        <v>13</v>
      </c>
      <c r="L3060" s="0" t="s">
        <v>2232</v>
      </c>
      <c r="N3060" s="0" t="n">
        <v>5.35</v>
      </c>
      <c r="O3060" s="60" t="n">
        <v>218.72</v>
      </c>
    </row>
    <row r="3061" customFormat="false" ht="15" hidden="false" customHeight="false" outlineLevel="0" collapsed="false">
      <c r="A3061" s="0" t="n">
        <v>3</v>
      </c>
      <c r="B3061" s="59" t="n">
        <v>46239</v>
      </c>
      <c r="C3061" s="0" t="n">
        <v>22</v>
      </c>
      <c r="D3061" s="0" t="s">
        <v>2172</v>
      </c>
      <c r="E3061" s="0" t="n">
        <v>42</v>
      </c>
      <c r="F3061" s="0" t="s">
        <v>81</v>
      </c>
      <c r="I3061" s="0" t="n">
        <v>4462</v>
      </c>
      <c r="J3061" s="0" t="n">
        <v>100013</v>
      </c>
      <c r="K3061" s="0" t="n">
        <v>14</v>
      </c>
      <c r="L3061" s="0" t="s">
        <v>2233</v>
      </c>
      <c r="N3061" s="0" t="n">
        <v>10.375</v>
      </c>
      <c r="O3061" s="60" t="n">
        <v>457.44</v>
      </c>
    </row>
    <row r="3062" customFormat="false" ht="15" hidden="false" customHeight="false" outlineLevel="0" collapsed="false">
      <c r="A3062" s="0" t="n">
        <v>3</v>
      </c>
      <c r="B3062" s="59" t="n">
        <v>46239</v>
      </c>
      <c r="C3062" s="0" t="n">
        <v>22</v>
      </c>
      <c r="D3062" s="0" t="s">
        <v>2172</v>
      </c>
      <c r="E3062" s="0" t="n">
        <v>42</v>
      </c>
      <c r="F3062" s="0" t="s">
        <v>81</v>
      </c>
      <c r="I3062" s="0" t="n">
        <v>4462</v>
      </c>
      <c r="J3062" s="0" t="n">
        <v>100014</v>
      </c>
      <c r="K3062" s="0" t="n">
        <v>15</v>
      </c>
      <c r="L3062" s="0" t="s">
        <v>2234</v>
      </c>
      <c r="N3062" s="0" t="n">
        <v>4.33</v>
      </c>
      <c r="O3062" s="60" t="n">
        <v>194.38</v>
      </c>
    </row>
    <row r="3063" customFormat="false" ht="15" hidden="false" customHeight="false" outlineLevel="0" collapsed="false">
      <c r="A3063" s="0" t="n">
        <v>3</v>
      </c>
      <c r="B3063" s="59" t="n">
        <v>46239</v>
      </c>
      <c r="C3063" s="0" t="n">
        <v>22</v>
      </c>
      <c r="D3063" s="0" t="s">
        <v>2172</v>
      </c>
      <c r="E3063" s="0" t="n">
        <v>42</v>
      </c>
      <c r="F3063" s="0" t="s">
        <v>81</v>
      </c>
      <c r="I3063" s="0" t="n">
        <v>4462</v>
      </c>
      <c r="J3063" s="0" t="n">
        <v>100015</v>
      </c>
      <c r="K3063" s="0" t="n">
        <v>16</v>
      </c>
      <c r="L3063" s="0" t="s">
        <v>2235</v>
      </c>
      <c r="N3063" s="0" t="n">
        <v>1.902</v>
      </c>
      <c r="O3063" s="60" t="n">
        <v>77.76</v>
      </c>
    </row>
    <row r="3064" customFormat="false" ht="15" hidden="false" customHeight="false" outlineLevel="0" collapsed="false">
      <c r="A3064" s="0" t="n">
        <v>3</v>
      </c>
      <c r="B3064" s="59" t="n">
        <v>46239</v>
      </c>
      <c r="C3064" s="0" t="n">
        <v>22</v>
      </c>
      <c r="D3064" s="0" t="s">
        <v>2172</v>
      </c>
      <c r="E3064" s="0" t="n">
        <v>42</v>
      </c>
      <c r="F3064" s="0" t="s">
        <v>81</v>
      </c>
      <c r="I3064" s="0" t="n">
        <v>4462</v>
      </c>
      <c r="J3064" s="0" t="n">
        <v>100016</v>
      </c>
      <c r="K3064" s="0" t="n">
        <v>17</v>
      </c>
      <c r="L3064" s="0" t="s">
        <v>2236</v>
      </c>
      <c r="N3064" s="0" t="n">
        <v>3.066</v>
      </c>
      <c r="O3064" s="60" t="n">
        <v>135.18</v>
      </c>
    </row>
    <row r="3065" customFormat="false" ht="15" hidden="false" customHeight="false" outlineLevel="0" collapsed="false">
      <c r="A3065" s="0" t="n">
        <v>3</v>
      </c>
      <c r="B3065" s="59" t="n">
        <v>46239</v>
      </c>
      <c r="C3065" s="0" t="n">
        <v>22</v>
      </c>
      <c r="D3065" s="0" t="s">
        <v>2172</v>
      </c>
      <c r="E3065" s="0" t="n">
        <v>42</v>
      </c>
      <c r="F3065" s="0" t="s">
        <v>81</v>
      </c>
      <c r="I3065" s="0" t="n">
        <v>4462</v>
      </c>
      <c r="J3065" s="0" t="n">
        <v>100017</v>
      </c>
      <c r="K3065" s="0" t="n">
        <v>18</v>
      </c>
      <c r="L3065" s="0" t="s">
        <v>2237</v>
      </c>
      <c r="N3065" s="0" t="n">
        <v>2.23</v>
      </c>
      <c r="O3065" s="60" t="n">
        <v>116.2</v>
      </c>
    </row>
    <row r="3066" customFormat="false" ht="15" hidden="false" customHeight="false" outlineLevel="0" collapsed="false">
      <c r="A3066" s="0" t="n">
        <v>3</v>
      </c>
      <c r="B3066" s="59" t="n">
        <v>46239</v>
      </c>
      <c r="C3066" s="0" t="n">
        <v>22</v>
      </c>
      <c r="D3066" s="0" t="s">
        <v>2172</v>
      </c>
      <c r="E3066" s="0" t="n">
        <v>42</v>
      </c>
      <c r="F3066" s="0" t="s">
        <v>81</v>
      </c>
      <c r="I3066" s="0" t="n">
        <v>4462</v>
      </c>
      <c r="J3066" s="0" t="n">
        <v>100019</v>
      </c>
      <c r="K3066" s="0" t="n">
        <v>20</v>
      </c>
      <c r="L3066" s="0" t="s">
        <v>2795</v>
      </c>
      <c r="N3066" s="0" t="n">
        <v>0.538</v>
      </c>
      <c r="O3066" s="60" t="n">
        <v>18.54</v>
      </c>
    </row>
    <row r="3067" customFormat="false" ht="15" hidden="false" customHeight="false" outlineLevel="0" collapsed="false">
      <c r="A3067" s="0" t="n">
        <v>3</v>
      </c>
      <c r="B3067" s="59" t="n">
        <v>46239</v>
      </c>
      <c r="C3067" s="0" t="n">
        <v>22</v>
      </c>
      <c r="D3067" s="0" t="s">
        <v>2172</v>
      </c>
      <c r="E3067" s="0" t="n">
        <v>42</v>
      </c>
      <c r="F3067" s="0" t="s">
        <v>81</v>
      </c>
      <c r="I3067" s="0" t="n">
        <v>4462</v>
      </c>
      <c r="J3067" s="0" t="n">
        <v>100019</v>
      </c>
      <c r="K3067" s="0" t="n">
        <v>20</v>
      </c>
      <c r="L3067" s="0" t="s">
        <v>2795</v>
      </c>
      <c r="N3067" s="0" t="n">
        <v>2.714</v>
      </c>
      <c r="O3067" s="60" t="n">
        <v>79.27</v>
      </c>
    </row>
    <row r="3068" customFormat="false" ht="15" hidden="false" customHeight="false" outlineLevel="0" collapsed="false">
      <c r="A3068" s="0" t="n">
        <v>3</v>
      </c>
      <c r="B3068" s="59" t="n">
        <v>46239</v>
      </c>
      <c r="C3068" s="0" t="n">
        <v>22</v>
      </c>
      <c r="D3068" s="0" t="s">
        <v>2172</v>
      </c>
      <c r="E3068" s="0" t="n">
        <v>42</v>
      </c>
      <c r="F3068" s="0" t="s">
        <v>81</v>
      </c>
      <c r="I3068" s="0" t="n">
        <v>4462</v>
      </c>
      <c r="J3068" s="0" t="n">
        <v>100053</v>
      </c>
      <c r="K3068" s="0" t="n">
        <v>54</v>
      </c>
      <c r="L3068" s="0" t="s">
        <v>2238</v>
      </c>
      <c r="N3068" s="0" t="n">
        <v>2.438</v>
      </c>
      <c r="O3068" s="60" t="n">
        <v>87.94</v>
      </c>
    </row>
    <row r="3069" customFormat="false" ht="15" hidden="false" customHeight="false" outlineLevel="0" collapsed="false">
      <c r="A3069" s="0" t="n">
        <v>3</v>
      </c>
      <c r="B3069" s="59" t="n">
        <v>46239</v>
      </c>
      <c r="C3069" s="0" t="n">
        <v>22</v>
      </c>
      <c r="D3069" s="0" t="s">
        <v>2172</v>
      </c>
      <c r="E3069" s="0" t="n">
        <v>42</v>
      </c>
      <c r="F3069" s="0" t="s">
        <v>81</v>
      </c>
      <c r="I3069" s="0" t="n">
        <v>4462</v>
      </c>
      <c r="J3069" s="0" t="n">
        <v>100638</v>
      </c>
      <c r="K3069" s="0" t="n">
        <v>508</v>
      </c>
      <c r="L3069" s="0" t="s">
        <v>2178</v>
      </c>
      <c r="N3069" s="0" t="n">
        <v>1.83</v>
      </c>
      <c r="O3069" s="60" t="n">
        <v>2.92</v>
      </c>
    </row>
    <row r="3070" customFormat="false" ht="15" hidden="false" customHeight="false" outlineLevel="0" collapsed="false">
      <c r="A3070" s="0" t="n">
        <v>3</v>
      </c>
      <c r="B3070" s="59" t="n">
        <v>46239</v>
      </c>
      <c r="C3070" s="0" t="n">
        <v>22</v>
      </c>
      <c r="D3070" s="0" t="s">
        <v>2172</v>
      </c>
      <c r="E3070" s="0" t="n">
        <v>42</v>
      </c>
      <c r="F3070" s="0" t="s">
        <v>81</v>
      </c>
      <c r="I3070" s="0" t="n">
        <v>4462</v>
      </c>
      <c r="J3070" s="0" t="n">
        <v>100638</v>
      </c>
      <c r="K3070" s="0" t="n">
        <v>508</v>
      </c>
      <c r="L3070" s="0" t="s">
        <v>2178</v>
      </c>
      <c r="N3070" s="0" t="n">
        <v>1.2</v>
      </c>
      <c r="O3070" s="60" t="n">
        <v>1.62</v>
      </c>
    </row>
    <row r="3071" customFormat="false" ht="15" hidden="false" customHeight="false" outlineLevel="0" collapsed="false">
      <c r="A3071" s="0" t="n">
        <v>3</v>
      </c>
      <c r="B3071" s="59" t="n">
        <v>46239</v>
      </c>
      <c r="C3071" s="0" t="n">
        <v>22</v>
      </c>
      <c r="D3071" s="0" t="s">
        <v>2172</v>
      </c>
      <c r="E3071" s="0" t="n">
        <v>42</v>
      </c>
      <c r="F3071" s="0" t="s">
        <v>81</v>
      </c>
      <c r="I3071" s="0" t="n">
        <v>4462</v>
      </c>
      <c r="J3071" s="0" t="n">
        <v>100520</v>
      </c>
      <c r="K3071" s="0" t="n">
        <v>507</v>
      </c>
      <c r="L3071" s="0" t="s">
        <v>2179</v>
      </c>
      <c r="N3071" s="0" t="n">
        <v>9.863</v>
      </c>
      <c r="O3071" s="60" t="n">
        <v>23.64</v>
      </c>
    </row>
    <row r="3072" customFormat="false" ht="15" hidden="false" customHeight="false" outlineLevel="0" collapsed="false">
      <c r="A3072" s="0" t="n">
        <v>3</v>
      </c>
      <c r="B3072" s="59" t="n">
        <v>46239</v>
      </c>
      <c r="C3072" s="0" t="n">
        <v>22</v>
      </c>
      <c r="D3072" s="0" t="s">
        <v>2172</v>
      </c>
      <c r="E3072" s="0" t="n">
        <v>42</v>
      </c>
      <c r="F3072" s="0" t="s">
        <v>81</v>
      </c>
      <c r="I3072" s="0" t="n">
        <v>4462</v>
      </c>
      <c r="J3072" s="0" t="n">
        <v>110455</v>
      </c>
      <c r="K3072" s="0" t="n">
        <v>53212</v>
      </c>
      <c r="L3072" s="0" t="s">
        <v>2180</v>
      </c>
      <c r="N3072" s="0" t="n">
        <v>0.503</v>
      </c>
      <c r="O3072" s="60" t="n">
        <v>0.01</v>
      </c>
    </row>
    <row r="3073" customFormat="false" ht="15" hidden="false" customHeight="false" outlineLevel="0" collapsed="false">
      <c r="A3073" s="0" t="n">
        <v>3</v>
      </c>
      <c r="B3073" s="59" t="n">
        <v>46239</v>
      </c>
      <c r="C3073" s="0" t="n">
        <v>22</v>
      </c>
      <c r="D3073" s="0" t="s">
        <v>2172</v>
      </c>
      <c r="E3073" s="0" t="n">
        <v>42</v>
      </c>
      <c r="F3073" s="0" t="s">
        <v>81</v>
      </c>
      <c r="I3073" s="0" t="n">
        <v>4462</v>
      </c>
      <c r="J3073" s="0" t="n">
        <v>110455</v>
      </c>
      <c r="K3073" s="0" t="n">
        <v>53212</v>
      </c>
      <c r="L3073" s="0" t="s">
        <v>2180</v>
      </c>
      <c r="N3073" s="0" t="n">
        <v>0.705</v>
      </c>
      <c r="O3073" s="60" t="n">
        <v>0.03</v>
      </c>
    </row>
    <row r="3074" customFormat="false" ht="15" hidden="false" customHeight="false" outlineLevel="0" collapsed="false">
      <c r="A3074" s="0" t="n">
        <v>3</v>
      </c>
      <c r="B3074" s="59" t="n">
        <v>46239</v>
      </c>
      <c r="C3074" s="0" t="n">
        <v>100</v>
      </c>
      <c r="D3074" s="0" t="s">
        <v>2181</v>
      </c>
      <c r="E3074" s="0" t="n">
        <v>42</v>
      </c>
      <c r="F3074" s="0" t="s">
        <v>81</v>
      </c>
      <c r="I3074" s="0" t="n">
        <v>1503392</v>
      </c>
      <c r="J3074" s="0" t="n">
        <v>100000</v>
      </c>
      <c r="K3074" s="0" t="n">
        <v>1</v>
      </c>
      <c r="L3074" s="0" t="s">
        <v>2173</v>
      </c>
      <c r="N3074" s="0" t="n">
        <v>3.062</v>
      </c>
      <c r="O3074" s="60" t="n">
        <v>60.31</v>
      </c>
    </row>
    <row r="3075" customFormat="false" ht="15" hidden="false" customHeight="false" outlineLevel="0" collapsed="false">
      <c r="A3075" s="0" t="n">
        <v>3</v>
      </c>
      <c r="B3075" s="59" t="n">
        <v>46239</v>
      </c>
      <c r="C3075" s="0" t="n">
        <v>100</v>
      </c>
      <c r="D3075" s="0" t="s">
        <v>2181</v>
      </c>
      <c r="E3075" s="0" t="n">
        <v>42</v>
      </c>
      <c r="F3075" s="0" t="s">
        <v>81</v>
      </c>
      <c r="I3075" s="0" t="n">
        <v>1503392</v>
      </c>
      <c r="J3075" s="0" t="n">
        <v>100001</v>
      </c>
      <c r="K3075" s="0" t="n">
        <v>2</v>
      </c>
      <c r="L3075" s="0" t="s">
        <v>2174</v>
      </c>
      <c r="N3075" s="0" t="n">
        <v>8.625</v>
      </c>
      <c r="O3075" s="60" t="n">
        <v>181.61</v>
      </c>
    </row>
    <row r="3076" customFormat="false" ht="15" hidden="false" customHeight="false" outlineLevel="0" collapsed="false">
      <c r="A3076" s="0" t="n">
        <v>3</v>
      </c>
      <c r="B3076" s="59" t="n">
        <v>46239</v>
      </c>
      <c r="C3076" s="0" t="n">
        <v>100</v>
      </c>
      <c r="D3076" s="0" t="s">
        <v>2181</v>
      </c>
      <c r="E3076" s="0" t="n">
        <v>42</v>
      </c>
      <c r="F3076" s="0" t="s">
        <v>81</v>
      </c>
      <c r="I3076" s="0" t="n">
        <v>1503392</v>
      </c>
      <c r="J3076" s="0" t="n">
        <v>100002</v>
      </c>
      <c r="K3076" s="0" t="n">
        <v>3</v>
      </c>
      <c r="L3076" s="0" t="s">
        <v>2175</v>
      </c>
      <c r="N3076" s="0" t="n">
        <v>20.58</v>
      </c>
      <c r="O3076" s="60" t="n">
        <v>447.31</v>
      </c>
    </row>
    <row r="3077" customFormat="false" ht="15" hidden="false" customHeight="false" outlineLevel="0" collapsed="false">
      <c r="A3077" s="0" t="n">
        <v>3</v>
      </c>
      <c r="B3077" s="59" t="n">
        <v>46239</v>
      </c>
      <c r="C3077" s="0" t="n">
        <v>100</v>
      </c>
      <c r="D3077" s="0" t="s">
        <v>2181</v>
      </c>
      <c r="E3077" s="0" t="n">
        <v>42</v>
      </c>
      <c r="F3077" s="0" t="s">
        <v>81</v>
      </c>
      <c r="I3077" s="0" t="n">
        <v>1503392</v>
      </c>
      <c r="J3077" s="0" t="n">
        <v>100003</v>
      </c>
      <c r="K3077" s="0" t="n">
        <v>4</v>
      </c>
      <c r="L3077" s="0" t="s">
        <v>2176</v>
      </c>
      <c r="N3077" s="0" t="n">
        <v>18.07</v>
      </c>
      <c r="O3077" s="60" t="n">
        <v>429.59</v>
      </c>
    </row>
    <row r="3078" customFormat="false" ht="15" hidden="false" customHeight="false" outlineLevel="0" collapsed="false">
      <c r="A3078" s="0" t="n">
        <v>3</v>
      </c>
      <c r="B3078" s="59" t="n">
        <v>46239</v>
      </c>
      <c r="C3078" s="0" t="n">
        <v>100</v>
      </c>
      <c r="D3078" s="0" t="s">
        <v>2181</v>
      </c>
      <c r="E3078" s="0" t="n">
        <v>42</v>
      </c>
      <c r="F3078" s="0" t="s">
        <v>81</v>
      </c>
      <c r="I3078" s="0" t="n">
        <v>1503392</v>
      </c>
      <c r="J3078" s="0" t="n">
        <v>100007</v>
      </c>
      <c r="K3078" s="0" t="n">
        <v>8</v>
      </c>
      <c r="L3078" s="0" t="s">
        <v>2177</v>
      </c>
      <c r="N3078" s="0" t="n">
        <v>4.446</v>
      </c>
      <c r="O3078" s="60" t="n">
        <v>102.68</v>
      </c>
    </row>
    <row r="3079" customFormat="false" ht="15" hidden="false" customHeight="false" outlineLevel="0" collapsed="false">
      <c r="A3079" s="0" t="n">
        <v>3</v>
      </c>
      <c r="B3079" s="59" t="n">
        <v>46239</v>
      </c>
      <c r="C3079" s="0" t="n">
        <v>100</v>
      </c>
      <c r="D3079" s="0" t="s">
        <v>2181</v>
      </c>
      <c r="E3079" s="0" t="n">
        <v>42</v>
      </c>
      <c r="F3079" s="0" t="s">
        <v>81</v>
      </c>
      <c r="I3079" s="0" t="n">
        <v>1503392</v>
      </c>
      <c r="J3079" s="0" t="n">
        <v>100019</v>
      </c>
      <c r="K3079" s="0" t="n">
        <v>20</v>
      </c>
      <c r="L3079" s="0" t="s">
        <v>2795</v>
      </c>
      <c r="N3079" s="0" t="n">
        <v>2.714</v>
      </c>
      <c r="O3079" s="60" t="n">
        <v>79.27</v>
      </c>
    </row>
    <row r="3080" customFormat="false" ht="15" hidden="false" customHeight="false" outlineLevel="0" collapsed="false">
      <c r="A3080" s="0" t="n">
        <v>3</v>
      </c>
      <c r="B3080" s="59" t="n">
        <v>46239</v>
      </c>
      <c r="C3080" s="0" t="n">
        <v>100</v>
      </c>
      <c r="D3080" s="0" t="s">
        <v>2181</v>
      </c>
      <c r="E3080" s="0" t="n">
        <v>42</v>
      </c>
      <c r="F3080" s="0" t="s">
        <v>81</v>
      </c>
      <c r="I3080" s="0" t="n">
        <v>1503392</v>
      </c>
      <c r="J3080" s="0" t="n">
        <v>100638</v>
      </c>
      <c r="K3080" s="0" t="n">
        <v>508</v>
      </c>
      <c r="L3080" s="0" t="s">
        <v>2178</v>
      </c>
      <c r="N3080" s="0" t="n">
        <v>1.2</v>
      </c>
      <c r="O3080" s="60" t="n">
        <v>1.62</v>
      </c>
    </row>
    <row r="3081" customFormat="false" ht="15" hidden="false" customHeight="false" outlineLevel="0" collapsed="false">
      <c r="A3081" s="0" t="n">
        <v>3</v>
      </c>
      <c r="B3081" s="59" t="n">
        <v>46239</v>
      </c>
      <c r="C3081" s="0" t="n">
        <v>100</v>
      </c>
      <c r="D3081" s="0" t="s">
        <v>2181</v>
      </c>
      <c r="E3081" s="0" t="n">
        <v>42</v>
      </c>
      <c r="F3081" s="0" t="s">
        <v>81</v>
      </c>
      <c r="I3081" s="0" t="n">
        <v>1503392</v>
      </c>
      <c r="J3081" s="0" t="n">
        <v>110455</v>
      </c>
      <c r="K3081" s="0" t="n">
        <v>53212</v>
      </c>
      <c r="L3081" s="0" t="s">
        <v>2180</v>
      </c>
      <c r="N3081" s="0" t="n">
        <v>0.503</v>
      </c>
      <c r="O3081" s="60" t="n">
        <v>0.01</v>
      </c>
    </row>
    <row r="3082" customFormat="false" ht="15" hidden="false" customHeight="false" outlineLevel="0" collapsed="false">
      <c r="A3082" s="0" t="n">
        <v>3</v>
      </c>
      <c r="B3082" s="59" t="n">
        <v>46239</v>
      </c>
      <c r="C3082" s="0" t="n">
        <v>100</v>
      </c>
      <c r="D3082" s="0" t="s">
        <v>2181</v>
      </c>
      <c r="E3082" s="0" t="n">
        <v>42</v>
      </c>
      <c r="F3082" s="0" t="s">
        <v>81</v>
      </c>
      <c r="I3082" s="0" t="n">
        <v>1503396</v>
      </c>
      <c r="J3082" s="0" t="n">
        <v>100000</v>
      </c>
      <c r="K3082" s="0" t="n">
        <v>1</v>
      </c>
      <c r="L3082" s="0" t="s">
        <v>2173</v>
      </c>
      <c r="N3082" s="0" t="n">
        <v>2.446</v>
      </c>
      <c r="O3082" s="60" t="n">
        <v>56.85</v>
      </c>
    </row>
    <row r="3083" customFormat="false" ht="15" hidden="false" customHeight="false" outlineLevel="0" collapsed="false">
      <c r="A3083" s="0" t="n">
        <v>3</v>
      </c>
      <c r="B3083" s="59" t="n">
        <v>46239</v>
      </c>
      <c r="C3083" s="0" t="n">
        <v>100</v>
      </c>
      <c r="D3083" s="0" t="s">
        <v>2181</v>
      </c>
      <c r="E3083" s="0" t="n">
        <v>42</v>
      </c>
      <c r="F3083" s="0" t="s">
        <v>81</v>
      </c>
      <c r="I3083" s="0" t="n">
        <v>1503396</v>
      </c>
      <c r="J3083" s="0" t="n">
        <v>100006</v>
      </c>
      <c r="K3083" s="0" t="n">
        <v>7</v>
      </c>
      <c r="L3083" s="0" t="s">
        <v>2228</v>
      </c>
      <c r="N3083" s="0" t="n">
        <v>2.924</v>
      </c>
      <c r="O3083" s="60" t="n">
        <v>93.75</v>
      </c>
    </row>
    <row r="3084" customFormat="false" ht="15" hidden="false" customHeight="false" outlineLevel="0" collapsed="false">
      <c r="A3084" s="0" t="n">
        <v>3</v>
      </c>
      <c r="B3084" s="59" t="n">
        <v>46239</v>
      </c>
      <c r="C3084" s="0" t="n">
        <v>100</v>
      </c>
      <c r="D3084" s="0" t="s">
        <v>2181</v>
      </c>
      <c r="E3084" s="0" t="n">
        <v>42</v>
      </c>
      <c r="F3084" s="0" t="s">
        <v>81</v>
      </c>
      <c r="I3084" s="0" t="n">
        <v>1503396</v>
      </c>
      <c r="J3084" s="0" t="n">
        <v>100007</v>
      </c>
      <c r="K3084" s="0" t="n">
        <v>8</v>
      </c>
      <c r="L3084" s="0" t="s">
        <v>2177</v>
      </c>
      <c r="N3084" s="0" t="n">
        <v>1.804</v>
      </c>
      <c r="O3084" s="60" t="n">
        <v>49.16</v>
      </c>
    </row>
    <row r="3085" customFormat="false" ht="15" hidden="false" customHeight="false" outlineLevel="0" collapsed="false">
      <c r="A3085" s="0" t="n">
        <v>3</v>
      </c>
      <c r="B3085" s="59" t="n">
        <v>46239</v>
      </c>
      <c r="C3085" s="0" t="n">
        <v>100</v>
      </c>
      <c r="D3085" s="0" t="s">
        <v>2181</v>
      </c>
      <c r="E3085" s="0" t="n">
        <v>42</v>
      </c>
      <c r="F3085" s="0" t="s">
        <v>81</v>
      </c>
      <c r="I3085" s="0" t="n">
        <v>1503396</v>
      </c>
      <c r="J3085" s="0" t="n">
        <v>100008</v>
      </c>
      <c r="K3085" s="0" t="n">
        <v>9</v>
      </c>
      <c r="L3085" s="0" t="s">
        <v>2229</v>
      </c>
      <c r="N3085" s="0" t="n">
        <v>14.135</v>
      </c>
      <c r="O3085" s="60" t="n">
        <v>464.55</v>
      </c>
    </row>
    <row r="3086" customFormat="false" ht="15" hidden="false" customHeight="false" outlineLevel="0" collapsed="false">
      <c r="A3086" s="0" t="n">
        <v>3</v>
      </c>
      <c r="B3086" s="59" t="n">
        <v>46239</v>
      </c>
      <c r="C3086" s="0" t="n">
        <v>100</v>
      </c>
      <c r="D3086" s="0" t="s">
        <v>2181</v>
      </c>
      <c r="E3086" s="0" t="n">
        <v>42</v>
      </c>
      <c r="F3086" s="0" t="s">
        <v>81</v>
      </c>
      <c r="I3086" s="0" t="n">
        <v>1503396</v>
      </c>
      <c r="J3086" s="0" t="n">
        <v>100010</v>
      </c>
      <c r="K3086" s="0" t="n">
        <v>11</v>
      </c>
      <c r="L3086" s="0" t="s">
        <v>2230</v>
      </c>
      <c r="N3086" s="0" t="n">
        <v>3.068</v>
      </c>
      <c r="O3086" s="60" t="n">
        <v>115.59</v>
      </c>
    </row>
    <row r="3087" customFormat="false" ht="15" hidden="false" customHeight="false" outlineLevel="0" collapsed="false">
      <c r="A3087" s="0" t="n">
        <v>3</v>
      </c>
      <c r="B3087" s="59" t="n">
        <v>46239</v>
      </c>
      <c r="C3087" s="0" t="n">
        <v>100</v>
      </c>
      <c r="D3087" s="0" t="s">
        <v>2181</v>
      </c>
      <c r="E3087" s="0" t="n">
        <v>42</v>
      </c>
      <c r="F3087" s="0" t="s">
        <v>81</v>
      </c>
      <c r="I3087" s="0" t="n">
        <v>1503396</v>
      </c>
      <c r="J3087" s="0" t="n">
        <v>100011</v>
      </c>
      <c r="K3087" s="0" t="n">
        <v>12</v>
      </c>
      <c r="L3087" s="0" t="s">
        <v>2231</v>
      </c>
      <c r="N3087" s="0" t="n">
        <v>5.546</v>
      </c>
      <c r="O3087" s="60" t="n">
        <v>208.95</v>
      </c>
    </row>
    <row r="3088" customFormat="false" ht="15" hidden="false" customHeight="false" outlineLevel="0" collapsed="false">
      <c r="A3088" s="0" t="n">
        <v>3</v>
      </c>
      <c r="B3088" s="59" t="n">
        <v>46239</v>
      </c>
      <c r="C3088" s="0" t="n">
        <v>100</v>
      </c>
      <c r="D3088" s="0" t="s">
        <v>2181</v>
      </c>
      <c r="E3088" s="0" t="n">
        <v>42</v>
      </c>
      <c r="F3088" s="0" t="s">
        <v>81</v>
      </c>
      <c r="I3088" s="0" t="n">
        <v>1503396</v>
      </c>
      <c r="J3088" s="0" t="n">
        <v>100012</v>
      </c>
      <c r="K3088" s="0" t="n">
        <v>13</v>
      </c>
      <c r="L3088" s="0" t="s">
        <v>2232</v>
      </c>
      <c r="N3088" s="0" t="n">
        <v>5.35</v>
      </c>
      <c r="O3088" s="60" t="n">
        <v>218.72</v>
      </c>
    </row>
    <row r="3089" customFormat="false" ht="15" hidden="false" customHeight="false" outlineLevel="0" collapsed="false">
      <c r="A3089" s="0" t="n">
        <v>3</v>
      </c>
      <c r="B3089" s="59" t="n">
        <v>46239</v>
      </c>
      <c r="C3089" s="0" t="n">
        <v>100</v>
      </c>
      <c r="D3089" s="0" t="s">
        <v>2181</v>
      </c>
      <c r="E3089" s="0" t="n">
        <v>42</v>
      </c>
      <c r="F3089" s="0" t="s">
        <v>81</v>
      </c>
      <c r="I3089" s="0" t="n">
        <v>1503396</v>
      </c>
      <c r="J3089" s="0" t="n">
        <v>100013</v>
      </c>
      <c r="K3089" s="0" t="n">
        <v>14</v>
      </c>
      <c r="L3089" s="0" t="s">
        <v>2233</v>
      </c>
      <c r="N3089" s="0" t="n">
        <v>10.375</v>
      </c>
      <c r="O3089" s="60" t="n">
        <v>457.44</v>
      </c>
    </row>
    <row r="3090" customFormat="false" ht="15" hidden="false" customHeight="false" outlineLevel="0" collapsed="false">
      <c r="A3090" s="0" t="n">
        <v>3</v>
      </c>
      <c r="B3090" s="59" t="n">
        <v>46239</v>
      </c>
      <c r="C3090" s="0" t="n">
        <v>100</v>
      </c>
      <c r="D3090" s="0" t="s">
        <v>2181</v>
      </c>
      <c r="E3090" s="0" t="n">
        <v>42</v>
      </c>
      <c r="F3090" s="0" t="s">
        <v>81</v>
      </c>
      <c r="I3090" s="0" t="n">
        <v>1503396</v>
      </c>
      <c r="J3090" s="0" t="n">
        <v>100014</v>
      </c>
      <c r="K3090" s="0" t="n">
        <v>15</v>
      </c>
      <c r="L3090" s="0" t="s">
        <v>2234</v>
      </c>
      <c r="N3090" s="0" t="n">
        <v>4.33</v>
      </c>
      <c r="O3090" s="60" t="n">
        <v>194.38</v>
      </c>
    </row>
    <row r="3091" customFormat="false" ht="15" hidden="false" customHeight="false" outlineLevel="0" collapsed="false">
      <c r="A3091" s="0" t="n">
        <v>3</v>
      </c>
      <c r="B3091" s="59" t="n">
        <v>46239</v>
      </c>
      <c r="C3091" s="0" t="n">
        <v>100</v>
      </c>
      <c r="D3091" s="0" t="s">
        <v>2181</v>
      </c>
      <c r="E3091" s="0" t="n">
        <v>42</v>
      </c>
      <c r="F3091" s="0" t="s">
        <v>81</v>
      </c>
      <c r="I3091" s="0" t="n">
        <v>1503396</v>
      </c>
      <c r="J3091" s="0" t="n">
        <v>100015</v>
      </c>
      <c r="K3091" s="0" t="n">
        <v>16</v>
      </c>
      <c r="L3091" s="0" t="s">
        <v>2235</v>
      </c>
      <c r="N3091" s="0" t="n">
        <v>1.902</v>
      </c>
      <c r="O3091" s="60" t="n">
        <v>77.76</v>
      </c>
    </row>
    <row r="3092" customFormat="false" ht="15" hidden="false" customHeight="false" outlineLevel="0" collapsed="false">
      <c r="A3092" s="0" t="n">
        <v>3</v>
      </c>
      <c r="B3092" s="59" t="n">
        <v>46239</v>
      </c>
      <c r="C3092" s="0" t="n">
        <v>100</v>
      </c>
      <c r="D3092" s="0" t="s">
        <v>2181</v>
      </c>
      <c r="E3092" s="0" t="n">
        <v>42</v>
      </c>
      <c r="F3092" s="0" t="s">
        <v>81</v>
      </c>
      <c r="I3092" s="0" t="n">
        <v>1503396</v>
      </c>
      <c r="J3092" s="0" t="n">
        <v>100016</v>
      </c>
      <c r="K3092" s="0" t="n">
        <v>17</v>
      </c>
      <c r="L3092" s="0" t="s">
        <v>2236</v>
      </c>
      <c r="N3092" s="0" t="n">
        <v>3.066</v>
      </c>
      <c r="O3092" s="60" t="n">
        <v>135.18</v>
      </c>
    </row>
    <row r="3093" customFormat="false" ht="15" hidden="false" customHeight="false" outlineLevel="0" collapsed="false">
      <c r="A3093" s="0" t="n">
        <v>3</v>
      </c>
      <c r="B3093" s="59" t="n">
        <v>46239</v>
      </c>
      <c r="C3093" s="0" t="n">
        <v>100</v>
      </c>
      <c r="D3093" s="0" t="s">
        <v>2181</v>
      </c>
      <c r="E3093" s="0" t="n">
        <v>42</v>
      </c>
      <c r="F3093" s="0" t="s">
        <v>81</v>
      </c>
      <c r="I3093" s="0" t="n">
        <v>1503396</v>
      </c>
      <c r="J3093" s="0" t="n">
        <v>100017</v>
      </c>
      <c r="K3093" s="0" t="n">
        <v>18</v>
      </c>
      <c r="L3093" s="0" t="s">
        <v>2237</v>
      </c>
      <c r="N3093" s="0" t="n">
        <v>2.23</v>
      </c>
      <c r="O3093" s="60" t="n">
        <v>116.2</v>
      </c>
    </row>
    <row r="3094" customFormat="false" ht="15" hidden="false" customHeight="false" outlineLevel="0" collapsed="false">
      <c r="A3094" s="0" t="n">
        <v>3</v>
      </c>
      <c r="B3094" s="59" t="n">
        <v>46239</v>
      </c>
      <c r="C3094" s="0" t="n">
        <v>100</v>
      </c>
      <c r="D3094" s="0" t="s">
        <v>2181</v>
      </c>
      <c r="E3094" s="0" t="n">
        <v>42</v>
      </c>
      <c r="F3094" s="0" t="s">
        <v>81</v>
      </c>
      <c r="I3094" s="0" t="n">
        <v>1503396</v>
      </c>
      <c r="J3094" s="0" t="n">
        <v>100019</v>
      </c>
      <c r="K3094" s="0" t="n">
        <v>20</v>
      </c>
      <c r="L3094" s="0" t="s">
        <v>2795</v>
      </c>
      <c r="N3094" s="0" t="n">
        <v>0.538</v>
      </c>
      <c r="O3094" s="60" t="n">
        <v>18.54</v>
      </c>
    </row>
    <row r="3095" customFormat="false" ht="15" hidden="false" customHeight="false" outlineLevel="0" collapsed="false">
      <c r="A3095" s="0" t="n">
        <v>3</v>
      </c>
      <c r="B3095" s="59" t="n">
        <v>46239</v>
      </c>
      <c r="C3095" s="0" t="n">
        <v>100</v>
      </c>
      <c r="D3095" s="0" t="s">
        <v>2181</v>
      </c>
      <c r="E3095" s="0" t="n">
        <v>42</v>
      </c>
      <c r="F3095" s="0" t="s">
        <v>81</v>
      </c>
      <c r="I3095" s="0" t="n">
        <v>1503396</v>
      </c>
      <c r="J3095" s="0" t="n">
        <v>100053</v>
      </c>
      <c r="K3095" s="0" t="n">
        <v>54</v>
      </c>
      <c r="L3095" s="0" t="s">
        <v>2238</v>
      </c>
      <c r="N3095" s="0" t="n">
        <v>2.438</v>
      </c>
      <c r="O3095" s="60" t="n">
        <v>87.94</v>
      </c>
    </row>
    <row r="3096" customFormat="false" ht="15" hidden="false" customHeight="false" outlineLevel="0" collapsed="false">
      <c r="A3096" s="0" t="n">
        <v>3</v>
      </c>
      <c r="B3096" s="59" t="n">
        <v>46239</v>
      </c>
      <c r="C3096" s="0" t="n">
        <v>100</v>
      </c>
      <c r="D3096" s="0" t="s">
        <v>2181</v>
      </c>
      <c r="E3096" s="0" t="n">
        <v>42</v>
      </c>
      <c r="F3096" s="0" t="s">
        <v>81</v>
      </c>
      <c r="I3096" s="0" t="n">
        <v>1503396</v>
      </c>
      <c r="J3096" s="0" t="n">
        <v>100638</v>
      </c>
      <c r="K3096" s="0" t="n">
        <v>508</v>
      </c>
      <c r="L3096" s="0" t="s">
        <v>2178</v>
      </c>
      <c r="N3096" s="0" t="n">
        <v>1.83</v>
      </c>
      <c r="O3096" s="60" t="n">
        <v>2.92</v>
      </c>
    </row>
    <row r="3097" customFormat="false" ht="15" hidden="false" customHeight="false" outlineLevel="0" collapsed="false">
      <c r="A3097" s="0" t="n">
        <v>3</v>
      </c>
      <c r="B3097" s="59" t="n">
        <v>46239</v>
      </c>
      <c r="C3097" s="0" t="n">
        <v>100</v>
      </c>
      <c r="D3097" s="0" t="s">
        <v>2181</v>
      </c>
      <c r="E3097" s="0" t="n">
        <v>42</v>
      </c>
      <c r="F3097" s="0" t="s">
        <v>81</v>
      </c>
      <c r="I3097" s="0" t="n">
        <v>1503396</v>
      </c>
      <c r="J3097" s="0" t="n">
        <v>100520</v>
      </c>
      <c r="K3097" s="0" t="n">
        <v>507</v>
      </c>
      <c r="L3097" s="0" t="s">
        <v>2179</v>
      </c>
      <c r="N3097" s="0" t="n">
        <v>9.863</v>
      </c>
      <c r="O3097" s="60" t="n">
        <v>23.64</v>
      </c>
    </row>
    <row r="3098" customFormat="false" ht="15" hidden="false" customHeight="false" outlineLevel="0" collapsed="false">
      <c r="A3098" s="0" t="n">
        <v>3</v>
      </c>
      <c r="B3098" s="59" t="n">
        <v>46239</v>
      </c>
      <c r="C3098" s="0" t="n">
        <v>100</v>
      </c>
      <c r="D3098" s="0" t="s">
        <v>2181</v>
      </c>
      <c r="E3098" s="0" t="n">
        <v>42</v>
      </c>
      <c r="F3098" s="0" t="s">
        <v>81</v>
      </c>
      <c r="I3098" s="0" t="n">
        <v>1503396</v>
      </c>
      <c r="J3098" s="0" t="n">
        <v>110455</v>
      </c>
      <c r="K3098" s="0" t="n">
        <v>53212</v>
      </c>
      <c r="L3098" s="0" t="s">
        <v>2180</v>
      </c>
      <c r="N3098" s="0" t="n">
        <v>0.705</v>
      </c>
      <c r="O3098" s="60" t="n">
        <v>0.03</v>
      </c>
    </row>
    <row r="3099" customFormat="false" ht="15" hidden="false" customHeight="false" outlineLevel="0" collapsed="false">
      <c r="A3099" s="0" t="n">
        <v>3</v>
      </c>
      <c r="B3099" s="59" t="n">
        <v>46240</v>
      </c>
      <c r="C3099" s="0" t="n">
        <v>6</v>
      </c>
      <c r="D3099" s="0" t="s">
        <v>2125</v>
      </c>
      <c r="E3099" s="0" t="n">
        <v>42</v>
      </c>
      <c r="F3099" s="0" t="s">
        <v>81</v>
      </c>
      <c r="I3099" s="0" t="n">
        <v>4467</v>
      </c>
      <c r="J3099" s="0" t="n">
        <v>109791</v>
      </c>
      <c r="K3099" s="0" t="n">
        <v>9667</v>
      </c>
      <c r="L3099" s="0" t="s">
        <v>2123</v>
      </c>
      <c r="N3099" s="0" t="n">
        <v>8</v>
      </c>
      <c r="O3099" s="60" t="n">
        <v>20</v>
      </c>
    </row>
    <row r="3100" customFormat="false" ht="15" hidden="false" customHeight="false" outlineLevel="0" collapsed="false">
      <c r="A3100" s="0" t="n">
        <v>3</v>
      </c>
      <c r="B3100" s="59" t="n">
        <v>46240</v>
      </c>
      <c r="C3100" s="0" t="n">
        <v>6</v>
      </c>
      <c r="D3100" s="0" t="s">
        <v>2125</v>
      </c>
      <c r="E3100" s="0" t="n">
        <v>42</v>
      </c>
      <c r="F3100" s="0" t="s">
        <v>81</v>
      </c>
      <c r="I3100" s="0" t="n">
        <v>4467</v>
      </c>
      <c r="J3100" s="0" t="n">
        <v>37359</v>
      </c>
      <c r="K3100" s="0" t="n">
        <v>55526</v>
      </c>
      <c r="L3100" s="0" t="s">
        <v>2194</v>
      </c>
      <c r="N3100" s="0" t="n">
        <v>5</v>
      </c>
      <c r="O3100" s="60" t="n">
        <v>25</v>
      </c>
    </row>
    <row r="3101" customFormat="false" ht="15" hidden="false" customHeight="false" outlineLevel="0" collapsed="false">
      <c r="A3101" s="0" t="n">
        <v>3</v>
      </c>
      <c r="B3101" s="59" t="n">
        <v>46240</v>
      </c>
      <c r="C3101" s="0" t="n">
        <v>6</v>
      </c>
      <c r="D3101" s="0" t="s">
        <v>2125</v>
      </c>
      <c r="E3101" s="0" t="n">
        <v>42</v>
      </c>
      <c r="F3101" s="0" t="s">
        <v>81</v>
      </c>
      <c r="I3101" s="0" t="n">
        <v>4467</v>
      </c>
      <c r="J3101" s="0" t="n">
        <v>37361</v>
      </c>
      <c r="K3101" s="0" t="n">
        <v>2240817</v>
      </c>
      <c r="L3101" s="0" t="s">
        <v>2124</v>
      </c>
      <c r="N3101" s="0" t="n">
        <v>50</v>
      </c>
      <c r="O3101" s="60" t="n">
        <v>100</v>
      </c>
    </row>
    <row r="3102" customFormat="false" ht="15" hidden="false" customHeight="false" outlineLevel="0" collapsed="false">
      <c r="A3102" s="0" t="n">
        <v>3</v>
      </c>
      <c r="B3102" s="59" t="n">
        <v>46240</v>
      </c>
      <c r="C3102" s="0" t="n">
        <v>6</v>
      </c>
      <c r="D3102" s="0" t="s">
        <v>2125</v>
      </c>
      <c r="E3102" s="0" t="n">
        <v>42</v>
      </c>
      <c r="F3102" s="0" t="s">
        <v>81</v>
      </c>
      <c r="I3102" s="0" t="n">
        <v>4468</v>
      </c>
      <c r="J3102" s="0" t="n">
        <v>100103</v>
      </c>
      <c r="K3102" s="0" t="n">
        <v>104</v>
      </c>
      <c r="L3102" s="0" t="s">
        <v>2193</v>
      </c>
      <c r="N3102" s="0" t="n">
        <v>20</v>
      </c>
      <c r="O3102" s="60" t="n">
        <v>125</v>
      </c>
    </row>
    <row r="3103" customFormat="false" ht="15" hidden="false" customHeight="false" outlineLevel="0" collapsed="false">
      <c r="A3103" s="0" t="n">
        <v>3</v>
      </c>
      <c r="B3103" s="59" t="n">
        <v>46240</v>
      </c>
      <c r="C3103" s="0" t="n">
        <v>11</v>
      </c>
      <c r="D3103" s="0" t="s">
        <v>2126</v>
      </c>
      <c r="E3103" s="0" t="n">
        <v>1643</v>
      </c>
      <c r="F3103" s="0" t="s">
        <v>199</v>
      </c>
      <c r="I3103" s="0" t="n">
        <v>10809</v>
      </c>
      <c r="J3103" s="0" t="n">
        <v>63172</v>
      </c>
      <c r="K3103" s="0" t="n">
        <v>7898928536526</v>
      </c>
      <c r="L3103" s="0" t="s">
        <v>2900</v>
      </c>
      <c r="N3103" s="0" t="n">
        <v>48</v>
      </c>
      <c r="O3103" s="60" t="n">
        <v>76</v>
      </c>
    </row>
    <row r="3104" customFormat="false" ht="15" hidden="false" customHeight="false" outlineLevel="0" collapsed="false">
      <c r="A3104" s="0" t="n">
        <v>3</v>
      </c>
      <c r="B3104" s="59" t="n">
        <v>46240</v>
      </c>
      <c r="C3104" s="0" t="n">
        <v>11</v>
      </c>
      <c r="D3104" s="0" t="s">
        <v>2126</v>
      </c>
      <c r="E3104" s="0" t="n">
        <v>1643</v>
      </c>
      <c r="F3104" s="0" t="s">
        <v>199</v>
      </c>
      <c r="I3104" s="0" t="n">
        <v>10809</v>
      </c>
      <c r="J3104" s="0" t="n">
        <v>63904</v>
      </c>
      <c r="K3104" s="0" t="n">
        <v>7898928536595</v>
      </c>
      <c r="L3104" s="0" t="s">
        <v>2901</v>
      </c>
      <c r="N3104" s="0" t="n">
        <v>48</v>
      </c>
      <c r="O3104" s="60" t="n">
        <v>76</v>
      </c>
    </row>
    <row r="3105" customFormat="false" ht="15" hidden="false" customHeight="false" outlineLevel="0" collapsed="false">
      <c r="A3105" s="0" t="n">
        <v>3</v>
      </c>
      <c r="B3105" s="59" t="n">
        <v>46240</v>
      </c>
      <c r="C3105" s="0" t="n">
        <v>11</v>
      </c>
      <c r="D3105" s="0" t="s">
        <v>2126</v>
      </c>
      <c r="E3105" s="0" t="n">
        <v>1643</v>
      </c>
      <c r="F3105" s="0" t="s">
        <v>199</v>
      </c>
      <c r="I3105" s="0" t="n">
        <v>10809</v>
      </c>
      <c r="J3105" s="0" t="n">
        <v>64175</v>
      </c>
      <c r="K3105" s="0" t="n">
        <v>7898928536533</v>
      </c>
      <c r="L3105" s="0" t="s">
        <v>2901</v>
      </c>
      <c r="N3105" s="0" t="n">
        <v>48</v>
      </c>
      <c r="O3105" s="60" t="n">
        <v>76</v>
      </c>
    </row>
    <row r="3106" customFormat="false" ht="15" hidden="false" customHeight="false" outlineLevel="0" collapsed="false">
      <c r="A3106" s="0" t="n">
        <v>3</v>
      </c>
      <c r="B3106" s="59" t="n">
        <v>46240</v>
      </c>
      <c r="C3106" s="0" t="n">
        <v>11</v>
      </c>
      <c r="D3106" s="0" t="s">
        <v>2126</v>
      </c>
      <c r="E3106" s="0" t="n">
        <v>1723</v>
      </c>
      <c r="F3106" s="0" t="s">
        <v>77</v>
      </c>
      <c r="I3106" s="0" t="n">
        <v>174381</v>
      </c>
      <c r="J3106" s="0" t="n">
        <v>29079</v>
      </c>
      <c r="K3106" s="0" t="n">
        <v>55515</v>
      </c>
      <c r="L3106" s="0" t="s">
        <v>2213</v>
      </c>
      <c r="N3106" s="0" t="n">
        <v>71.4</v>
      </c>
      <c r="O3106" s="60" t="n">
        <v>2284.8</v>
      </c>
    </row>
    <row r="3107" customFormat="false" ht="15" hidden="false" customHeight="false" outlineLevel="0" collapsed="false">
      <c r="A3107" s="0" t="n">
        <v>3</v>
      </c>
      <c r="B3107" s="59" t="n">
        <v>46240</v>
      </c>
      <c r="C3107" s="0" t="n">
        <v>11</v>
      </c>
      <c r="D3107" s="0" t="s">
        <v>2126</v>
      </c>
      <c r="E3107" s="0" t="n">
        <v>1667</v>
      </c>
      <c r="F3107" s="0" t="s">
        <v>810</v>
      </c>
      <c r="I3107" s="0" t="n">
        <v>397888</v>
      </c>
      <c r="J3107" s="0" t="n">
        <v>30240</v>
      </c>
      <c r="K3107" s="0" t="n">
        <v>7898922012248</v>
      </c>
      <c r="L3107" s="0" t="s">
        <v>3505</v>
      </c>
      <c r="N3107" s="0" t="n">
        <v>20</v>
      </c>
      <c r="O3107" s="60" t="n">
        <v>64.03</v>
      </c>
    </row>
    <row r="3108" customFormat="false" ht="15" hidden="false" customHeight="false" outlineLevel="0" collapsed="false">
      <c r="A3108" s="0" t="n">
        <v>3</v>
      </c>
      <c r="B3108" s="59" t="n">
        <v>46240</v>
      </c>
      <c r="C3108" s="0" t="n">
        <v>11</v>
      </c>
      <c r="D3108" s="0" t="s">
        <v>2126</v>
      </c>
      <c r="E3108" s="0" t="n">
        <v>1667</v>
      </c>
      <c r="F3108" s="0" t="s">
        <v>810</v>
      </c>
      <c r="I3108" s="0" t="n">
        <v>397888</v>
      </c>
      <c r="J3108" s="0" t="n">
        <v>23197</v>
      </c>
      <c r="K3108" s="0" t="n">
        <v>7896116900029</v>
      </c>
      <c r="L3108" s="0" t="s">
        <v>2788</v>
      </c>
      <c r="N3108" s="0" t="n">
        <v>40</v>
      </c>
      <c r="O3108" s="60" t="n">
        <v>376.2</v>
      </c>
    </row>
    <row r="3109" customFormat="false" ht="15" hidden="false" customHeight="false" outlineLevel="0" collapsed="false">
      <c r="A3109" s="0" t="n">
        <v>3</v>
      </c>
      <c r="B3109" s="59" t="n">
        <v>46240</v>
      </c>
      <c r="C3109" s="0" t="n">
        <v>11</v>
      </c>
      <c r="D3109" s="0" t="s">
        <v>2126</v>
      </c>
      <c r="E3109" s="0" t="n">
        <v>1667</v>
      </c>
      <c r="F3109" s="0" t="s">
        <v>810</v>
      </c>
      <c r="I3109" s="0" t="n">
        <v>397888</v>
      </c>
      <c r="J3109" s="0" t="n">
        <v>24024</v>
      </c>
      <c r="K3109" s="0" t="n">
        <v>7896116900432</v>
      </c>
      <c r="L3109" s="0" t="s">
        <v>2790</v>
      </c>
      <c r="N3109" s="0" t="n">
        <v>20</v>
      </c>
      <c r="O3109" s="60" t="n">
        <v>180.1</v>
      </c>
    </row>
    <row r="3110" customFormat="false" ht="15" hidden="false" customHeight="false" outlineLevel="0" collapsed="false">
      <c r="A3110" s="0" t="n">
        <v>3</v>
      </c>
      <c r="B3110" s="59" t="n">
        <v>46240</v>
      </c>
      <c r="C3110" s="0" t="n">
        <v>11</v>
      </c>
      <c r="D3110" s="0" t="s">
        <v>2126</v>
      </c>
      <c r="E3110" s="0" t="n">
        <v>1667</v>
      </c>
      <c r="F3110" s="0" t="s">
        <v>810</v>
      </c>
      <c r="I3110" s="0" t="n">
        <v>397888</v>
      </c>
      <c r="J3110" s="0" t="n">
        <v>31500</v>
      </c>
      <c r="K3110" s="0" t="n">
        <v>7898922012378</v>
      </c>
      <c r="L3110" s="0" t="s">
        <v>2429</v>
      </c>
      <c r="N3110" s="0" t="n">
        <v>40</v>
      </c>
      <c r="O3110" s="60" t="n">
        <v>166.09</v>
      </c>
    </row>
    <row r="3111" customFormat="false" ht="15" hidden="false" customHeight="false" outlineLevel="0" collapsed="false">
      <c r="A3111" s="0" t="n">
        <v>3</v>
      </c>
      <c r="B3111" s="59" t="n">
        <v>46240</v>
      </c>
      <c r="C3111" s="0" t="n">
        <v>11</v>
      </c>
      <c r="D3111" s="0" t="s">
        <v>2126</v>
      </c>
      <c r="E3111" s="0" t="n">
        <v>1667</v>
      </c>
      <c r="F3111" s="0" t="s">
        <v>810</v>
      </c>
      <c r="I3111" s="0" t="n">
        <v>397888</v>
      </c>
      <c r="J3111" s="0" t="n">
        <v>31798</v>
      </c>
      <c r="K3111" s="0" t="n">
        <v>7898922012392</v>
      </c>
      <c r="L3111" s="0" t="s">
        <v>2430</v>
      </c>
      <c r="N3111" s="0" t="n">
        <v>40</v>
      </c>
      <c r="O3111" s="60" t="n">
        <v>130.07</v>
      </c>
    </row>
    <row r="3112" customFormat="false" ht="15" hidden="false" customHeight="false" outlineLevel="0" collapsed="false">
      <c r="A3112" s="0" t="n">
        <v>3</v>
      </c>
      <c r="B3112" s="59" t="n">
        <v>46240</v>
      </c>
      <c r="C3112" s="0" t="n">
        <v>11</v>
      </c>
      <c r="D3112" s="0" t="s">
        <v>2126</v>
      </c>
      <c r="E3112" s="0" t="n">
        <v>1667</v>
      </c>
      <c r="F3112" s="0" t="s">
        <v>810</v>
      </c>
      <c r="I3112" s="0" t="n">
        <v>397888</v>
      </c>
      <c r="J3112" s="0" t="n">
        <v>31859</v>
      </c>
      <c r="K3112" s="0" t="n">
        <v>7898922012385</v>
      </c>
      <c r="L3112" s="0" t="s">
        <v>2792</v>
      </c>
      <c r="N3112" s="0" t="n">
        <v>40</v>
      </c>
      <c r="O3112" s="60" t="n">
        <v>176.22</v>
      </c>
    </row>
    <row r="3113" customFormat="false" ht="15" hidden="false" customHeight="false" outlineLevel="0" collapsed="false">
      <c r="A3113" s="0" t="n">
        <v>3</v>
      </c>
      <c r="B3113" s="59" t="n">
        <v>46240</v>
      </c>
      <c r="C3113" s="0" t="n">
        <v>11</v>
      </c>
      <c r="D3113" s="0" t="s">
        <v>2126</v>
      </c>
      <c r="E3113" s="0" t="n">
        <v>1667</v>
      </c>
      <c r="F3113" s="0" t="s">
        <v>810</v>
      </c>
      <c r="I3113" s="0" t="n">
        <v>397888</v>
      </c>
      <c r="J3113" s="0" t="n">
        <v>33535</v>
      </c>
      <c r="K3113" s="0" t="n">
        <v>7898922012163</v>
      </c>
      <c r="L3113" s="0" t="s">
        <v>3506</v>
      </c>
      <c r="N3113" s="0" t="n">
        <v>20</v>
      </c>
      <c r="O3113" s="60" t="n">
        <v>76.04</v>
      </c>
    </row>
    <row r="3114" customFormat="false" ht="15" hidden="false" customHeight="false" outlineLevel="0" collapsed="false">
      <c r="A3114" s="0" t="n">
        <v>3</v>
      </c>
      <c r="B3114" s="59" t="n">
        <v>46240</v>
      </c>
      <c r="C3114" s="0" t="n">
        <v>11</v>
      </c>
      <c r="D3114" s="0" t="s">
        <v>2126</v>
      </c>
      <c r="E3114" s="0" t="n">
        <v>1667</v>
      </c>
      <c r="F3114" s="0" t="s">
        <v>810</v>
      </c>
      <c r="I3114" s="0" t="n">
        <v>397888</v>
      </c>
      <c r="J3114" s="0" t="n">
        <v>61293</v>
      </c>
      <c r="K3114" s="0" t="n">
        <v>7898922012149</v>
      </c>
      <c r="L3114" s="0" t="s">
        <v>3507</v>
      </c>
      <c r="N3114" s="0" t="n">
        <v>50</v>
      </c>
      <c r="O3114" s="60" t="n">
        <v>519.12</v>
      </c>
    </row>
    <row r="3115" customFormat="false" ht="15" hidden="false" customHeight="false" outlineLevel="0" collapsed="false">
      <c r="A3115" s="0" t="n">
        <v>3</v>
      </c>
      <c r="B3115" s="59" t="n">
        <v>46240</v>
      </c>
      <c r="C3115" s="0" t="n">
        <v>11</v>
      </c>
      <c r="D3115" s="0" t="s">
        <v>2126</v>
      </c>
      <c r="E3115" s="0" t="n">
        <v>1667</v>
      </c>
      <c r="F3115" s="0" t="s">
        <v>810</v>
      </c>
      <c r="I3115" s="0" t="n">
        <v>397888</v>
      </c>
      <c r="J3115" s="0" t="n">
        <v>62385</v>
      </c>
      <c r="K3115" s="0" t="n">
        <v>7898922012040</v>
      </c>
      <c r="L3115" s="0" t="s">
        <v>3508</v>
      </c>
      <c r="N3115" s="0" t="n">
        <v>30</v>
      </c>
      <c r="O3115" s="60" t="n">
        <v>135.07</v>
      </c>
    </row>
    <row r="3116" customFormat="false" ht="15" hidden="false" customHeight="false" outlineLevel="0" collapsed="false">
      <c r="A3116" s="0" t="n">
        <v>3</v>
      </c>
      <c r="B3116" s="59" t="n">
        <v>46240</v>
      </c>
      <c r="C3116" s="0" t="n">
        <v>11</v>
      </c>
      <c r="D3116" s="0" t="s">
        <v>2126</v>
      </c>
      <c r="E3116" s="0" t="n">
        <v>1107</v>
      </c>
      <c r="F3116" s="0" t="s">
        <v>166</v>
      </c>
      <c r="I3116" s="0" t="n">
        <v>438335</v>
      </c>
      <c r="J3116" s="0" t="n">
        <v>101692</v>
      </c>
      <c r="K3116" s="0" t="n">
        <v>7891962015620</v>
      </c>
      <c r="L3116" s="0" t="s">
        <v>3509</v>
      </c>
      <c r="N3116" s="0" t="n">
        <v>48</v>
      </c>
      <c r="O3116" s="60" t="n">
        <v>76.96</v>
      </c>
    </row>
    <row r="3117" customFormat="false" ht="15" hidden="false" customHeight="false" outlineLevel="0" collapsed="false">
      <c r="A3117" s="0" t="n">
        <v>3</v>
      </c>
      <c r="B3117" s="59" t="n">
        <v>46240</v>
      </c>
      <c r="C3117" s="0" t="n">
        <v>11</v>
      </c>
      <c r="D3117" s="0" t="s">
        <v>2126</v>
      </c>
      <c r="E3117" s="0" t="n">
        <v>1107</v>
      </c>
      <c r="F3117" s="0" t="s">
        <v>166</v>
      </c>
      <c r="I3117" s="0" t="n">
        <v>438335</v>
      </c>
      <c r="J3117" s="0" t="n">
        <v>102245</v>
      </c>
      <c r="K3117" s="0" t="n">
        <v>7891048040003</v>
      </c>
      <c r="L3117" s="0" t="s">
        <v>3510</v>
      </c>
      <c r="N3117" s="0" t="n">
        <v>20</v>
      </c>
      <c r="O3117" s="60" t="n">
        <v>67.15</v>
      </c>
    </row>
    <row r="3118" customFormat="false" ht="15" hidden="false" customHeight="false" outlineLevel="0" collapsed="false">
      <c r="A3118" s="0" t="n">
        <v>3</v>
      </c>
      <c r="B3118" s="59" t="n">
        <v>46240</v>
      </c>
      <c r="C3118" s="0" t="n">
        <v>11</v>
      </c>
      <c r="D3118" s="0" t="s">
        <v>2126</v>
      </c>
      <c r="E3118" s="0" t="n">
        <v>1107</v>
      </c>
      <c r="F3118" s="0" t="s">
        <v>166</v>
      </c>
      <c r="I3118" s="0" t="n">
        <v>438335</v>
      </c>
      <c r="J3118" s="0" t="n">
        <v>102599</v>
      </c>
      <c r="K3118" s="0" t="n">
        <v>7891048061695</v>
      </c>
      <c r="L3118" s="0" t="s">
        <v>3511</v>
      </c>
      <c r="N3118" s="0" t="n">
        <v>12</v>
      </c>
      <c r="O3118" s="60" t="n">
        <v>60.38</v>
      </c>
    </row>
    <row r="3119" customFormat="false" ht="15" hidden="false" customHeight="false" outlineLevel="0" collapsed="false">
      <c r="A3119" s="0" t="n">
        <v>3</v>
      </c>
      <c r="B3119" s="59" t="n">
        <v>46240</v>
      </c>
      <c r="C3119" s="0" t="n">
        <v>11</v>
      </c>
      <c r="D3119" s="0" t="s">
        <v>2126</v>
      </c>
      <c r="E3119" s="0" t="n">
        <v>1107</v>
      </c>
      <c r="F3119" s="0" t="s">
        <v>166</v>
      </c>
      <c r="I3119" s="0" t="n">
        <v>438335</v>
      </c>
      <c r="J3119" s="0" t="n">
        <v>102600</v>
      </c>
      <c r="K3119" s="0" t="n">
        <v>7891048061688</v>
      </c>
      <c r="L3119" s="0" t="s">
        <v>3512</v>
      </c>
      <c r="N3119" s="0" t="n">
        <v>6</v>
      </c>
      <c r="O3119" s="60" t="n">
        <v>30.19</v>
      </c>
    </row>
    <row r="3120" customFormat="false" ht="15" hidden="false" customHeight="false" outlineLevel="0" collapsed="false">
      <c r="A3120" s="0" t="n">
        <v>3</v>
      </c>
      <c r="B3120" s="59" t="n">
        <v>46240</v>
      </c>
      <c r="C3120" s="0" t="n">
        <v>11</v>
      </c>
      <c r="D3120" s="0" t="s">
        <v>2126</v>
      </c>
      <c r="E3120" s="0" t="n">
        <v>1107</v>
      </c>
      <c r="F3120" s="0" t="s">
        <v>166</v>
      </c>
      <c r="I3120" s="0" t="n">
        <v>438335</v>
      </c>
      <c r="J3120" s="0" t="n">
        <v>102601</v>
      </c>
      <c r="K3120" s="0" t="n">
        <v>7891048061718</v>
      </c>
      <c r="L3120" s="0" t="s">
        <v>3513</v>
      </c>
      <c r="N3120" s="0" t="n">
        <v>6</v>
      </c>
      <c r="O3120" s="60" t="n">
        <v>30.19</v>
      </c>
    </row>
    <row r="3121" customFormat="false" ht="15" hidden="false" customHeight="false" outlineLevel="0" collapsed="false">
      <c r="A3121" s="0" t="n">
        <v>3</v>
      </c>
      <c r="B3121" s="59" t="n">
        <v>46240</v>
      </c>
      <c r="C3121" s="0" t="n">
        <v>11</v>
      </c>
      <c r="D3121" s="0" t="s">
        <v>2126</v>
      </c>
      <c r="E3121" s="0" t="n">
        <v>1107</v>
      </c>
      <c r="F3121" s="0" t="s">
        <v>166</v>
      </c>
      <c r="I3121" s="0" t="n">
        <v>438335</v>
      </c>
      <c r="J3121" s="0" t="n">
        <v>102602</v>
      </c>
      <c r="K3121" s="0" t="n">
        <v>7891048061701</v>
      </c>
      <c r="L3121" s="0" t="s">
        <v>3514</v>
      </c>
      <c r="N3121" s="0" t="n">
        <v>6</v>
      </c>
      <c r="O3121" s="60" t="n">
        <v>30.19</v>
      </c>
    </row>
    <row r="3122" customFormat="false" ht="15" hidden="false" customHeight="false" outlineLevel="0" collapsed="false">
      <c r="A3122" s="0" t="n">
        <v>3</v>
      </c>
      <c r="B3122" s="59" t="n">
        <v>46240</v>
      </c>
      <c r="C3122" s="0" t="n">
        <v>11</v>
      </c>
      <c r="D3122" s="0" t="s">
        <v>2126</v>
      </c>
      <c r="E3122" s="0" t="n">
        <v>1107</v>
      </c>
      <c r="F3122" s="0" t="s">
        <v>166</v>
      </c>
      <c r="I3122" s="0" t="n">
        <v>438335</v>
      </c>
      <c r="J3122" s="0" t="n">
        <v>103674</v>
      </c>
      <c r="K3122" s="0" t="n">
        <v>7891962000725</v>
      </c>
      <c r="L3122" s="0" t="s">
        <v>3515</v>
      </c>
      <c r="N3122" s="0" t="n">
        <v>48</v>
      </c>
      <c r="O3122" s="60" t="n">
        <v>76.96</v>
      </c>
    </row>
    <row r="3123" customFormat="false" ht="15" hidden="false" customHeight="false" outlineLevel="0" collapsed="false">
      <c r="A3123" s="0" t="n">
        <v>3</v>
      </c>
      <c r="B3123" s="59" t="n">
        <v>46240</v>
      </c>
      <c r="C3123" s="0" t="n">
        <v>11</v>
      </c>
      <c r="D3123" s="0" t="s">
        <v>2126</v>
      </c>
      <c r="E3123" s="0" t="n">
        <v>1107</v>
      </c>
      <c r="F3123" s="0" t="s">
        <v>166</v>
      </c>
      <c r="I3123" s="0" t="n">
        <v>438335</v>
      </c>
      <c r="J3123" s="0" t="n">
        <v>103860</v>
      </c>
      <c r="K3123" s="0" t="n">
        <v>7891048040065</v>
      </c>
      <c r="L3123" s="0" t="s">
        <v>3516</v>
      </c>
      <c r="N3123" s="0" t="n">
        <v>15</v>
      </c>
      <c r="O3123" s="60" t="n">
        <v>18</v>
      </c>
    </row>
    <row r="3124" customFormat="false" ht="15" hidden="false" customHeight="false" outlineLevel="0" collapsed="false">
      <c r="A3124" s="0" t="n">
        <v>3</v>
      </c>
      <c r="B3124" s="59" t="n">
        <v>46240</v>
      </c>
      <c r="C3124" s="0" t="n">
        <v>11</v>
      </c>
      <c r="D3124" s="0" t="s">
        <v>2126</v>
      </c>
      <c r="E3124" s="0" t="n">
        <v>1107</v>
      </c>
      <c r="F3124" s="0" t="s">
        <v>166</v>
      </c>
      <c r="I3124" s="0" t="n">
        <v>438335</v>
      </c>
      <c r="J3124" s="0" t="n">
        <v>105775</v>
      </c>
      <c r="K3124" s="0" t="n">
        <v>7896110100814</v>
      </c>
      <c r="L3124" s="0" t="s">
        <v>3517</v>
      </c>
      <c r="N3124" s="0" t="n">
        <v>30</v>
      </c>
      <c r="O3124" s="60" t="n">
        <v>68.66</v>
      </c>
    </row>
    <row r="3125" customFormat="false" ht="15" hidden="false" customHeight="false" outlineLevel="0" collapsed="false">
      <c r="A3125" s="0" t="n">
        <v>3</v>
      </c>
      <c r="B3125" s="59" t="n">
        <v>46240</v>
      </c>
      <c r="C3125" s="0" t="n">
        <v>11</v>
      </c>
      <c r="D3125" s="0" t="s">
        <v>2126</v>
      </c>
      <c r="E3125" s="0" t="n">
        <v>1107</v>
      </c>
      <c r="F3125" s="0" t="s">
        <v>166</v>
      </c>
      <c r="I3125" s="0" t="n">
        <v>438335</v>
      </c>
      <c r="J3125" s="0" t="n">
        <v>106206</v>
      </c>
      <c r="K3125" s="0" t="n">
        <v>7896110100043</v>
      </c>
      <c r="L3125" s="0" t="s">
        <v>3518</v>
      </c>
      <c r="N3125" s="0" t="n">
        <v>30</v>
      </c>
      <c r="O3125" s="60" t="n">
        <v>66.85</v>
      </c>
    </row>
    <row r="3126" customFormat="false" ht="15" hidden="false" customHeight="false" outlineLevel="0" collapsed="false">
      <c r="A3126" s="0" t="n">
        <v>3</v>
      </c>
      <c r="B3126" s="59" t="n">
        <v>46240</v>
      </c>
      <c r="C3126" s="0" t="n">
        <v>11</v>
      </c>
      <c r="D3126" s="0" t="s">
        <v>2126</v>
      </c>
      <c r="E3126" s="0" t="n">
        <v>1107</v>
      </c>
      <c r="F3126" s="0" t="s">
        <v>166</v>
      </c>
      <c r="I3126" s="0" t="n">
        <v>438335</v>
      </c>
      <c r="J3126" s="0" t="n">
        <v>107700</v>
      </c>
      <c r="K3126" s="0" t="n">
        <v>7891048038055</v>
      </c>
      <c r="L3126" s="0" t="s">
        <v>3519</v>
      </c>
      <c r="N3126" s="0" t="n">
        <v>6</v>
      </c>
      <c r="O3126" s="60" t="n">
        <v>20.27</v>
      </c>
    </row>
    <row r="3127" customFormat="false" ht="15" hidden="false" customHeight="false" outlineLevel="0" collapsed="false">
      <c r="A3127" s="0" t="n">
        <v>3</v>
      </c>
      <c r="B3127" s="59" t="n">
        <v>46240</v>
      </c>
      <c r="C3127" s="0" t="n">
        <v>11</v>
      </c>
      <c r="D3127" s="0" t="s">
        <v>2126</v>
      </c>
      <c r="E3127" s="0" t="n">
        <v>1107</v>
      </c>
      <c r="F3127" s="0" t="s">
        <v>166</v>
      </c>
      <c r="I3127" s="0" t="n">
        <v>438335</v>
      </c>
      <c r="J3127" s="0" t="n">
        <v>107701</v>
      </c>
      <c r="K3127" s="0" t="n">
        <v>7891048038048</v>
      </c>
      <c r="L3127" s="0" t="s">
        <v>3520</v>
      </c>
      <c r="N3127" s="0" t="n">
        <v>6</v>
      </c>
      <c r="O3127" s="60" t="n">
        <v>20.27</v>
      </c>
    </row>
    <row r="3128" customFormat="false" ht="15" hidden="false" customHeight="false" outlineLevel="0" collapsed="false">
      <c r="A3128" s="0" t="n">
        <v>3</v>
      </c>
      <c r="B3128" s="59" t="n">
        <v>46240</v>
      </c>
      <c r="C3128" s="0" t="n">
        <v>11</v>
      </c>
      <c r="D3128" s="0" t="s">
        <v>2126</v>
      </c>
      <c r="E3128" s="0" t="n">
        <v>1107</v>
      </c>
      <c r="F3128" s="0" t="s">
        <v>166</v>
      </c>
      <c r="I3128" s="0" t="n">
        <v>438335</v>
      </c>
      <c r="J3128" s="0" t="n">
        <v>11279</v>
      </c>
      <c r="K3128" s="0" t="n">
        <v>7891048038031</v>
      </c>
      <c r="L3128" s="0" t="s">
        <v>3521</v>
      </c>
      <c r="N3128" s="0" t="n">
        <v>6</v>
      </c>
      <c r="O3128" s="60" t="n">
        <v>20.27</v>
      </c>
    </row>
    <row r="3129" customFormat="false" ht="15" hidden="false" customHeight="false" outlineLevel="0" collapsed="false">
      <c r="A3129" s="0" t="n">
        <v>3</v>
      </c>
      <c r="B3129" s="59" t="n">
        <v>46240</v>
      </c>
      <c r="C3129" s="0" t="n">
        <v>11</v>
      </c>
      <c r="D3129" s="0" t="s">
        <v>2126</v>
      </c>
      <c r="E3129" s="0" t="n">
        <v>1107</v>
      </c>
      <c r="F3129" s="0" t="s">
        <v>166</v>
      </c>
      <c r="I3129" s="0" t="n">
        <v>438335</v>
      </c>
      <c r="J3129" s="0" t="n">
        <v>11510</v>
      </c>
      <c r="K3129" s="0" t="n">
        <v>7891048038079</v>
      </c>
      <c r="L3129" s="0" t="s">
        <v>3522</v>
      </c>
      <c r="N3129" s="0" t="n">
        <v>3</v>
      </c>
      <c r="O3129" s="60" t="n">
        <v>11.49</v>
      </c>
    </row>
    <row r="3130" customFormat="false" ht="15" hidden="false" customHeight="false" outlineLevel="0" collapsed="false">
      <c r="A3130" s="0" t="n">
        <v>3</v>
      </c>
      <c r="B3130" s="59" t="n">
        <v>46240</v>
      </c>
      <c r="C3130" s="0" t="n">
        <v>11</v>
      </c>
      <c r="D3130" s="0" t="s">
        <v>2126</v>
      </c>
      <c r="E3130" s="0" t="n">
        <v>1107</v>
      </c>
      <c r="F3130" s="0" t="s">
        <v>166</v>
      </c>
      <c r="I3130" s="0" t="n">
        <v>438335</v>
      </c>
      <c r="J3130" s="0" t="n">
        <v>11674</v>
      </c>
      <c r="K3130" s="0" t="n">
        <v>7891048038017</v>
      </c>
      <c r="L3130" s="0" t="s">
        <v>3523</v>
      </c>
      <c r="N3130" s="0" t="n">
        <v>6</v>
      </c>
      <c r="O3130" s="60" t="n">
        <v>20.27</v>
      </c>
    </row>
    <row r="3131" customFormat="false" ht="15" hidden="false" customHeight="false" outlineLevel="0" collapsed="false">
      <c r="A3131" s="0" t="n">
        <v>3</v>
      </c>
      <c r="B3131" s="59" t="n">
        <v>46240</v>
      </c>
      <c r="C3131" s="0" t="n">
        <v>11</v>
      </c>
      <c r="D3131" s="0" t="s">
        <v>2126</v>
      </c>
      <c r="E3131" s="0" t="n">
        <v>1107</v>
      </c>
      <c r="F3131" s="0" t="s">
        <v>166</v>
      </c>
      <c r="I3131" s="0" t="n">
        <v>438335</v>
      </c>
      <c r="J3131" s="0" t="n">
        <v>12275</v>
      </c>
      <c r="K3131" s="0" t="n">
        <v>7891962031170</v>
      </c>
      <c r="L3131" s="0" t="s">
        <v>3524</v>
      </c>
      <c r="N3131" s="0" t="n">
        <v>48</v>
      </c>
      <c r="O3131" s="60" t="n">
        <v>76.96</v>
      </c>
    </row>
    <row r="3132" customFormat="false" ht="15" hidden="false" customHeight="false" outlineLevel="0" collapsed="false">
      <c r="A3132" s="0" t="n">
        <v>3</v>
      </c>
      <c r="B3132" s="59" t="n">
        <v>46240</v>
      </c>
      <c r="C3132" s="0" t="n">
        <v>11</v>
      </c>
      <c r="D3132" s="0" t="s">
        <v>2126</v>
      </c>
      <c r="E3132" s="0" t="n">
        <v>1107</v>
      </c>
      <c r="F3132" s="0" t="s">
        <v>166</v>
      </c>
      <c r="I3132" s="0" t="n">
        <v>438335</v>
      </c>
      <c r="J3132" s="0" t="n">
        <v>17093</v>
      </c>
      <c r="K3132" s="0" t="n">
        <v>7891048038123</v>
      </c>
      <c r="L3132" s="0" t="s">
        <v>3525</v>
      </c>
      <c r="N3132" s="0" t="n">
        <v>3</v>
      </c>
      <c r="O3132" s="60" t="n">
        <v>21.59</v>
      </c>
    </row>
    <row r="3133" customFormat="false" ht="15" hidden="false" customHeight="false" outlineLevel="0" collapsed="false">
      <c r="A3133" s="0" t="n">
        <v>3</v>
      </c>
      <c r="B3133" s="59" t="n">
        <v>46240</v>
      </c>
      <c r="C3133" s="0" t="n">
        <v>11</v>
      </c>
      <c r="D3133" s="0" t="s">
        <v>2126</v>
      </c>
      <c r="E3133" s="0" t="n">
        <v>1107</v>
      </c>
      <c r="F3133" s="0" t="s">
        <v>166</v>
      </c>
      <c r="I3133" s="0" t="n">
        <v>438335</v>
      </c>
      <c r="J3133" s="0" t="n">
        <v>24270</v>
      </c>
      <c r="K3133" s="0" t="n">
        <v>7891962050089</v>
      </c>
      <c r="L3133" s="0" t="s">
        <v>3526</v>
      </c>
      <c r="N3133" s="0" t="n">
        <v>45</v>
      </c>
      <c r="O3133" s="60" t="n">
        <v>172.43</v>
      </c>
    </row>
    <row r="3134" customFormat="false" ht="15" hidden="false" customHeight="false" outlineLevel="0" collapsed="false">
      <c r="A3134" s="0" t="n">
        <v>3</v>
      </c>
      <c r="B3134" s="59" t="n">
        <v>46240</v>
      </c>
      <c r="C3134" s="0" t="n">
        <v>11</v>
      </c>
      <c r="D3134" s="0" t="s">
        <v>2126</v>
      </c>
      <c r="E3134" s="0" t="n">
        <v>1107</v>
      </c>
      <c r="F3134" s="0" t="s">
        <v>166</v>
      </c>
      <c r="I3134" s="0" t="n">
        <v>438335</v>
      </c>
      <c r="J3134" s="0" t="n">
        <v>24548</v>
      </c>
      <c r="K3134" s="0" t="n">
        <v>7891962050072</v>
      </c>
      <c r="L3134" s="0" t="s">
        <v>3527</v>
      </c>
      <c r="N3134" s="0" t="n">
        <v>45</v>
      </c>
      <c r="O3134" s="60" t="n">
        <v>172.43</v>
      </c>
    </row>
    <row r="3135" customFormat="false" ht="15" hidden="false" customHeight="false" outlineLevel="0" collapsed="false">
      <c r="A3135" s="0" t="n">
        <v>3</v>
      </c>
      <c r="B3135" s="59" t="n">
        <v>46240</v>
      </c>
      <c r="C3135" s="0" t="n">
        <v>11</v>
      </c>
      <c r="D3135" s="0" t="s">
        <v>2126</v>
      </c>
      <c r="E3135" s="0" t="n">
        <v>1107</v>
      </c>
      <c r="F3135" s="0" t="s">
        <v>166</v>
      </c>
      <c r="I3135" s="0" t="n">
        <v>438335</v>
      </c>
      <c r="J3135" s="0" t="n">
        <v>24780</v>
      </c>
      <c r="K3135" s="0" t="n">
        <v>7891962050065</v>
      </c>
      <c r="L3135" s="0" t="s">
        <v>3528</v>
      </c>
      <c r="N3135" s="0" t="n">
        <v>45</v>
      </c>
      <c r="O3135" s="60" t="n">
        <v>172.43</v>
      </c>
    </row>
    <row r="3136" customFormat="false" ht="15" hidden="false" customHeight="false" outlineLevel="0" collapsed="false">
      <c r="A3136" s="0" t="n">
        <v>3</v>
      </c>
      <c r="B3136" s="59" t="n">
        <v>46240</v>
      </c>
      <c r="C3136" s="0" t="n">
        <v>11</v>
      </c>
      <c r="D3136" s="0" t="s">
        <v>2126</v>
      </c>
      <c r="E3136" s="0" t="n">
        <v>1107</v>
      </c>
      <c r="F3136" s="0" t="s">
        <v>166</v>
      </c>
      <c r="I3136" s="0" t="n">
        <v>438335</v>
      </c>
      <c r="J3136" s="0" t="n">
        <v>26496</v>
      </c>
      <c r="K3136" s="0" t="n">
        <v>7891048050668</v>
      </c>
      <c r="L3136" s="0" t="s">
        <v>3529</v>
      </c>
      <c r="N3136" s="0" t="n">
        <v>10</v>
      </c>
      <c r="O3136" s="60" t="n">
        <v>13.1</v>
      </c>
    </row>
    <row r="3137" customFormat="false" ht="15" hidden="false" customHeight="false" outlineLevel="0" collapsed="false">
      <c r="A3137" s="0" t="n">
        <v>3</v>
      </c>
      <c r="B3137" s="59" t="n">
        <v>46240</v>
      </c>
      <c r="C3137" s="0" t="n">
        <v>11</v>
      </c>
      <c r="D3137" s="0" t="s">
        <v>2126</v>
      </c>
      <c r="E3137" s="0" t="n">
        <v>1107</v>
      </c>
      <c r="F3137" s="0" t="s">
        <v>166</v>
      </c>
      <c r="I3137" s="0" t="n">
        <v>438335</v>
      </c>
      <c r="J3137" s="0" t="n">
        <v>27021</v>
      </c>
      <c r="K3137" s="0" t="n">
        <v>7891048050613</v>
      </c>
      <c r="L3137" s="0" t="s">
        <v>3530</v>
      </c>
      <c r="N3137" s="0" t="n">
        <v>10</v>
      </c>
      <c r="O3137" s="60" t="n">
        <v>13.1</v>
      </c>
    </row>
    <row r="3138" customFormat="false" ht="15" hidden="false" customHeight="false" outlineLevel="0" collapsed="false">
      <c r="A3138" s="0" t="n">
        <v>3</v>
      </c>
      <c r="B3138" s="59" t="n">
        <v>46240</v>
      </c>
      <c r="C3138" s="0" t="n">
        <v>11</v>
      </c>
      <c r="D3138" s="0" t="s">
        <v>2126</v>
      </c>
      <c r="E3138" s="0" t="n">
        <v>1107</v>
      </c>
      <c r="F3138" s="0" t="s">
        <v>166</v>
      </c>
      <c r="I3138" s="0" t="n">
        <v>438335</v>
      </c>
      <c r="J3138" s="0" t="n">
        <v>27022</v>
      </c>
      <c r="K3138" s="0" t="n">
        <v>7891048050682</v>
      </c>
      <c r="L3138" s="0" t="s">
        <v>3531</v>
      </c>
      <c r="N3138" s="0" t="n">
        <v>10</v>
      </c>
      <c r="O3138" s="60" t="n">
        <v>13.1</v>
      </c>
    </row>
    <row r="3139" customFormat="false" ht="15" hidden="false" customHeight="false" outlineLevel="0" collapsed="false">
      <c r="A3139" s="0" t="n">
        <v>3</v>
      </c>
      <c r="B3139" s="59" t="n">
        <v>46240</v>
      </c>
      <c r="C3139" s="0" t="n">
        <v>11</v>
      </c>
      <c r="D3139" s="0" t="s">
        <v>2126</v>
      </c>
      <c r="E3139" s="0" t="n">
        <v>1107</v>
      </c>
      <c r="F3139" s="0" t="s">
        <v>166</v>
      </c>
      <c r="I3139" s="0" t="n">
        <v>438335</v>
      </c>
      <c r="J3139" s="0" t="n">
        <v>27023</v>
      </c>
      <c r="K3139" s="0" t="n">
        <v>7891048050637</v>
      </c>
      <c r="L3139" s="0" t="s">
        <v>3532</v>
      </c>
      <c r="N3139" s="0" t="n">
        <v>10</v>
      </c>
      <c r="O3139" s="60" t="n">
        <v>13.1</v>
      </c>
    </row>
    <row r="3140" customFormat="false" ht="15" hidden="false" customHeight="false" outlineLevel="0" collapsed="false">
      <c r="A3140" s="0" t="n">
        <v>3</v>
      </c>
      <c r="B3140" s="59" t="n">
        <v>46240</v>
      </c>
      <c r="C3140" s="0" t="n">
        <v>11</v>
      </c>
      <c r="D3140" s="0" t="s">
        <v>2126</v>
      </c>
      <c r="E3140" s="0" t="n">
        <v>1107</v>
      </c>
      <c r="F3140" s="0" t="s">
        <v>166</v>
      </c>
      <c r="I3140" s="0" t="n">
        <v>438335</v>
      </c>
      <c r="J3140" s="0" t="n">
        <v>27024</v>
      </c>
      <c r="K3140" s="0" t="n">
        <v>7891048050675</v>
      </c>
      <c r="L3140" s="0" t="s">
        <v>3533</v>
      </c>
      <c r="N3140" s="0" t="n">
        <v>10</v>
      </c>
      <c r="O3140" s="60" t="n">
        <v>13.1</v>
      </c>
    </row>
    <row r="3141" customFormat="false" ht="15" hidden="false" customHeight="false" outlineLevel="0" collapsed="false">
      <c r="A3141" s="0" t="n">
        <v>3</v>
      </c>
      <c r="B3141" s="59" t="n">
        <v>46240</v>
      </c>
      <c r="C3141" s="0" t="n">
        <v>11</v>
      </c>
      <c r="D3141" s="0" t="s">
        <v>2126</v>
      </c>
      <c r="E3141" s="0" t="n">
        <v>1107</v>
      </c>
      <c r="F3141" s="0" t="s">
        <v>166</v>
      </c>
      <c r="I3141" s="0" t="n">
        <v>438335</v>
      </c>
      <c r="J3141" s="0" t="n">
        <v>27395</v>
      </c>
      <c r="K3141" s="0" t="n">
        <v>7891962054117</v>
      </c>
      <c r="L3141" s="0" t="s">
        <v>3534</v>
      </c>
      <c r="N3141" s="0" t="n">
        <v>45</v>
      </c>
      <c r="O3141" s="60" t="n">
        <v>201.24</v>
      </c>
    </row>
    <row r="3142" customFormat="false" ht="15" hidden="false" customHeight="false" outlineLevel="0" collapsed="false">
      <c r="A3142" s="0" t="n">
        <v>3</v>
      </c>
      <c r="B3142" s="59" t="n">
        <v>46240</v>
      </c>
      <c r="C3142" s="0" t="n">
        <v>11</v>
      </c>
      <c r="D3142" s="0" t="s">
        <v>2126</v>
      </c>
      <c r="E3142" s="0" t="n">
        <v>1107</v>
      </c>
      <c r="F3142" s="0" t="s">
        <v>166</v>
      </c>
      <c r="I3142" s="0" t="n">
        <v>438335</v>
      </c>
      <c r="J3142" s="0" t="n">
        <v>27397</v>
      </c>
      <c r="K3142" s="0" t="n">
        <v>7891962054124</v>
      </c>
      <c r="L3142" s="0" t="s">
        <v>3535</v>
      </c>
      <c r="N3142" s="0" t="n">
        <v>45</v>
      </c>
      <c r="O3142" s="60" t="n">
        <v>201.01</v>
      </c>
    </row>
    <row r="3143" customFormat="false" ht="15" hidden="false" customHeight="false" outlineLevel="0" collapsed="false">
      <c r="A3143" s="0" t="n">
        <v>3</v>
      </c>
      <c r="B3143" s="59" t="n">
        <v>46240</v>
      </c>
      <c r="C3143" s="0" t="n">
        <v>11</v>
      </c>
      <c r="D3143" s="0" t="s">
        <v>2126</v>
      </c>
      <c r="E3143" s="0" t="n">
        <v>1107</v>
      </c>
      <c r="F3143" s="0" t="s">
        <v>166</v>
      </c>
      <c r="I3143" s="0" t="n">
        <v>438335</v>
      </c>
      <c r="J3143" s="0" t="n">
        <v>27481</v>
      </c>
      <c r="K3143" s="0" t="n">
        <v>7891962054810</v>
      </c>
      <c r="L3143" s="0" t="s">
        <v>3536</v>
      </c>
      <c r="N3143" s="0" t="n">
        <v>12</v>
      </c>
      <c r="O3143" s="60" t="n">
        <v>31.34</v>
      </c>
    </row>
    <row r="3144" customFormat="false" ht="15" hidden="false" customHeight="false" outlineLevel="0" collapsed="false">
      <c r="A3144" s="0" t="n">
        <v>3</v>
      </c>
      <c r="B3144" s="59" t="n">
        <v>46240</v>
      </c>
      <c r="C3144" s="0" t="n">
        <v>11</v>
      </c>
      <c r="D3144" s="0" t="s">
        <v>2126</v>
      </c>
      <c r="E3144" s="0" t="n">
        <v>1107</v>
      </c>
      <c r="F3144" s="0" t="s">
        <v>166</v>
      </c>
      <c r="I3144" s="0" t="n">
        <v>438335</v>
      </c>
      <c r="J3144" s="0" t="n">
        <v>27482</v>
      </c>
      <c r="K3144" s="0" t="n">
        <v>7891962054476</v>
      </c>
      <c r="L3144" s="0" t="s">
        <v>3537</v>
      </c>
      <c r="N3144" s="0" t="n">
        <v>12</v>
      </c>
      <c r="O3144" s="60" t="n">
        <v>31.34</v>
      </c>
    </row>
    <row r="3145" customFormat="false" ht="15" hidden="false" customHeight="false" outlineLevel="0" collapsed="false">
      <c r="A3145" s="0" t="n">
        <v>3</v>
      </c>
      <c r="B3145" s="59" t="n">
        <v>46240</v>
      </c>
      <c r="C3145" s="0" t="n">
        <v>11</v>
      </c>
      <c r="D3145" s="0" t="s">
        <v>2126</v>
      </c>
      <c r="E3145" s="0" t="n">
        <v>1107</v>
      </c>
      <c r="F3145" s="0" t="s">
        <v>166</v>
      </c>
      <c r="I3145" s="0" t="n">
        <v>438335</v>
      </c>
      <c r="J3145" s="0" t="n">
        <v>27551</v>
      </c>
      <c r="K3145" s="0" t="n">
        <v>7891048050620</v>
      </c>
      <c r="L3145" s="0" t="s">
        <v>3538</v>
      </c>
      <c r="N3145" s="0" t="n">
        <v>10</v>
      </c>
      <c r="O3145" s="60" t="n">
        <v>13.1</v>
      </c>
    </row>
    <row r="3146" customFormat="false" ht="15" hidden="false" customHeight="false" outlineLevel="0" collapsed="false">
      <c r="A3146" s="0" t="n">
        <v>3</v>
      </c>
      <c r="B3146" s="59" t="n">
        <v>46240</v>
      </c>
      <c r="C3146" s="0" t="n">
        <v>11</v>
      </c>
      <c r="D3146" s="0" t="s">
        <v>2126</v>
      </c>
      <c r="E3146" s="0" t="n">
        <v>1107</v>
      </c>
      <c r="F3146" s="0" t="s">
        <v>166</v>
      </c>
      <c r="I3146" s="0" t="n">
        <v>438335</v>
      </c>
      <c r="J3146" s="0" t="n">
        <v>29485</v>
      </c>
      <c r="K3146" s="0" t="n">
        <v>7891962053196</v>
      </c>
      <c r="L3146" s="0" t="s">
        <v>3539</v>
      </c>
      <c r="N3146" s="0" t="n">
        <v>6</v>
      </c>
      <c r="O3146" s="60" t="n">
        <v>29.71</v>
      </c>
    </row>
    <row r="3147" customFormat="false" ht="15" hidden="false" customHeight="false" outlineLevel="0" collapsed="false">
      <c r="A3147" s="0" t="n">
        <v>3</v>
      </c>
      <c r="B3147" s="59" t="n">
        <v>46240</v>
      </c>
      <c r="C3147" s="0" t="n">
        <v>11</v>
      </c>
      <c r="D3147" s="0" t="s">
        <v>2126</v>
      </c>
      <c r="E3147" s="0" t="n">
        <v>1107</v>
      </c>
      <c r="F3147" s="0" t="s">
        <v>166</v>
      </c>
      <c r="I3147" s="0" t="n">
        <v>438335</v>
      </c>
      <c r="J3147" s="0" t="n">
        <v>29486</v>
      </c>
      <c r="K3147" s="0" t="n">
        <v>7891962053189</v>
      </c>
      <c r="L3147" s="0" t="s">
        <v>3540</v>
      </c>
      <c r="N3147" s="0" t="n">
        <v>6</v>
      </c>
      <c r="O3147" s="60" t="n">
        <v>26.92</v>
      </c>
    </row>
    <row r="3148" customFormat="false" ht="15" hidden="false" customHeight="false" outlineLevel="0" collapsed="false">
      <c r="A3148" s="0" t="n">
        <v>3</v>
      </c>
      <c r="B3148" s="59" t="n">
        <v>46240</v>
      </c>
      <c r="C3148" s="0" t="n">
        <v>11</v>
      </c>
      <c r="D3148" s="0" t="s">
        <v>2126</v>
      </c>
      <c r="E3148" s="0" t="n">
        <v>1107</v>
      </c>
      <c r="F3148" s="0" t="s">
        <v>166</v>
      </c>
      <c r="I3148" s="0" t="n">
        <v>438335</v>
      </c>
      <c r="J3148" s="0" t="n">
        <v>29923</v>
      </c>
      <c r="K3148" s="0" t="n">
        <v>7891962053202</v>
      </c>
      <c r="L3148" s="0" t="s">
        <v>3541</v>
      </c>
      <c r="N3148" s="0" t="n">
        <v>6</v>
      </c>
      <c r="O3148" s="60" t="n">
        <v>29.71</v>
      </c>
    </row>
    <row r="3149" customFormat="false" ht="15" hidden="false" customHeight="false" outlineLevel="0" collapsed="false">
      <c r="A3149" s="0" t="n">
        <v>3</v>
      </c>
      <c r="B3149" s="59" t="n">
        <v>46240</v>
      </c>
      <c r="C3149" s="0" t="n">
        <v>11</v>
      </c>
      <c r="D3149" s="0" t="s">
        <v>2126</v>
      </c>
      <c r="E3149" s="0" t="n">
        <v>1107</v>
      </c>
      <c r="F3149" s="0" t="s">
        <v>166</v>
      </c>
      <c r="I3149" s="0" t="n">
        <v>438335</v>
      </c>
      <c r="J3149" s="0" t="n">
        <v>36857</v>
      </c>
      <c r="K3149" s="0" t="n">
        <v>7891962064048</v>
      </c>
      <c r="L3149" s="0" t="s">
        <v>3542</v>
      </c>
      <c r="N3149" s="0" t="n">
        <v>10</v>
      </c>
      <c r="O3149" s="60" t="n">
        <v>81.57</v>
      </c>
    </row>
    <row r="3150" customFormat="false" ht="15" hidden="false" customHeight="false" outlineLevel="0" collapsed="false">
      <c r="A3150" s="0" t="n">
        <v>3</v>
      </c>
      <c r="B3150" s="59" t="n">
        <v>46240</v>
      </c>
      <c r="C3150" s="0" t="n">
        <v>11</v>
      </c>
      <c r="D3150" s="0" t="s">
        <v>2126</v>
      </c>
      <c r="E3150" s="0" t="n">
        <v>1107</v>
      </c>
      <c r="F3150" s="0" t="s">
        <v>166</v>
      </c>
      <c r="I3150" s="0" t="n">
        <v>438335</v>
      </c>
      <c r="J3150" s="0" t="n">
        <v>36858</v>
      </c>
      <c r="K3150" s="0" t="n">
        <v>7891962064055</v>
      </c>
      <c r="L3150" s="0" t="s">
        <v>3543</v>
      </c>
      <c r="N3150" s="0" t="n">
        <v>10</v>
      </c>
      <c r="O3150" s="60" t="n">
        <v>94.78</v>
      </c>
    </row>
    <row r="3151" customFormat="false" ht="15" hidden="false" customHeight="false" outlineLevel="0" collapsed="false">
      <c r="A3151" s="0" t="n">
        <v>3</v>
      </c>
      <c r="B3151" s="59" t="n">
        <v>46240</v>
      </c>
      <c r="C3151" s="0" t="n">
        <v>11</v>
      </c>
      <c r="D3151" s="0" t="s">
        <v>2126</v>
      </c>
      <c r="E3151" s="0" t="n">
        <v>1107</v>
      </c>
      <c r="F3151" s="0" t="s">
        <v>166</v>
      </c>
      <c r="I3151" s="0" t="n">
        <v>438335</v>
      </c>
      <c r="J3151" s="0" t="n">
        <v>51223</v>
      </c>
      <c r="K3151" s="0" t="n">
        <v>7891962068046</v>
      </c>
      <c r="L3151" s="0" t="s">
        <v>3544</v>
      </c>
      <c r="N3151" s="0" t="n">
        <v>10</v>
      </c>
      <c r="O3151" s="60" t="n">
        <v>106.88</v>
      </c>
    </row>
    <row r="3152" customFormat="false" ht="15" hidden="false" customHeight="false" outlineLevel="0" collapsed="false">
      <c r="A3152" s="0" t="n">
        <v>3</v>
      </c>
      <c r="B3152" s="59" t="n">
        <v>46240</v>
      </c>
      <c r="C3152" s="0" t="n">
        <v>11</v>
      </c>
      <c r="D3152" s="0" t="s">
        <v>2126</v>
      </c>
      <c r="E3152" s="0" t="n">
        <v>1107</v>
      </c>
      <c r="F3152" s="0" t="s">
        <v>166</v>
      </c>
      <c r="I3152" s="0" t="n">
        <v>438335</v>
      </c>
      <c r="J3152" s="0" t="n">
        <v>51224</v>
      </c>
      <c r="K3152" s="0" t="n">
        <v>7891962068039</v>
      </c>
      <c r="L3152" s="0" t="s">
        <v>3545</v>
      </c>
      <c r="N3152" s="0" t="n">
        <v>10</v>
      </c>
      <c r="O3152" s="60" t="n">
        <v>106.88</v>
      </c>
    </row>
    <row r="3153" customFormat="false" ht="15" hidden="false" customHeight="false" outlineLevel="0" collapsed="false">
      <c r="A3153" s="0" t="n">
        <v>3</v>
      </c>
      <c r="B3153" s="59" t="n">
        <v>46240</v>
      </c>
      <c r="C3153" s="0" t="n">
        <v>11</v>
      </c>
      <c r="D3153" s="0" t="s">
        <v>2126</v>
      </c>
      <c r="E3153" s="0" t="n">
        <v>1107</v>
      </c>
      <c r="F3153" s="0" t="s">
        <v>166</v>
      </c>
      <c r="I3153" s="0" t="n">
        <v>438335</v>
      </c>
      <c r="J3153" s="0" t="n">
        <v>51225</v>
      </c>
      <c r="K3153" s="0" t="n">
        <v>7891962068022</v>
      </c>
      <c r="L3153" s="0" t="s">
        <v>3546</v>
      </c>
      <c r="N3153" s="0" t="n">
        <v>10</v>
      </c>
      <c r="O3153" s="60" t="n">
        <v>106.88</v>
      </c>
    </row>
    <row r="3154" customFormat="false" ht="15" hidden="false" customHeight="false" outlineLevel="0" collapsed="false">
      <c r="A3154" s="0" t="n">
        <v>3</v>
      </c>
      <c r="B3154" s="59" t="n">
        <v>46240</v>
      </c>
      <c r="C3154" s="0" t="n">
        <v>11</v>
      </c>
      <c r="D3154" s="0" t="s">
        <v>2126</v>
      </c>
      <c r="E3154" s="0" t="n">
        <v>1107</v>
      </c>
      <c r="F3154" s="0" t="s">
        <v>166</v>
      </c>
      <c r="I3154" s="0" t="n">
        <v>438335</v>
      </c>
      <c r="J3154" s="0" t="n">
        <v>61192</v>
      </c>
      <c r="K3154" s="0" t="n">
        <v>7891962071763</v>
      </c>
      <c r="L3154" s="0" t="s">
        <v>3547</v>
      </c>
      <c r="N3154" s="0" t="n">
        <v>36</v>
      </c>
      <c r="O3154" s="60" t="n">
        <v>68.6</v>
      </c>
    </row>
    <row r="3155" customFormat="false" ht="15" hidden="false" customHeight="false" outlineLevel="0" collapsed="false">
      <c r="A3155" s="0" t="n">
        <v>3</v>
      </c>
      <c r="B3155" s="59" t="n">
        <v>46240</v>
      </c>
      <c r="C3155" s="0" t="n">
        <v>11</v>
      </c>
      <c r="D3155" s="0" t="s">
        <v>2126</v>
      </c>
      <c r="E3155" s="0" t="n">
        <v>1107</v>
      </c>
      <c r="F3155" s="0" t="s">
        <v>166</v>
      </c>
      <c r="I3155" s="0" t="n">
        <v>438335</v>
      </c>
      <c r="J3155" s="0" t="n">
        <v>62128</v>
      </c>
      <c r="K3155" s="0" t="n">
        <v>7891962071732</v>
      </c>
      <c r="L3155" s="0" t="s">
        <v>3548</v>
      </c>
      <c r="N3155" s="0" t="n">
        <v>36</v>
      </c>
      <c r="O3155" s="60" t="n">
        <v>68.6</v>
      </c>
    </row>
    <row r="3156" customFormat="false" ht="15" hidden="false" customHeight="false" outlineLevel="0" collapsed="false">
      <c r="A3156" s="0" t="n">
        <v>3</v>
      </c>
      <c r="B3156" s="59" t="n">
        <v>46240</v>
      </c>
      <c r="C3156" s="0" t="n">
        <v>11</v>
      </c>
      <c r="D3156" s="0" t="s">
        <v>2126</v>
      </c>
      <c r="E3156" s="0" t="n">
        <v>1107</v>
      </c>
      <c r="F3156" s="0" t="s">
        <v>166</v>
      </c>
      <c r="I3156" s="0" t="n">
        <v>438335</v>
      </c>
      <c r="J3156" s="0" t="n">
        <v>62129</v>
      </c>
      <c r="K3156" s="0" t="n">
        <v>7891962071749</v>
      </c>
      <c r="L3156" s="0" t="s">
        <v>3549</v>
      </c>
      <c r="N3156" s="0" t="n">
        <v>36</v>
      </c>
      <c r="O3156" s="60" t="n">
        <v>68.6</v>
      </c>
    </row>
    <row r="3157" customFormat="false" ht="15" hidden="false" customHeight="false" outlineLevel="0" collapsed="false">
      <c r="A3157" s="0" t="n">
        <v>3</v>
      </c>
      <c r="B3157" s="59" t="n">
        <v>46240</v>
      </c>
      <c r="C3157" s="0" t="n">
        <v>11</v>
      </c>
      <c r="D3157" s="0" t="s">
        <v>2126</v>
      </c>
      <c r="E3157" s="0" t="n">
        <v>1107</v>
      </c>
      <c r="F3157" s="0" t="s">
        <v>166</v>
      </c>
      <c r="I3157" s="0" t="n">
        <v>438335</v>
      </c>
      <c r="J3157" s="0" t="n">
        <v>62130</v>
      </c>
      <c r="K3157" s="0" t="n">
        <v>7891962071756</v>
      </c>
      <c r="L3157" s="0" t="s">
        <v>3550</v>
      </c>
      <c r="N3157" s="0" t="n">
        <v>36</v>
      </c>
      <c r="O3157" s="60" t="n">
        <v>68.6</v>
      </c>
    </row>
    <row r="3158" customFormat="false" ht="15" hidden="false" customHeight="false" outlineLevel="0" collapsed="false">
      <c r="A3158" s="0" t="n">
        <v>3</v>
      </c>
      <c r="B3158" s="59" t="n">
        <v>46240</v>
      </c>
      <c r="C3158" s="0" t="n">
        <v>11</v>
      </c>
      <c r="D3158" s="0" t="s">
        <v>2126</v>
      </c>
      <c r="E3158" s="0" t="n">
        <v>1107</v>
      </c>
      <c r="F3158" s="0" t="s">
        <v>166</v>
      </c>
      <c r="I3158" s="0" t="n">
        <v>438335</v>
      </c>
      <c r="J3158" s="0" t="n">
        <v>64856</v>
      </c>
      <c r="K3158" s="0" t="n">
        <v>7891962074665</v>
      </c>
      <c r="L3158" s="0" t="s">
        <v>3551</v>
      </c>
      <c r="N3158" s="0" t="n">
        <v>48</v>
      </c>
      <c r="O3158" s="60" t="n">
        <v>76.96</v>
      </c>
    </row>
    <row r="3159" customFormat="false" ht="15" hidden="false" customHeight="false" outlineLevel="0" collapsed="false">
      <c r="A3159" s="0" t="n">
        <v>3</v>
      </c>
      <c r="B3159" s="59" t="n">
        <v>46240</v>
      </c>
      <c r="C3159" s="0" t="n">
        <v>11</v>
      </c>
      <c r="D3159" s="0" t="s">
        <v>2126</v>
      </c>
      <c r="E3159" s="0" t="n">
        <v>1107</v>
      </c>
      <c r="F3159" s="0" t="s">
        <v>166</v>
      </c>
      <c r="I3159" s="0" t="n">
        <v>438335</v>
      </c>
      <c r="J3159" s="0" t="n">
        <v>66688</v>
      </c>
      <c r="K3159" s="0" t="n">
        <v>7891962065892</v>
      </c>
      <c r="L3159" s="0" t="s">
        <v>3552</v>
      </c>
      <c r="N3159" s="0" t="n">
        <v>24</v>
      </c>
      <c r="O3159" s="60" t="n">
        <v>60.26</v>
      </c>
    </row>
    <row r="3160" customFormat="false" ht="15" hidden="false" customHeight="false" outlineLevel="0" collapsed="false">
      <c r="A3160" s="0" t="n">
        <v>3</v>
      </c>
      <c r="B3160" s="59" t="n">
        <v>46240</v>
      </c>
      <c r="C3160" s="0" t="n">
        <v>11</v>
      </c>
      <c r="D3160" s="0" t="s">
        <v>2126</v>
      </c>
      <c r="E3160" s="0" t="n">
        <v>1107</v>
      </c>
      <c r="F3160" s="0" t="s">
        <v>166</v>
      </c>
      <c r="I3160" s="0" t="n">
        <v>438335</v>
      </c>
      <c r="J3160" s="0" t="n">
        <v>66689</v>
      </c>
      <c r="K3160" s="0" t="n">
        <v>7891962065885</v>
      </c>
      <c r="L3160" s="0" t="s">
        <v>3553</v>
      </c>
      <c r="N3160" s="0" t="n">
        <v>24</v>
      </c>
      <c r="O3160" s="60" t="n">
        <v>60.26</v>
      </c>
    </row>
    <row r="3161" customFormat="false" ht="15" hidden="false" customHeight="false" outlineLevel="0" collapsed="false">
      <c r="A3161" s="0" t="n">
        <v>3</v>
      </c>
      <c r="B3161" s="59" t="n">
        <v>46240</v>
      </c>
      <c r="C3161" s="0" t="n">
        <v>11</v>
      </c>
      <c r="D3161" s="0" t="s">
        <v>2126</v>
      </c>
      <c r="E3161" s="0" t="n">
        <v>1107</v>
      </c>
      <c r="F3161" s="0" t="s">
        <v>166</v>
      </c>
      <c r="I3161" s="0" t="n">
        <v>438335</v>
      </c>
      <c r="J3161" s="0" t="n">
        <v>67068</v>
      </c>
      <c r="K3161" s="0" t="n">
        <v>7891962065878</v>
      </c>
      <c r="L3161" s="0" t="s">
        <v>3554</v>
      </c>
      <c r="N3161" s="0" t="n">
        <v>24</v>
      </c>
      <c r="O3161" s="60" t="n">
        <v>60.26</v>
      </c>
    </row>
    <row r="3162" customFormat="false" ht="15" hidden="false" customHeight="false" outlineLevel="0" collapsed="false">
      <c r="A3162" s="0" t="n">
        <v>3</v>
      </c>
      <c r="B3162" s="59" t="n">
        <v>46240</v>
      </c>
      <c r="C3162" s="0" t="n">
        <v>11</v>
      </c>
      <c r="D3162" s="0" t="s">
        <v>2126</v>
      </c>
      <c r="E3162" s="0" t="n">
        <v>1107</v>
      </c>
      <c r="F3162" s="0" t="s">
        <v>166</v>
      </c>
      <c r="I3162" s="0" t="n">
        <v>438335</v>
      </c>
      <c r="J3162" s="0" t="n">
        <v>75874</v>
      </c>
      <c r="K3162" s="0" t="n">
        <v>7891048000038</v>
      </c>
      <c r="L3162" s="0" t="s">
        <v>3555</v>
      </c>
      <c r="N3162" s="0" t="n">
        <v>12</v>
      </c>
      <c r="O3162" s="60" t="n">
        <v>60.38</v>
      </c>
    </row>
    <row r="3163" customFormat="false" ht="15" hidden="false" customHeight="false" outlineLevel="0" collapsed="false">
      <c r="A3163" s="0" t="n">
        <v>3</v>
      </c>
      <c r="B3163" s="59" t="n">
        <v>46240</v>
      </c>
      <c r="C3163" s="0" t="n">
        <v>11</v>
      </c>
      <c r="D3163" s="0" t="s">
        <v>2126</v>
      </c>
      <c r="E3163" s="0" t="n">
        <v>1642</v>
      </c>
      <c r="F3163" s="0" t="s">
        <v>276</v>
      </c>
      <c r="I3163" s="0" t="n">
        <v>1035517</v>
      </c>
      <c r="J3163" s="0" t="n">
        <v>104335</v>
      </c>
      <c r="K3163" s="0" t="n">
        <v>7896289210512</v>
      </c>
      <c r="L3163" s="0" t="s">
        <v>2734</v>
      </c>
      <c r="N3163" s="0" t="n">
        <v>6</v>
      </c>
      <c r="O3163" s="60" t="n">
        <v>51.6</v>
      </c>
    </row>
    <row r="3164" customFormat="false" ht="15" hidden="false" customHeight="false" outlineLevel="0" collapsed="false">
      <c r="A3164" s="0" t="n">
        <v>3</v>
      </c>
      <c r="B3164" s="59" t="n">
        <v>46240</v>
      </c>
      <c r="C3164" s="0" t="n">
        <v>11</v>
      </c>
      <c r="D3164" s="0" t="s">
        <v>2126</v>
      </c>
      <c r="E3164" s="0" t="n">
        <v>1642</v>
      </c>
      <c r="F3164" s="0" t="s">
        <v>276</v>
      </c>
      <c r="I3164" s="0" t="n">
        <v>1035517</v>
      </c>
      <c r="J3164" s="0" t="n">
        <v>105780</v>
      </c>
      <c r="K3164" s="0" t="n">
        <v>7896289210017</v>
      </c>
      <c r="L3164" s="0" t="s">
        <v>2186</v>
      </c>
      <c r="N3164" s="0" t="n">
        <v>12</v>
      </c>
      <c r="O3164" s="60" t="n">
        <v>128.04</v>
      </c>
    </row>
    <row r="3165" customFormat="false" ht="15" hidden="false" customHeight="false" outlineLevel="0" collapsed="false">
      <c r="A3165" s="0" t="n">
        <v>3</v>
      </c>
      <c r="B3165" s="59" t="n">
        <v>46240</v>
      </c>
      <c r="C3165" s="0" t="n">
        <v>11</v>
      </c>
      <c r="D3165" s="0" t="s">
        <v>2126</v>
      </c>
      <c r="E3165" s="0" t="n">
        <v>1642</v>
      </c>
      <c r="F3165" s="0" t="s">
        <v>276</v>
      </c>
      <c r="I3165" s="0" t="n">
        <v>1035517</v>
      </c>
      <c r="J3165" s="0" t="n">
        <v>105782</v>
      </c>
      <c r="K3165" s="0" t="n">
        <v>7896289210352</v>
      </c>
      <c r="L3165" s="0" t="s">
        <v>2187</v>
      </c>
      <c r="N3165" s="0" t="n">
        <v>10</v>
      </c>
      <c r="O3165" s="60" t="n">
        <v>68.6</v>
      </c>
    </row>
    <row r="3166" customFormat="false" ht="15" hidden="false" customHeight="false" outlineLevel="0" collapsed="false">
      <c r="A3166" s="0" t="n">
        <v>3</v>
      </c>
      <c r="B3166" s="59" t="n">
        <v>46240</v>
      </c>
      <c r="C3166" s="0" t="n">
        <v>11</v>
      </c>
      <c r="D3166" s="0" t="s">
        <v>2126</v>
      </c>
      <c r="E3166" s="0" t="n">
        <v>1642</v>
      </c>
      <c r="F3166" s="0" t="s">
        <v>276</v>
      </c>
      <c r="I3166" s="0" t="n">
        <v>1035517</v>
      </c>
      <c r="J3166" s="0" t="n">
        <v>106079</v>
      </c>
      <c r="K3166" s="0" t="n">
        <v>7896289210130</v>
      </c>
      <c r="L3166" s="0" t="s">
        <v>2188</v>
      </c>
      <c r="N3166" s="0" t="n">
        <v>8</v>
      </c>
      <c r="O3166" s="60" t="n">
        <v>109.6</v>
      </c>
    </row>
    <row r="3167" customFormat="false" ht="15" hidden="false" customHeight="false" outlineLevel="0" collapsed="false">
      <c r="A3167" s="0" t="n">
        <v>3</v>
      </c>
      <c r="B3167" s="59" t="n">
        <v>46240</v>
      </c>
      <c r="C3167" s="0" t="n">
        <v>11</v>
      </c>
      <c r="D3167" s="0" t="s">
        <v>2126</v>
      </c>
      <c r="E3167" s="0" t="n">
        <v>1642</v>
      </c>
      <c r="F3167" s="0" t="s">
        <v>276</v>
      </c>
      <c r="I3167" s="0" t="n">
        <v>1035517</v>
      </c>
      <c r="J3167" s="0" t="n">
        <v>106274</v>
      </c>
      <c r="K3167" s="0" t="n">
        <v>7896289210086</v>
      </c>
      <c r="L3167" s="0" t="s">
        <v>2189</v>
      </c>
      <c r="N3167" s="0" t="n">
        <v>6</v>
      </c>
      <c r="O3167" s="60" t="n">
        <v>75.36</v>
      </c>
    </row>
    <row r="3168" customFormat="false" ht="15" hidden="false" customHeight="false" outlineLevel="0" collapsed="false">
      <c r="A3168" s="0" t="n">
        <v>3</v>
      </c>
      <c r="B3168" s="59" t="n">
        <v>46240</v>
      </c>
      <c r="C3168" s="0" t="n">
        <v>11</v>
      </c>
      <c r="D3168" s="0" t="s">
        <v>2126</v>
      </c>
      <c r="E3168" s="0" t="n">
        <v>1642</v>
      </c>
      <c r="F3168" s="0" t="s">
        <v>276</v>
      </c>
      <c r="I3168" s="0" t="n">
        <v>1035517</v>
      </c>
      <c r="J3168" s="0" t="n">
        <v>106280</v>
      </c>
      <c r="K3168" s="0" t="n">
        <v>7896289210062</v>
      </c>
      <c r="L3168" s="0" t="s">
        <v>2190</v>
      </c>
      <c r="N3168" s="0" t="n">
        <v>6</v>
      </c>
      <c r="O3168" s="60" t="n">
        <v>75.36</v>
      </c>
    </row>
    <row r="3169" customFormat="false" ht="15" hidden="false" customHeight="false" outlineLevel="0" collapsed="false">
      <c r="A3169" s="0" t="n">
        <v>3</v>
      </c>
      <c r="B3169" s="59" t="n">
        <v>46240</v>
      </c>
      <c r="C3169" s="0" t="n">
        <v>11</v>
      </c>
      <c r="D3169" s="0" t="s">
        <v>2126</v>
      </c>
      <c r="E3169" s="0" t="n">
        <v>1642</v>
      </c>
      <c r="F3169" s="0" t="s">
        <v>276</v>
      </c>
      <c r="I3169" s="0" t="n">
        <v>1035517</v>
      </c>
      <c r="J3169" s="0" t="n">
        <v>106407</v>
      </c>
      <c r="K3169" s="0" t="n">
        <v>7896289210031</v>
      </c>
      <c r="L3169" s="0" t="s">
        <v>2191</v>
      </c>
      <c r="N3169" s="0" t="n">
        <v>12</v>
      </c>
      <c r="O3169" s="60" t="n">
        <v>139.68</v>
      </c>
    </row>
    <row r="3170" customFormat="false" ht="15" hidden="false" customHeight="false" outlineLevel="0" collapsed="false">
      <c r="A3170" s="0" t="n">
        <v>3</v>
      </c>
      <c r="B3170" s="59" t="n">
        <v>46240</v>
      </c>
      <c r="C3170" s="0" t="n">
        <v>11</v>
      </c>
      <c r="D3170" s="0" t="s">
        <v>2126</v>
      </c>
      <c r="E3170" s="0" t="n">
        <v>1672</v>
      </c>
      <c r="F3170" s="0" t="s">
        <v>68</v>
      </c>
      <c r="I3170" s="0" t="n">
        <v>1413401</v>
      </c>
      <c r="J3170" s="0" t="n">
        <v>40014</v>
      </c>
      <c r="K3170" s="0" t="n">
        <v>7899465200512</v>
      </c>
      <c r="L3170" s="0" t="s">
        <v>3556</v>
      </c>
      <c r="N3170" s="0" t="n">
        <v>6</v>
      </c>
      <c r="O3170" s="60" t="n">
        <v>58.2</v>
      </c>
    </row>
    <row r="3171" customFormat="false" ht="15" hidden="false" customHeight="false" outlineLevel="0" collapsed="false">
      <c r="A3171" s="0" t="n">
        <v>3</v>
      </c>
      <c r="B3171" s="59" t="n">
        <v>46240</v>
      </c>
      <c r="C3171" s="0" t="n">
        <v>11</v>
      </c>
      <c r="D3171" s="0" t="s">
        <v>2126</v>
      </c>
      <c r="E3171" s="0" t="n">
        <v>1672</v>
      </c>
      <c r="F3171" s="0" t="s">
        <v>68</v>
      </c>
      <c r="I3171" s="0" t="n">
        <v>1413401</v>
      </c>
      <c r="J3171" s="0" t="n">
        <v>103165</v>
      </c>
      <c r="K3171" s="0" t="n">
        <v>7896579310106</v>
      </c>
      <c r="L3171" s="0" t="s">
        <v>2937</v>
      </c>
      <c r="N3171" s="0" t="n">
        <v>27</v>
      </c>
      <c r="O3171" s="60" t="n">
        <v>110.7</v>
      </c>
    </row>
    <row r="3172" customFormat="false" ht="15" hidden="false" customHeight="false" outlineLevel="0" collapsed="false">
      <c r="A3172" s="0" t="n">
        <v>3</v>
      </c>
      <c r="B3172" s="59" t="n">
        <v>46240</v>
      </c>
      <c r="C3172" s="0" t="n">
        <v>11</v>
      </c>
      <c r="D3172" s="0" t="s">
        <v>2126</v>
      </c>
      <c r="E3172" s="0" t="n">
        <v>1672</v>
      </c>
      <c r="F3172" s="0" t="s">
        <v>68</v>
      </c>
      <c r="I3172" s="0" t="n">
        <v>1413401</v>
      </c>
      <c r="J3172" s="0" t="n">
        <v>103940</v>
      </c>
      <c r="K3172" s="0" t="n">
        <v>7896579330081</v>
      </c>
      <c r="L3172" s="0" t="s">
        <v>2938</v>
      </c>
      <c r="N3172" s="0" t="n">
        <v>120</v>
      </c>
      <c r="O3172" s="60" t="n">
        <v>108</v>
      </c>
    </row>
    <row r="3173" customFormat="false" ht="15" hidden="false" customHeight="false" outlineLevel="0" collapsed="false">
      <c r="A3173" s="0" t="n">
        <v>3</v>
      </c>
      <c r="B3173" s="59" t="n">
        <v>46240</v>
      </c>
      <c r="C3173" s="0" t="n">
        <v>11</v>
      </c>
      <c r="D3173" s="0" t="s">
        <v>2126</v>
      </c>
      <c r="E3173" s="0" t="n">
        <v>1672</v>
      </c>
      <c r="F3173" s="0" t="s">
        <v>68</v>
      </c>
      <c r="I3173" s="0" t="n">
        <v>1413401</v>
      </c>
      <c r="J3173" s="0" t="n">
        <v>103941</v>
      </c>
      <c r="K3173" s="0" t="n">
        <v>7896579330036</v>
      </c>
      <c r="L3173" s="0" t="s">
        <v>2939</v>
      </c>
      <c r="N3173" s="0" t="n">
        <v>36</v>
      </c>
      <c r="O3173" s="60" t="n">
        <v>43.2</v>
      </c>
    </row>
    <row r="3174" customFormat="false" ht="15" hidden="false" customHeight="false" outlineLevel="0" collapsed="false">
      <c r="A3174" s="0" t="n">
        <v>3</v>
      </c>
      <c r="B3174" s="59" t="n">
        <v>46240</v>
      </c>
      <c r="C3174" s="0" t="n">
        <v>11</v>
      </c>
      <c r="D3174" s="0" t="s">
        <v>2126</v>
      </c>
      <c r="E3174" s="0" t="n">
        <v>1672</v>
      </c>
      <c r="F3174" s="0" t="s">
        <v>68</v>
      </c>
      <c r="I3174" s="0" t="n">
        <v>1413401</v>
      </c>
      <c r="J3174" s="0" t="n">
        <v>104355</v>
      </c>
      <c r="K3174" s="0" t="n">
        <v>7896579380116</v>
      </c>
      <c r="L3174" s="0" t="s">
        <v>2940</v>
      </c>
      <c r="N3174" s="0" t="n">
        <v>27</v>
      </c>
      <c r="O3174" s="60" t="n">
        <v>110.7</v>
      </c>
    </row>
    <row r="3175" customFormat="false" ht="15" hidden="false" customHeight="false" outlineLevel="0" collapsed="false">
      <c r="A3175" s="0" t="n">
        <v>3</v>
      </c>
      <c r="B3175" s="59" t="n">
        <v>46240</v>
      </c>
      <c r="C3175" s="0" t="n">
        <v>11</v>
      </c>
      <c r="D3175" s="0" t="s">
        <v>2126</v>
      </c>
      <c r="E3175" s="0" t="n">
        <v>1672</v>
      </c>
      <c r="F3175" s="0" t="s">
        <v>68</v>
      </c>
      <c r="I3175" s="0" t="n">
        <v>1413401</v>
      </c>
      <c r="J3175" s="0" t="n">
        <v>104360</v>
      </c>
      <c r="K3175" s="0" t="n">
        <v>7896579330074</v>
      </c>
      <c r="L3175" s="0" t="s">
        <v>2941</v>
      </c>
      <c r="N3175" s="0" t="n">
        <v>60</v>
      </c>
      <c r="O3175" s="60" t="n">
        <v>78</v>
      </c>
    </row>
    <row r="3176" customFormat="false" ht="15" hidden="false" customHeight="false" outlineLevel="0" collapsed="false">
      <c r="A3176" s="0" t="n">
        <v>3</v>
      </c>
      <c r="B3176" s="59" t="n">
        <v>46240</v>
      </c>
      <c r="C3176" s="0" t="n">
        <v>11</v>
      </c>
      <c r="D3176" s="0" t="s">
        <v>2126</v>
      </c>
      <c r="E3176" s="0" t="n">
        <v>1672</v>
      </c>
      <c r="F3176" s="0" t="s">
        <v>68</v>
      </c>
      <c r="I3176" s="0" t="n">
        <v>1413401</v>
      </c>
      <c r="J3176" s="0" t="n">
        <v>10834</v>
      </c>
      <c r="K3176" s="0" t="n">
        <v>7896579320129</v>
      </c>
      <c r="L3176" s="0" t="s">
        <v>3557</v>
      </c>
      <c r="N3176" s="0" t="n">
        <v>9</v>
      </c>
      <c r="O3176" s="60" t="n">
        <v>27</v>
      </c>
    </row>
    <row r="3177" customFormat="false" ht="15" hidden="false" customHeight="false" outlineLevel="0" collapsed="false">
      <c r="A3177" s="0" t="n">
        <v>3</v>
      </c>
      <c r="B3177" s="59" t="n">
        <v>46240</v>
      </c>
      <c r="C3177" s="0" t="n">
        <v>11</v>
      </c>
      <c r="D3177" s="0" t="s">
        <v>2126</v>
      </c>
      <c r="E3177" s="0" t="n">
        <v>1672</v>
      </c>
      <c r="F3177" s="0" t="s">
        <v>68</v>
      </c>
      <c r="I3177" s="0" t="n">
        <v>1413401</v>
      </c>
      <c r="J3177" s="0" t="n">
        <v>14974</v>
      </c>
      <c r="K3177" s="0" t="n">
        <v>7896579380123</v>
      </c>
      <c r="L3177" s="0" t="s">
        <v>3558</v>
      </c>
      <c r="N3177" s="0" t="n">
        <v>27</v>
      </c>
      <c r="O3177" s="60" t="n">
        <v>81</v>
      </c>
    </row>
    <row r="3178" customFormat="false" ht="15" hidden="false" customHeight="false" outlineLevel="0" collapsed="false">
      <c r="A3178" s="0" t="n">
        <v>3</v>
      </c>
      <c r="B3178" s="59" t="n">
        <v>46240</v>
      </c>
      <c r="C3178" s="0" t="n">
        <v>11</v>
      </c>
      <c r="D3178" s="0" t="s">
        <v>2126</v>
      </c>
      <c r="E3178" s="0" t="n">
        <v>1672</v>
      </c>
      <c r="F3178" s="0" t="s">
        <v>68</v>
      </c>
      <c r="I3178" s="0" t="n">
        <v>1413401</v>
      </c>
      <c r="J3178" s="0" t="n">
        <v>23258</v>
      </c>
      <c r="K3178" s="0" t="n">
        <v>7899465200505</v>
      </c>
      <c r="L3178" s="0" t="s">
        <v>2953</v>
      </c>
      <c r="N3178" s="0" t="n">
        <v>18</v>
      </c>
      <c r="O3178" s="60" t="n">
        <v>46.8</v>
      </c>
    </row>
    <row r="3179" customFormat="false" ht="15" hidden="false" customHeight="false" outlineLevel="0" collapsed="false">
      <c r="A3179" s="0" t="n">
        <v>3</v>
      </c>
      <c r="B3179" s="59" t="n">
        <v>46240</v>
      </c>
      <c r="C3179" s="0" t="n">
        <v>11</v>
      </c>
      <c r="D3179" s="0" t="s">
        <v>2126</v>
      </c>
      <c r="E3179" s="0" t="n">
        <v>1672</v>
      </c>
      <c r="F3179" s="0" t="s">
        <v>68</v>
      </c>
      <c r="I3179" s="0" t="n">
        <v>1413401</v>
      </c>
      <c r="J3179" s="0" t="n">
        <v>31622</v>
      </c>
      <c r="K3179" s="0" t="n">
        <v>7896579370032</v>
      </c>
      <c r="L3179" s="0" t="s">
        <v>2958</v>
      </c>
      <c r="N3179" s="0" t="n">
        <v>18</v>
      </c>
      <c r="O3179" s="60" t="n">
        <v>86.4</v>
      </c>
    </row>
    <row r="3180" customFormat="false" ht="15" hidden="false" customHeight="false" outlineLevel="0" collapsed="false">
      <c r="A3180" s="0" t="n">
        <v>3</v>
      </c>
      <c r="B3180" s="59" t="n">
        <v>46240</v>
      </c>
      <c r="C3180" s="0" t="n">
        <v>11</v>
      </c>
      <c r="D3180" s="0" t="s">
        <v>2126</v>
      </c>
      <c r="E3180" s="0" t="n">
        <v>1672</v>
      </c>
      <c r="F3180" s="0" t="s">
        <v>68</v>
      </c>
      <c r="I3180" s="0" t="n">
        <v>1413401</v>
      </c>
      <c r="J3180" s="0" t="n">
        <v>35007</v>
      </c>
      <c r="K3180" s="0" t="n">
        <v>7896579340110</v>
      </c>
      <c r="L3180" s="0" t="s">
        <v>2961</v>
      </c>
      <c r="N3180" s="0" t="n">
        <v>9</v>
      </c>
      <c r="O3180" s="60" t="n">
        <v>40.5</v>
      </c>
    </row>
    <row r="3181" customFormat="false" ht="15" hidden="false" customHeight="false" outlineLevel="0" collapsed="false">
      <c r="A3181" s="0" t="n">
        <v>3</v>
      </c>
      <c r="B3181" s="59" t="n">
        <v>46240</v>
      </c>
      <c r="C3181" s="0" t="n">
        <v>11</v>
      </c>
      <c r="D3181" s="0" t="s">
        <v>2126</v>
      </c>
      <c r="E3181" s="0" t="n">
        <v>1672</v>
      </c>
      <c r="F3181" s="0" t="s">
        <v>68</v>
      </c>
      <c r="I3181" s="0" t="n">
        <v>1413401</v>
      </c>
      <c r="J3181" s="0" t="n">
        <v>35008</v>
      </c>
      <c r="K3181" s="0" t="n">
        <v>7896579350256</v>
      </c>
      <c r="L3181" s="0" t="s">
        <v>2962</v>
      </c>
      <c r="N3181" s="0" t="n">
        <v>18</v>
      </c>
      <c r="O3181" s="60" t="n">
        <v>81</v>
      </c>
    </row>
    <row r="3182" customFormat="false" ht="15" hidden="false" customHeight="false" outlineLevel="0" collapsed="false">
      <c r="A3182" s="0" t="n">
        <v>3</v>
      </c>
      <c r="B3182" s="59" t="n">
        <v>46240</v>
      </c>
      <c r="C3182" s="0" t="n">
        <v>11</v>
      </c>
      <c r="D3182" s="0" t="s">
        <v>2126</v>
      </c>
      <c r="E3182" s="0" t="n">
        <v>1672</v>
      </c>
      <c r="F3182" s="0" t="s">
        <v>68</v>
      </c>
      <c r="I3182" s="0" t="n">
        <v>1413401</v>
      </c>
      <c r="J3182" s="0" t="n">
        <v>37153</v>
      </c>
      <c r="K3182" s="0" t="n">
        <v>7896579310311</v>
      </c>
      <c r="L3182" s="0" t="s">
        <v>2963</v>
      </c>
      <c r="N3182" s="0" t="n">
        <v>18</v>
      </c>
      <c r="O3182" s="60" t="n">
        <v>52.2</v>
      </c>
    </row>
    <row r="3183" customFormat="false" ht="15" hidden="false" customHeight="false" outlineLevel="0" collapsed="false">
      <c r="A3183" s="0" t="n">
        <v>3</v>
      </c>
      <c r="B3183" s="59" t="n">
        <v>46240</v>
      </c>
      <c r="C3183" s="0" t="n">
        <v>11</v>
      </c>
      <c r="D3183" s="0" t="s">
        <v>2126</v>
      </c>
      <c r="E3183" s="0" t="n">
        <v>1672</v>
      </c>
      <c r="F3183" s="0" t="s">
        <v>68</v>
      </c>
      <c r="I3183" s="0" t="n">
        <v>1413401</v>
      </c>
      <c r="J3183" s="0" t="n">
        <v>37154</v>
      </c>
      <c r="K3183" s="0" t="n">
        <v>7896579310601</v>
      </c>
      <c r="L3183" s="0" t="s">
        <v>2964</v>
      </c>
      <c r="N3183" s="0" t="n">
        <v>18</v>
      </c>
      <c r="O3183" s="60" t="n">
        <v>81</v>
      </c>
    </row>
    <row r="3184" customFormat="false" ht="15" hidden="false" customHeight="false" outlineLevel="0" collapsed="false">
      <c r="A3184" s="0" t="n">
        <v>3</v>
      </c>
      <c r="B3184" s="59" t="n">
        <v>46240</v>
      </c>
      <c r="C3184" s="0" t="n">
        <v>11</v>
      </c>
      <c r="D3184" s="0" t="s">
        <v>2126</v>
      </c>
      <c r="E3184" s="0" t="n">
        <v>1672</v>
      </c>
      <c r="F3184" s="0" t="s">
        <v>68</v>
      </c>
      <c r="I3184" s="0" t="n">
        <v>1413401</v>
      </c>
      <c r="J3184" s="0" t="n">
        <v>37157</v>
      </c>
      <c r="K3184" s="0" t="n">
        <v>7896579310403</v>
      </c>
      <c r="L3184" s="0" t="s">
        <v>2966</v>
      </c>
      <c r="N3184" s="0" t="n">
        <v>18</v>
      </c>
      <c r="O3184" s="60" t="n">
        <v>81</v>
      </c>
    </row>
    <row r="3185" customFormat="false" ht="15" hidden="false" customHeight="false" outlineLevel="0" collapsed="false">
      <c r="A3185" s="0" t="n">
        <v>3</v>
      </c>
      <c r="B3185" s="59" t="n">
        <v>46240</v>
      </c>
      <c r="C3185" s="0" t="n">
        <v>11</v>
      </c>
      <c r="D3185" s="0" t="s">
        <v>2126</v>
      </c>
      <c r="E3185" s="0" t="n">
        <v>1672</v>
      </c>
      <c r="F3185" s="0" t="s">
        <v>68</v>
      </c>
      <c r="I3185" s="0" t="n">
        <v>1413401</v>
      </c>
      <c r="J3185" s="0" t="n">
        <v>37158</v>
      </c>
      <c r="K3185" s="0" t="n">
        <v>7896579310304</v>
      </c>
      <c r="L3185" s="0" t="s">
        <v>3559</v>
      </c>
      <c r="N3185" s="0" t="n">
        <v>9</v>
      </c>
      <c r="O3185" s="60" t="n">
        <v>34.2</v>
      </c>
    </row>
    <row r="3186" customFormat="false" ht="15" hidden="false" customHeight="false" outlineLevel="0" collapsed="false">
      <c r="A3186" s="0" t="n">
        <v>3</v>
      </c>
      <c r="B3186" s="59" t="n">
        <v>46240</v>
      </c>
      <c r="C3186" s="0" t="n">
        <v>11</v>
      </c>
      <c r="D3186" s="0" t="s">
        <v>2126</v>
      </c>
      <c r="E3186" s="0" t="n">
        <v>1672</v>
      </c>
      <c r="F3186" s="0" t="s">
        <v>68</v>
      </c>
      <c r="I3186" s="0" t="n">
        <v>1413401</v>
      </c>
      <c r="J3186" s="0" t="n">
        <v>38315</v>
      </c>
      <c r="K3186" s="0" t="n">
        <v>7896579320242</v>
      </c>
      <c r="L3186" s="0" t="s">
        <v>2967</v>
      </c>
      <c r="N3186" s="0" t="n">
        <v>27</v>
      </c>
      <c r="O3186" s="60" t="n">
        <v>81</v>
      </c>
    </row>
    <row r="3187" customFormat="false" ht="15" hidden="false" customHeight="false" outlineLevel="0" collapsed="false">
      <c r="A3187" s="0" t="n">
        <v>3</v>
      </c>
      <c r="B3187" s="59" t="n">
        <v>46240</v>
      </c>
      <c r="C3187" s="0" t="n">
        <v>11</v>
      </c>
      <c r="D3187" s="0" t="s">
        <v>2126</v>
      </c>
      <c r="E3187" s="0" t="n">
        <v>1672</v>
      </c>
      <c r="F3187" s="0" t="s">
        <v>68</v>
      </c>
      <c r="I3187" s="0" t="n">
        <v>1413401</v>
      </c>
      <c r="J3187" s="0" t="n">
        <v>38539</v>
      </c>
      <c r="K3187" s="0" t="n">
        <v>7896579320235</v>
      </c>
      <c r="L3187" s="0" t="s">
        <v>2968</v>
      </c>
      <c r="N3187" s="0" t="n">
        <v>18</v>
      </c>
      <c r="O3187" s="60" t="n">
        <v>73.8</v>
      </c>
    </row>
    <row r="3188" customFormat="false" ht="15" hidden="false" customHeight="false" outlineLevel="0" collapsed="false">
      <c r="A3188" s="0" t="n">
        <v>3</v>
      </c>
      <c r="B3188" s="59" t="n">
        <v>46240</v>
      </c>
      <c r="C3188" s="0" t="n">
        <v>11</v>
      </c>
      <c r="D3188" s="0" t="s">
        <v>2126</v>
      </c>
      <c r="E3188" s="0" t="n">
        <v>1672</v>
      </c>
      <c r="F3188" s="0" t="s">
        <v>68</v>
      </c>
      <c r="I3188" s="0" t="n">
        <v>1413401</v>
      </c>
      <c r="J3188" s="0" t="n">
        <v>45144</v>
      </c>
      <c r="K3188" s="0" t="n">
        <v>7896579350164</v>
      </c>
      <c r="L3188" s="0" t="s">
        <v>2969</v>
      </c>
      <c r="N3188" s="0" t="n">
        <v>18</v>
      </c>
      <c r="O3188" s="60" t="n">
        <v>81</v>
      </c>
    </row>
    <row r="3189" customFormat="false" ht="15" hidden="false" customHeight="false" outlineLevel="0" collapsed="false">
      <c r="A3189" s="0" t="n">
        <v>3</v>
      </c>
      <c r="B3189" s="59" t="n">
        <v>46240</v>
      </c>
      <c r="C3189" s="0" t="n">
        <v>11</v>
      </c>
      <c r="D3189" s="0" t="s">
        <v>2126</v>
      </c>
      <c r="E3189" s="0" t="n">
        <v>1672</v>
      </c>
      <c r="F3189" s="0" t="s">
        <v>68</v>
      </c>
      <c r="I3189" s="0" t="n">
        <v>1413401</v>
      </c>
      <c r="J3189" s="0" t="n">
        <v>65610</v>
      </c>
      <c r="K3189" s="0" t="n">
        <v>7896579340172</v>
      </c>
      <c r="L3189" s="0" t="s">
        <v>2972</v>
      </c>
      <c r="N3189" s="0" t="n">
        <v>12</v>
      </c>
      <c r="O3189" s="60" t="n">
        <v>13</v>
      </c>
    </row>
    <row r="3190" customFormat="false" ht="15" hidden="false" customHeight="false" outlineLevel="0" collapsed="false">
      <c r="A3190" s="0" t="n">
        <v>3</v>
      </c>
      <c r="B3190" s="59" t="n">
        <v>46240</v>
      </c>
      <c r="C3190" s="0" t="n">
        <v>11</v>
      </c>
      <c r="D3190" s="0" t="s">
        <v>2126</v>
      </c>
      <c r="E3190" s="0" t="n">
        <v>1672</v>
      </c>
      <c r="F3190" s="0" t="s">
        <v>68</v>
      </c>
      <c r="I3190" s="0" t="n">
        <v>1413401</v>
      </c>
      <c r="J3190" s="0" t="n">
        <v>81458</v>
      </c>
      <c r="K3190" s="0" t="n">
        <v>7896579360088</v>
      </c>
      <c r="L3190" s="0" t="s">
        <v>3560</v>
      </c>
      <c r="N3190" s="0" t="n">
        <v>9</v>
      </c>
      <c r="O3190" s="60" t="n">
        <v>55.4</v>
      </c>
    </row>
    <row r="3191" customFormat="false" ht="15" hidden="false" customHeight="false" outlineLevel="0" collapsed="false">
      <c r="A3191" s="0" t="n">
        <v>3</v>
      </c>
      <c r="B3191" s="59" t="n">
        <v>46240</v>
      </c>
      <c r="C3191" s="0" t="n">
        <v>11</v>
      </c>
      <c r="D3191" s="0" t="s">
        <v>2126</v>
      </c>
      <c r="E3191" s="0" t="n">
        <v>1672</v>
      </c>
      <c r="F3191" s="0" t="s">
        <v>68</v>
      </c>
      <c r="I3191" s="0" t="n">
        <v>1413401</v>
      </c>
      <c r="J3191" s="0" t="n">
        <v>81819</v>
      </c>
      <c r="K3191" s="0" t="n">
        <v>7896579390191</v>
      </c>
      <c r="L3191" s="0" t="s">
        <v>3561</v>
      </c>
      <c r="N3191" s="0" t="n">
        <v>12</v>
      </c>
      <c r="O3191" s="60" t="n">
        <v>13</v>
      </c>
    </row>
    <row r="3192" customFormat="false" ht="15" hidden="false" customHeight="false" outlineLevel="0" collapsed="false">
      <c r="A3192" s="0" t="n">
        <v>3</v>
      </c>
      <c r="B3192" s="59" t="n">
        <v>46240</v>
      </c>
      <c r="C3192" s="0" t="n">
        <v>11</v>
      </c>
      <c r="D3192" s="0" t="s">
        <v>2126</v>
      </c>
      <c r="E3192" s="0" t="n">
        <v>1672</v>
      </c>
      <c r="F3192" s="0" t="s">
        <v>68</v>
      </c>
      <c r="I3192" s="0" t="n">
        <v>1413401</v>
      </c>
      <c r="J3192" s="0" t="n">
        <v>81820</v>
      </c>
      <c r="K3192" s="0" t="n">
        <v>7896579390184</v>
      </c>
      <c r="L3192" s="0" t="s">
        <v>3562</v>
      </c>
      <c r="N3192" s="0" t="n">
        <v>12</v>
      </c>
      <c r="O3192" s="60" t="n">
        <v>13</v>
      </c>
    </row>
    <row r="3193" customFormat="false" ht="15" hidden="false" customHeight="false" outlineLevel="0" collapsed="false">
      <c r="A3193" s="0" t="n">
        <v>3</v>
      </c>
      <c r="B3193" s="59" t="n">
        <v>46240</v>
      </c>
      <c r="C3193" s="0" t="n">
        <v>11</v>
      </c>
      <c r="D3193" s="0" t="s">
        <v>2126</v>
      </c>
      <c r="E3193" s="0" t="n">
        <v>1608</v>
      </c>
      <c r="F3193" s="0" t="s">
        <v>42</v>
      </c>
      <c r="I3193" s="0" t="n">
        <v>1704577</v>
      </c>
      <c r="J3193" s="0" t="n">
        <v>24123</v>
      </c>
      <c r="K3193" s="0" t="n">
        <v>7891025109396</v>
      </c>
      <c r="L3193" s="0" t="s">
        <v>3563</v>
      </c>
      <c r="N3193" s="0" t="n">
        <v>2</v>
      </c>
      <c r="O3193" s="60" t="n">
        <v>6.86</v>
      </c>
    </row>
    <row r="3194" customFormat="false" ht="15" hidden="false" customHeight="false" outlineLevel="0" collapsed="false">
      <c r="A3194" s="0" t="n">
        <v>3</v>
      </c>
      <c r="B3194" s="59" t="n">
        <v>46240</v>
      </c>
      <c r="C3194" s="0" t="n">
        <v>11</v>
      </c>
      <c r="D3194" s="0" t="s">
        <v>2126</v>
      </c>
      <c r="E3194" s="0" t="n">
        <v>1608</v>
      </c>
      <c r="F3194" s="0" t="s">
        <v>42</v>
      </c>
      <c r="I3194" s="0" t="n">
        <v>1704577</v>
      </c>
      <c r="J3194" s="0" t="n">
        <v>24832</v>
      </c>
      <c r="K3194" s="0" t="n">
        <v>7891025109891</v>
      </c>
      <c r="L3194" s="0" t="s">
        <v>3564</v>
      </c>
      <c r="N3194" s="0" t="n">
        <v>3</v>
      </c>
      <c r="O3194" s="60" t="n">
        <v>25.89</v>
      </c>
    </row>
    <row r="3195" customFormat="false" ht="15" hidden="false" customHeight="false" outlineLevel="0" collapsed="false">
      <c r="A3195" s="0" t="n">
        <v>3</v>
      </c>
      <c r="B3195" s="59" t="n">
        <v>46240</v>
      </c>
      <c r="C3195" s="0" t="n">
        <v>11</v>
      </c>
      <c r="D3195" s="0" t="s">
        <v>2126</v>
      </c>
      <c r="E3195" s="0" t="n">
        <v>1608</v>
      </c>
      <c r="F3195" s="0" t="s">
        <v>42</v>
      </c>
      <c r="I3195" s="0" t="n">
        <v>1704577</v>
      </c>
      <c r="J3195" s="0" t="n">
        <v>27141</v>
      </c>
      <c r="K3195" s="0" t="n">
        <v>7899916900329</v>
      </c>
      <c r="L3195" s="0" t="s">
        <v>3565</v>
      </c>
      <c r="N3195" s="0" t="n">
        <v>3</v>
      </c>
      <c r="O3195" s="60" t="n">
        <v>17.79</v>
      </c>
    </row>
    <row r="3196" customFormat="false" ht="15" hidden="false" customHeight="false" outlineLevel="0" collapsed="false">
      <c r="A3196" s="0" t="n">
        <v>3</v>
      </c>
      <c r="B3196" s="59" t="n">
        <v>46240</v>
      </c>
      <c r="C3196" s="0" t="n">
        <v>11</v>
      </c>
      <c r="D3196" s="0" t="s">
        <v>2126</v>
      </c>
      <c r="E3196" s="0" t="n">
        <v>1608</v>
      </c>
      <c r="F3196" s="0" t="s">
        <v>42</v>
      </c>
      <c r="I3196" s="0" t="n">
        <v>1704577</v>
      </c>
      <c r="J3196" s="0" t="n">
        <v>29169</v>
      </c>
      <c r="K3196" s="0" t="n">
        <v>7891025115656</v>
      </c>
      <c r="L3196" s="0" t="s">
        <v>3566</v>
      </c>
      <c r="N3196" s="0" t="n">
        <v>2</v>
      </c>
      <c r="O3196" s="60" t="n">
        <v>14.24</v>
      </c>
    </row>
    <row r="3197" customFormat="false" ht="15" hidden="false" customHeight="false" outlineLevel="0" collapsed="false">
      <c r="A3197" s="0" t="n">
        <v>3</v>
      </c>
      <c r="B3197" s="59" t="n">
        <v>46240</v>
      </c>
      <c r="C3197" s="0" t="n">
        <v>11</v>
      </c>
      <c r="D3197" s="0" t="s">
        <v>2126</v>
      </c>
      <c r="E3197" s="0" t="n">
        <v>1608</v>
      </c>
      <c r="F3197" s="0" t="s">
        <v>42</v>
      </c>
      <c r="I3197" s="0" t="n">
        <v>1704577</v>
      </c>
      <c r="J3197" s="0" t="n">
        <v>32614</v>
      </c>
      <c r="K3197" s="0" t="n">
        <v>7891025119456</v>
      </c>
      <c r="L3197" s="0" t="s">
        <v>3567</v>
      </c>
      <c r="N3197" s="0" t="n">
        <v>3</v>
      </c>
      <c r="O3197" s="60" t="n">
        <v>8.4</v>
      </c>
    </row>
    <row r="3198" customFormat="false" ht="15" hidden="false" customHeight="false" outlineLevel="0" collapsed="false">
      <c r="A3198" s="0" t="n">
        <v>3</v>
      </c>
      <c r="B3198" s="59" t="n">
        <v>46240</v>
      </c>
      <c r="C3198" s="0" t="n">
        <v>11</v>
      </c>
      <c r="D3198" s="0" t="s">
        <v>2126</v>
      </c>
      <c r="E3198" s="0" t="n">
        <v>1608</v>
      </c>
      <c r="F3198" s="0" t="s">
        <v>42</v>
      </c>
      <c r="I3198" s="0" t="n">
        <v>1704577</v>
      </c>
      <c r="J3198" s="0" t="n">
        <v>35359</v>
      </c>
      <c r="K3198" s="0" t="n">
        <v>7891025119869</v>
      </c>
      <c r="L3198" s="0" t="s">
        <v>3568</v>
      </c>
      <c r="N3198" s="0" t="n">
        <v>2</v>
      </c>
      <c r="O3198" s="60" t="n">
        <v>24.9</v>
      </c>
    </row>
    <row r="3199" customFormat="false" ht="15" hidden="false" customHeight="false" outlineLevel="0" collapsed="false">
      <c r="A3199" s="0" t="n">
        <v>3</v>
      </c>
      <c r="B3199" s="59" t="n">
        <v>46240</v>
      </c>
      <c r="C3199" s="0" t="n">
        <v>11</v>
      </c>
      <c r="D3199" s="0" t="s">
        <v>2126</v>
      </c>
      <c r="E3199" s="0" t="n">
        <v>1608</v>
      </c>
      <c r="F3199" s="0" t="s">
        <v>42</v>
      </c>
      <c r="I3199" s="0" t="n">
        <v>1704577</v>
      </c>
      <c r="J3199" s="0" t="n">
        <v>35842</v>
      </c>
      <c r="K3199" s="0" t="n">
        <v>7891025120230</v>
      </c>
      <c r="L3199" s="0" t="s">
        <v>3569</v>
      </c>
      <c r="N3199" s="0" t="n">
        <v>1</v>
      </c>
      <c r="O3199" s="60" t="n">
        <v>3.66</v>
      </c>
    </row>
    <row r="3200" customFormat="false" ht="15" hidden="false" customHeight="false" outlineLevel="0" collapsed="false">
      <c r="A3200" s="0" t="n">
        <v>3</v>
      </c>
      <c r="B3200" s="59" t="n">
        <v>46240</v>
      </c>
      <c r="C3200" s="0" t="n">
        <v>11</v>
      </c>
      <c r="D3200" s="0" t="s">
        <v>2126</v>
      </c>
      <c r="E3200" s="0" t="n">
        <v>1608</v>
      </c>
      <c r="F3200" s="0" t="s">
        <v>42</v>
      </c>
      <c r="I3200" s="0" t="n">
        <v>1704577</v>
      </c>
      <c r="J3200" s="0" t="n">
        <v>37980</v>
      </c>
      <c r="K3200" s="0" t="n">
        <v>7891025121640</v>
      </c>
      <c r="L3200" s="0" t="s">
        <v>3570</v>
      </c>
      <c r="N3200" s="0" t="n">
        <v>2</v>
      </c>
      <c r="O3200" s="60" t="n">
        <v>15.04</v>
      </c>
    </row>
    <row r="3201" customFormat="false" ht="15" hidden="false" customHeight="false" outlineLevel="0" collapsed="false">
      <c r="A3201" s="0" t="n">
        <v>3</v>
      </c>
      <c r="B3201" s="59" t="n">
        <v>46240</v>
      </c>
      <c r="C3201" s="0" t="n">
        <v>11</v>
      </c>
      <c r="D3201" s="0" t="s">
        <v>2126</v>
      </c>
      <c r="E3201" s="0" t="n">
        <v>1608</v>
      </c>
      <c r="F3201" s="0" t="s">
        <v>42</v>
      </c>
      <c r="I3201" s="0" t="n">
        <v>1704577</v>
      </c>
      <c r="J3201" s="0" t="n">
        <v>48139</v>
      </c>
      <c r="K3201" s="0" t="n">
        <v>7891025122067</v>
      </c>
      <c r="L3201" s="0" t="s">
        <v>3571</v>
      </c>
      <c r="N3201" s="0" t="n">
        <v>2</v>
      </c>
      <c r="O3201" s="60" t="n">
        <v>14.24</v>
      </c>
    </row>
    <row r="3202" customFormat="false" ht="15" hidden="false" customHeight="false" outlineLevel="0" collapsed="false">
      <c r="A3202" s="0" t="n">
        <v>3</v>
      </c>
      <c r="B3202" s="59" t="n">
        <v>46240</v>
      </c>
      <c r="C3202" s="0" t="n">
        <v>11</v>
      </c>
      <c r="D3202" s="0" t="s">
        <v>2126</v>
      </c>
      <c r="E3202" s="0" t="n">
        <v>1608</v>
      </c>
      <c r="F3202" s="0" t="s">
        <v>42</v>
      </c>
      <c r="I3202" s="0" t="n">
        <v>1704577</v>
      </c>
      <c r="J3202" s="0" t="n">
        <v>69612</v>
      </c>
      <c r="K3202" s="0" t="n">
        <v>7891025123453</v>
      </c>
      <c r="L3202" s="0" t="s">
        <v>3572</v>
      </c>
      <c r="N3202" s="0" t="n">
        <v>1</v>
      </c>
      <c r="O3202" s="60" t="n">
        <v>12.55</v>
      </c>
    </row>
    <row r="3203" customFormat="false" ht="15" hidden="false" customHeight="false" outlineLevel="0" collapsed="false">
      <c r="A3203" s="0" t="n">
        <v>3</v>
      </c>
      <c r="B3203" s="59" t="n">
        <v>46240</v>
      </c>
      <c r="C3203" s="0" t="n">
        <v>11</v>
      </c>
      <c r="D3203" s="0" t="s">
        <v>2126</v>
      </c>
      <c r="E3203" s="0" t="n">
        <v>1608</v>
      </c>
      <c r="F3203" s="0" t="s">
        <v>42</v>
      </c>
      <c r="I3203" s="0" t="n">
        <v>1704577</v>
      </c>
      <c r="J3203" s="0" t="n">
        <v>69614</v>
      </c>
      <c r="K3203" s="0" t="n">
        <v>7891025123477</v>
      </c>
      <c r="L3203" s="0" t="s">
        <v>3573</v>
      </c>
      <c r="N3203" s="0" t="n">
        <v>1</v>
      </c>
      <c r="O3203" s="60" t="n">
        <v>12.55</v>
      </c>
    </row>
    <row r="3204" customFormat="false" ht="15" hidden="false" customHeight="false" outlineLevel="0" collapsed="false">
      <c r="A3204" s="0" t="n">
        <v>3</v>
      </c>
      <c r="B3204" s="59" t="n">
        <v>46240</v>
      </c>
      <c r="C3204" s="0" t="n">
        <v>11</v>
      </c>
      <c r="D3204" s="0" t="s">
        <v>2126</v>
      </c>
      <c r="E3204" s="0" t="n">
        <v>1612</v>
      </c>
      <c r="F3204" s="0" t="s">
        <v>266</v>
      </c>
      <c r="I3204" s="0" t="n">
        <v>2307607</v>
      </c>
      <c r="J3204" s="0" t="n">
        <v>13485</v>
      </c>
      <c r="K3204" s="0" t="n">
        <v>7896058590500</v>
      </c>
      <c r="L3204" s="0" t="s">
        <v>2401</v>
      </c>
      <c r="N3204" s="0" t="n">
        <v>250</v>
      </c>
      <c r="O3204" s="60" t="n">
        <v>212.5</v>
      </c>
    </row>
    <row r="3205" customFormat="false" ht="15" hidden="false" customHeight="false" outlineLevel="0" collapsed="false">
      <c r="A3205" s="0" t="n">
        <v>3</v>
      </c>
      <c r="B3205" s="59" t="n">
        <v>46240</v>
      </c>
      <c r="C3205" s="0" t="n">
        <v>11</v>
      </c>
      <c r="D3205" s="0" t="s">
        <v>2126</v>
      </c>
      <c r="E3205" s="0" t="n">
        <v>1612</v>
      </c>
      <c r="F3205" s="0" t="s">
        <v>266</v>
      </c>
      <c r="I3205" s="0" t="n">
        <v>2307607</v>
      </c>
      <c r="J3205" s="0" t="n">
        <v>24536</v>
      </c>
      <c r="K3205" s="0" t="n">
        <v>7896058505023</v>
      </c>
      <c r="L3205" s="0" t="s">
        <v>3574</v>
      </c>
      <c r="N3205" s="0" t="n">
        <v>40</v>
      </c>
      <c r="O3205" s="60" t="n">
        <v>420</v>
      </c>
    </row>
    <row r="3206" customFormat="false" ht="15" hidden="false" customHeight="false" outlineLevel="0" collapsed="false">
      <c r="A3206" s="0" t="n">
        <v>3</v>
      </c>
      <c r="B3206" s="59" t="n">
        <v>46240</v>
      </c>
      <c r="C3206" s="0" t="n">
        <v>11</v>
      </c>
      <c r="D3206" s="0" t="s">
        <v>2126</v>
      </c>
      <c r="E3206" s="0" t="n">
        <v>1612</v>
      </c>
      <c r="F3206" s="0" t="s">
        <v>266</v>
      </c>
      <c r="I3206" s="0" t="n">
        <v>2307607</v>
      </c>
      <c r="J3206" s="0" t="n">
        <v>31068</v>
      </c>
      <c r="K3206" s="0" t="n">
        <v>7896003706857</v>
      </c>
      <c r="L3206" s="0" t="s">
        <v>3575</v>
      </c>
      <c r="N3206" s="0" t="n">
        <v>12</v>
      </c>
      <c r="O3206" s="60" t="n">
        <v>47.88</v>
      </c>
    </row>
    <row r="3207" customFormat="false" ht="15" hidden="false" customHeight="false" outlineLevel="0" collapsed="false">
      <c r="A3207" s="0" t="n">
        <v>3</v>
      </c>
      <c r="B3207" s="59" t="n">
        <v>46240</v>
      </c>
      <c r="C3207" s="0" t="n">
        <v>11</v>
      </c>
      <c r="D3207" s="0" t="s">
        <v>2126</v>
      </c>
      <c r="E3207" s="0" t="n">
        <v>1612</v>
      </c>
      <c r="F3207" s="0" t="s">
        <v>266</v>
      </c>
      <c r="I3207" s="0" t="n">
        <v>2307607</v>
      </c>
      <c r="J3207" s="0" t="n">
        <v>31857</v>
      </c>
      <c r="K3207" s="0" t="n">
        <v>7897309408575</v>
      </c>
      <c r="L3207" s="0" t="s">
        <v>3576</v>
      </c>
      <c r="N3207" s="0" t="n">
        <v>6</v>
      </c>
      <c r="O3207" s="60" t="n">
        <v>44.94</v>
      </c>
    </row>
    <row r="3208" customFormat="false" ht="15" hidden="false" customHeight="false" outlineLevel="0" collapsed="false">
      <c r="A3208" s="0" t="n">
        <v>3</v>
      </c>
      <c r="B3208" s="59" t="n">
        <v>46240</v>
      </c>
      <c r="C3208" s="0" t="n">
        <v>11</v>
      </c>
      <c r="D3208" s="0" t="s">
        <v>2126</v>
      </c>
      <c r="E3208" s="0" t="n">
        <v>1612</v>
      </c>
      <c r="F3208" s="0" t="s">
        <v>266</v>
      </c>
      <c r="I3208" s="0" t="n">
        <v>2307607</v>
      </c>
      <c r="J3208" s="0" t="n">
        <v>37307</v>
      </c>
      <c r="K3208" s="0" t="n">
        <v>7898331012556</v>
      </c>
      <c r="L3208" s="0" t="s">
        <v>3577</v>
      </c>
      <c r="N3208" s="0" t="n">
        <v>6</v>
      </c>
      <c r="O3208" s="60" t="n">
        <v>35.7</v>
      </c>
    </row>
    <row r="3209" customFormat="false" ht="15" hidden="false" customHeight="false" outlineLevel="0" collapsed="false">
      <c r="A3209" s="0" t="n">
        <v>3</v>
      </c>
      <c r="B3209" s="59" t="n">
        <v>46240</v>
      </c>
      <c r="C3209" s="0" t="n">
        <v>11</v>
      </c>
      <c r="D3209" s="0" t="s">
        <v>2126</v>
      </c>
      <c r="E3209" s="0" t="n">
        <v>1612</v>
      </c>
      <c r="F3209" s="0" t="s">
        <v>266</v>
      </c>
      <c r="I3209" s="0" t="n">
        <v>2307607</v>
      </c>
      <c r="J3209" s="0" t="n">
        <v>38026</v>
      </c>
      <c r="K3209" s="0" t="n">
        <v>7898331012563</v>
      </c>
      <c r="L3209" s="0" t="s">
        <v>3578</v>
      </c>
      <c r="N3209" s="0" t="n">
        <v>6</v>
      </c>
      <c r="O3209" s="60" t="n">
        <v>35.7</v>
      </c>
    </row>
    <row r="3210" customFormat="false" ht="15" hidden="false" customHeight="false" outlineLevel="0" collapsed="false">
      <c r="A3210" s="0" t="n">
        <v>3</v>
      </c>
      <c r="B3210" s="59" t="n">
        <v>46240</v>
      </c>
      <c r="C3210" s="0" t="n">
        <v>11</v>
      </c>
      <c r="D3210" s="0" t="s">
        <v>2126</v>
      </c>
      <c r="E3210" s="0" t="n">
        <v>1612</v>
      </c>
      <c r="F3210" s="0" t="s">
        <v>266</v>
      </c>
      <c r="I3210" s="0" t="n">
        <v>2307607</v>
      </c>
      <c r="J3210" s="0" t="n">
        <v>53400</v>
      </c>
      <c r="K3210" s="0" t="n">
        <v>7896058500202</v>
      </c>
      <c r="L3210" s="0" t="s">
        <v>3579</v>
      </c>
      <c r="N3210" s="0" t="n">
        <v>32</v>
      </c>
      <c r="O3210" s="60" t="n">
        <v>73.28</v>
      </c>
    </row>
    <row r="3211" customFormat="false" ht="15" hidden="false" customHeight="false" outlineLevel="0" collapsed="false">
      <c r="A3211" s="0" t="n">
        <v>3</v>
      </c>
      <c r="B3211" s="59" t="n">
        <v>46240</v>
      </c>
      <c r="C3211" s="0" t="n">
        <v>11</v>
      </c>
      <c r="D3211" s="0" t="s">
        <v>2126</v>
      </c>
      <c r="E3211" s="0" t="n">
        <v>1612</v>
      </c>
      <c r="F3211" s="0" t="s">
        <v>266</v>
      </c>
      <c r="I3211" s="0" t="n">
        <v>2307607</v>
      </c>
      <c r="J3211" s="0" t="n">
        <v>53780</v>
      </c>
      <c r="K3211" s="0" t="n">
        <v>7896058500196</v>
      </c>
      <c r="L3211" s="0" t="s">
        <v>3580</v>
      </c>
      <c r="N3211" s="0" t="n">
        <v>16</v>
      </c>
      <c r="O3211" s="60" t="n">
        <v>36.64</v>
      </c>
    </row>
    <row r="3212" customFormat="false" ht="15" hidden="false" customHeight="false" outlineLevel="0" collapsed="false">
      <c r="A3212" s="0" t="n">
        <v>3</v>
      </c>
      <c r="B3212" s="59" t="n">
        <v>46240</v>
      </c>
      <c r="C3212" s="0" t="n">
        <v>11</v>
      </c>
      <c r="D3212" s="0" t="s">
        <v>2126</v>
      </c>
      <c r="E3212" s="0" t="n">
        <v>1612</v>
      </c>
      <c r="F3212" s="0" t="s">
        <v>266</v>
      </c>
      <c r="I3212" s="0" t="n">
        <v>2307607</v>
      </c>
      <c r="J3212" s="0" t="n">
        <v>53782</v>
      </c>
      <c r="K3212" s="0" t="n">
        <v>7896058500219</v>
      </c>
      <c r="L3212" s="0" t="s">
        <v>3581</v>
      </c>
      <c r="N3212" s="0" t="n">
        <v>16</v>
      </c>
      <c r="O3212" s="60" t="n">
        <v>36.64</v>
      </c>
    </row>
    <row r="3213" customFormat="false" ht="15" hidden="false" customHeight="false" outlineLevel="0" collapsed="false">
      <c r="A3213" s="0" t="n">
        <v>3</v>
      </c>
      <c r="B3213" s="59" t="n">
        <v>46240</v>
      </c>
      <c r="C3213" s="0" t="n">
        <v>11</v>
      </c>
      <c r="D3213" s="0" t="s">
        <v>2126</v>
      </c>
      <c r="E3213" s="0" t="n">
        <v>1612</v>
      </c>
      <c r="F3213" s="0" t="s">
        <v>266</v>
      </c>
      <c r="I3213" s="0" t="n">
        <v>2307607</v>
      </c>
      <c r="J3213" s="0" t="n">
        <v>53783</v>
      </c>
      <c r="K3213" s="0" t="n">
        <v>7896058500226</v>
      </c>
      <c r="L3213" s="0" t="s">
        <v>3582</v>
      </c>
      <c r="N3213" s="0" t="n">
        <v>16</v>
      </c>
      <c r="O3213" s="60" t="n">
        <v>36.64</v>
      </c>
    </row>
    <row r="3214" customFormat="false" ht="15" hidden="false" customHeight="false" outlineLevel="0" collapsed="false">
      <c r="A3214" s="0" t="n">
        <v>3</v>
      </c>
      <c r="B3214" s="59" t="n">
        <v>46240</v>
      </c>
      <c r="C3214" s="0" t="n">
        <v>11</v>
      </c>
      <c r="D3214" s="0" t="s">
        <v>2126</v>
      </c>
      <c r="E3214" s="0" t="n">
        <v>1612</v>
      </c>
      <c r="F3214" s="0" t="s">
        <v>266</v>
      </c>
      <c r="I3214" s="0" t="n">
        <v>2307607</v>
      </c>
      <c r="J3214" s="0" t="n">
        <v>53784</v>
      </c>
      <c r="K3214" s="0" t="n">
        <v>7896058500233</v>
      </c>
      <c r="L3214" s="0" t="s">
        <v>3583</v>
      </c>
      <c r="N3214" s="0" t="n">
        <v>32</v>
      </c>
      <c r="O3214" s="60" t="n">
        <v>73.28</v>
      </c>
    </row>
    <row r="3215" customFormat="false" ht="15" hidden="false" customHeight="false" outlineLevel="0" collapsed="false">
      <c r="A3215" s="0" t="n">
        <v>3</v>
      </c>
      <c r="B3215" s="59" t="n">
        <v>46240</v>
      </c>
      <c r="C3215" s="0" t="n">
        <v>11</v>
      </c>
      <c r="D3215" s="0" t="s">
        <v>2126</v>
      </c>
      <c r="E3215" s="0" t="n">
        <v>1612</v>
      </c>
      <c r="F3215" s="0" t="s">
        <v>266</v>
      </c>
      <c r="I3215" s="0" t="n">
        <v>2307607</v>
      </c>
      <c r="J3215" s="0" t="n">
        <v>53785</v>
      </c>
      <c r="K3215" s="0" t="n">
        <v>7896058500240</v>
      </c>
      <c r="L3215" s="0" t="s">
        <v>3584</v>
      </c>
      <c r="N3215" s="0" t="n">
        <v>16</v>
      </c>
      <c r="O3215" s="60" t="n">
        <v>36.64</v>
      </c>
    </row>
    <row r="3216" customFormat="false" ht="15" hidden="false" customHeight="false" outlineLevel="0" collapsed="false">
      <c r="A3216" s="0" t="n">
        <v>3</v>
      </c>
      <c r="B3216" s="59" t="n">
        <v>46240</v>
      </c>
      <c r="C3216" s="0" t="n">
        <v>11</v>
      </c>
      <c r="D3216" s="0" t="s">
        <v>2126</v>
      </c>
      <c r="E3216" s="0" t="n">
        <v>1612</v>
      </c>
      <c r="F3216" s="0" t="s">
        <v>266</v>
      </c>
      <c r="I3216" s="0" t="n">
        <v>2307607</v>
      </c>
      <c r="J3216" s="0" t="n">
        <v>61651</v>
      </c>
      <c r="K3216" s="0" t="n">
        <v>7896003739442</v>
      </c>
      <c r="L3216" s="0" t="s">
        <v>3585</v>
      </c>
      <c r="N3216" s="0" t="n">
        <v>12</v>
      </c>
      <c r="O3216" s="60" t="n">
        <v>39.48</v>
      </c>
    </row>
    <row r="3217" customFormat="false" ht="15" hidden="false" customHeight="false" outlineLevel="0" collapsed="false">
      <c r="A3217" s="0" t="n">
        <v>3</v>
      </c>
      <c r="B3217" s="59" t="n">
        <v>46240</v>
      </c>
      <c r="C3217" s="0" t="n">
        <v>11</v>
      </c>
      <c r="D3217" s="0" t="s">
        <v>2126</v>
      </c>
      <c r="E3217" s="0" t="n">
        <v>1612</v>
      </c>
      <c r="F3217" s="0" t="s">
        <v>266</v>
      </c>
      <c r="I3217" s="0" t="n">
        <v>2307607</v>
      </c>
      <c r="J3217" s="0" t="n">
        <v>63123</v>
      </c>
      <c r="K3217" s="0" t="n">
        <v>7896003739435</v>
      </c>
      <c r="L3217" s="0" t="s">
        <v>3586</v>
      </c>
      <c r="N3217" s="0" t="n">
        <v>12</v>
      </c>
      <c r="O3217" s="60" t="n">
        <v>39.48</v>
      </c>
    </row>
    <row r="3218" customFormat="false" ht="15" hidden="false" customHeight="false" outlineLevel="0" collapsed="false">
      <c r="A3218" s="0" t="n">
        <v>3</v>
      </c>
      <c r="B3218" s="59" t="n">
        <v>46240</v>
      </c>
      <c r="C3218" s="0" t="n">
        <v>11</v>
      </c>
      <c r="D3218" s="0" t="s">
        <v>2126</v>
      </c>
      <c r="E3218" s="0" t="n">
        <v>1612</v>
      </c>
      <c r="F3218" s="0" t="s">
        <v>266</v>
      </c>
      <c r="I3218" s="0" t="n">
        <v>2307607</v>
      </c>
      <c r="J3218" s="0" t="n">
        <v>63125</v>
      </c>
      <c r="K3218" s="0" t="n">
        <v>7896003739459</v>
      </c>
      <c r="L3218" s="0" t="s">
        <v>3587</v>
      </c>
      <c r="N3218" s="0" t="n">
        <v>12</v>
      </c>
      <c r="O3218" s="60" t="n">
        <v>39.48</v>
      </c>
    </row>
    <row r="3219" customFormat="false" ht="15" hidden="false" customHeight="false" outlineLevel="0" collapsed="false">
      <c r="A3219" s="0" t="n">
        <v>3</v>
      </c>
      <c r="B3219" s="59" t="n">
        <v>46240</v>
      </c>
      <c r="C3219" s="0" t="n">
        <v>11</v>
      </c>
      <c r="D3219" s="0" t="s">
        <v>2126</v>
      </c>
      <c r="E3219" s="0" t="n">
        <v>1612</v>
      </c>
      <c r="F3219" s="0" t="s">
        <v>266</v>
      </c>
      <c r="I3219" s="0" t="n">
        <v>2307607</v>
      </c>
      <c r="J3219" s="0" t="n">
        <v>65225</v>
      </c>
      <c r="K3219" s="0" t="n">
        <v>7896003738919</v>
      </c>
      <c r="L3219" s="0" t="s">
        <v>3588</v>
      </c>
      <c r="N3219" s="0" t="n">
        <v>9</v>
      </c>
      <c r="O3219" s="60" t="n">
        <v>53.91</v>
      </c>
    </row>
    <row r="3220" customFormat="false" ht="15" hidden="false" customHeight="false" outlineLevel="0" collapsed="false">
      <c r="A3220" s="0" t="n">
        <v>3</v>
      </c>
      <c r="B3220" s="59" t="n">
        <v>46240</v>
      </c>
      <c r="C3220" s="0" t="n">
        <v>11</v>
      </c>
      <c r="D3220" s="0" t="s">
        <v>2126</v>
      </c>
      <c r="E3220" s="0" t="n">
        <v>1612</v>
      </c>
      <c r="F3220" s="0" t="s">
        <v>266</v>
      </c>
      <c r="I3220" s="0" t="n">
        <v>2307607</v>
      </c>
      <c r="J3220" s="0" t="n">
        <v>65236</v>
      </c>
      <c r="K3220" s="0" t="n">
        <v>7896003738957</v>
      </c>
      <c r="L3220" s="0" t="s">
        <v>3589</v>
      </c>
      <c r="N3220" s="0" t="n">
        <v>9</v>
      </c>
      <c r="O3220" s="60" t="n">
        <v>53.91</v>
      </c>
    </row>
    <row r="3221" customFormat="false" ht="15" hidden="false" customHeight="false" outlineLevel="0" collapsed="false">
      <c r="A3221" s="0" t="n">
        <v>3</v>
      </c>
      <c r="B3221" s="59" t="n">
        <v>46240</v>
      </c>
      <c r="C3221" s="0" t="n">
        <v>11</v>
      </c>
      <c r="D3221" s="0" t="s">
        <v>2126</v>
      </c>
      <c r="E3221" s="0" t="n">
        <v>1612</v>
      </c>
      <c r="F3221" s="0" t="s">
        <v>266</v>
      </c>
      <c r="I3221" s="0" t="n">
        <v>2307607</v>
      </c>
      <c r="J3221" s="0" t="n">
        <v>76723</v>
      </c>
      <c r="K3221" s="0" t="n">
        <v>7896003738926</v>
      </c>
      <c r="L3221" s="0" t="s">
        <v>3590</v>
      </c>
      <c r="N3221" s="0" t="n">
        <v>9</v>
      </c>
      <c r="O3221" s="60" t="n">
        <v>53.91</v>
      </c>
    </row>
    <row r="3222" customFormat="false" ht="15" hidden="false" customHeight="false" outlineLevel="0" collapsed="false">
      <c r="A3222" s="0" t="n">
        <v>3</v>
      </c>
      <c r="B3222" s="59" t="n">
        <v>46240</v>
      </c>
      <c r="C3222" s="0" t="n">
        <v>11</v>
      </c>
      <c r="D3222" s="0" t="s">
        <v>2126</v>
      </c>
      <c r="E3222" s="0" t="n">
        <v>1612</v>
      </c>
      <c r="F3222" s="0" t="s">
        <v>266</v>
      </c>
      <c r="I3222" s="0" t="n">
        <v>2307607</v>
      </c>
      <c r="J3222" s="0" t="n">
        <v>82002</v>
      </c>
      <c r="K3222" s="0" t="n">
        <v>7896003740271</v>
      </c>
      <c r="L3222" s="0" t="s">
        <v>3591</v>
      </c>
      <c r="N3222" s="0" t="n">
        <v>12</v>
      </c>
      <c r="O3222" s="60" t="n">
        <v>59.88</v>
      </c>
    </row>
    <row r="3223" customFormat="false" ht="15" hidden="false" customHeight="false" outlineLevel="0" collapsed="false">
      <c r="A3223" s="0" t="n">
        <v>3</v>
      </c>
      <c r="B3223" s="59" t="n">
        <v>46240</v>
      </c>
      <c r="C3223" s="0" t="n">
        <v>11</v>
      </c>
      <c r="D3223" s="0" t="s">
        <v>2126</v>
      </c>
      <c r="E3223" s="0" t="n">
        <v>1612</v>
      </c>
      <c r="F3223" s="0" t="s">
        <v>266</v>
      </c>
      <c r="I3223" s="0" t="n">
        <v>2307607</v>
      </c>
      <c r="J3223" s="0" t="n">
        <v>82003</v>
      </c>
      <c r="K3223" s="0" t="n">
        <v>7896003740301</v>
      </c>
      <c r="L3223" s="0" t="s">
        <v>3592</v>
      </c>
      <c r="N3223" s="0" t="n">
        <v>12</v>
      </c>
      <c r="O3223" s="60" t="n">
        <v>59.88</v>
      </c>
    </row>
    <row r="3224" customFormat="false" ht="15" hidden="false" customHeight="false" outlineLevel="0" collapsed="false">
      <c r="A3224" s="0" t="n">
        <v>3</v>
      </c>
      <c r="B3224" s="59" t="n">
        <v>46240</v>
      </c>
      <c r="C3224" s="0" t="n">
        <v>11</v>
      </c>
      <c r="D3224" s="0" t="s">
        <v>2126</v>
      </c>
      <c r="E3224" s="0" t="n">
        <v>1612</v>
      </c>
      <c r="F3224" s="0" t="s">
        <v>266</v>
      </c>
      <c r="I3224" s="0" t="n">
        <v>2307608</v>
      </c>
      <c r="J3224" s="0" t="n">
        <v>10561</v>
      </c>
      <c r="K3224" s="0" t="n">
        <v>78602731</v>
      </c>
      <c r="L3224" s="0" t="s">
        <v>3593</v>
      </c>
      <c r="N3224" s="0" t="n">
        <v>16</v>
      </c>
      <c r="O3224" s="60" t="n">
        <v>125.84</v>
      </c>
    </row>
    <row r="3225" customFormat="false" ht="15" hidden="false" customHeight="false" outlineLevel="0" collapsed="false">
      <c r="A3225" s="0" t="n">
        <v>3</v>
      </c>
      <c r="B3225" s="59" t="n">
        <v>46240</v>
      </c>
      <c r="C3225" s="0" t="n">
        <v>11</v>
      </c>
      <c r="D3225" s="0" t="s">
        <v>2126</v>
      </c>
      <c r="E3225" s="0" t="n">
        <v>1612</v>
      </c>
      <c r="F3225" s="0" t="s">
        <v>266</v>
      </c>
      <c r="I3225" s="0" t="n">
        <v>2307608</v>
      </c>
      <c r="J3225" s="0" t="n">
        <v>12865</v>
      </c>
      <c r="K3225" s="0" t="n">
        <v>611269101713</v>
      </c>
      <c r="L3225" s="0" t="s">
        <v>2351</v>
      </c>
      <c r="N3225" s="0" t="n">
        <v>4</v>
      </c>
      <c r="O3225" s="60" t="n">
        <v>31.97</v>
      </c>
    </row>
    <row r="3226" customFormat="false" ht="15" hidden="false" customHeight="false" outlineLevel="0" collapsed="false">
      <c r="A3226" s="0" t="n">
        <v>3</v>
      </c>
      <c r="B3226" s="59" t="n">
        <v>46240</v>
      </c>
      <c r="C3226" s="0" t="n">
        <v>11</v>
      </c>
      <c r="D3226" s="0" t="s">
        <v>2126</v>
      </c>
      <c r="E3226" s="0" t="n">
        <v>1612</v>
      </c>
      <c r="F3226" s="0" t="s">
        <v>266</v>
      </c>
      <c r="I3226" s="0" t="n">
        <v>2307608</v>
      </c>
      <c r="J3226" s="0" t="n">
        <v>17726</v>
      </c>
      <c r="K3226" s="0" t="n">
        <v>9002490214166</v>
      </c>
      <c r="L3226" s="0" t="s">
        <v>3594</v>
      </c>
      <c r="N3226" s="0" t="n">
        <v>4</v>
      </c>
      <c r="O3226" s="60" t="n">
        <v>57.6</v>
      </c>
    </row>
    <row r="3227" customFormat="false" ht="15" hidden="false" customHeight="false" outlineLevel="0" collapsed="false">
      <c r="A3227" s="0" t="n">
        <v>3</v>
      </c>
      <c r="B3227" s="59" t="n">
        <v>46240</v>
      </c>
      <c r="C3227" s="0" t="n">
        <v>11</v>
      </c>
      <c r="D3227" s="0" t="s">
        <v>2126</v>
      </c>
      <c r="E3227" s="0" t="n">
        <v>1612</v>
      </c>
      <c r="F3227" s="0" t="s">
        <v>266</v>
      </c>
      <c r="I3227" s="0" t="n">
        <v>2307608</v>
      </c>
      <c r="J3227" s="0" t="n">
        <v>17734</v>
      </c>
      <c r="K3227" s="0" t="n">
        <v>7898024395232</v>
      </c>
      <c r="L3227" s="0" t="s">
        <v>3595</v>
      </c>
      <c r="N3227" s="0" t="n">
        <v>10</v>
      </c>
      <c r="O3227" s="60" t="n">
        <v>110.95</v>
      </c>
    </row>
    <row r="3228" customFormat="false" ht="15" hidden="false" customHeight="false" outlineLevel="0" collapsed="false">
      <c r="A3228" s="0" t="n">
        <v>3</v>
      </c>
      <c r="B3228" s="59" t="n">
        <v>46240</v>
      </c>
      <c r="C3228" s="0" t="n">
        <v>11</v>
      </c>
      <c r="D3228" s="0" t="s">
        <v>2126</v>
      </c>
      <c r="E3228" s="0" t="n">
        <v>1612</v>
      </c>
      <c r="F3228" s="0" t="s">
        <v>266</v>
      </c>
      <c r="I3228" s="0" t="n">
        <v>2307608</v>
      </c>
      <c r="J3228" s="0" t="n">
        <v>22441</v>
      </c>
      <c r="K3228" s="0" t="n">
        <v>9002490229160</v>
      </c>
      <c r="L3228" s="0" t="s">
        <v>3596</v>
      </c>
      <c r="N3228" s="0" t="n">
        <v>4</v>
      </c>
      <c r="O3228" s="60" t="n">
        <v>31.97</v>
      </c>
    </row>
    <row r="3229" customFormat="false" ht="15" hidden="false" customHeight="false" outlineLevel="0" collapsed="false">
      <c r="A3229" s="0" t="n">
        <v>3</v>
      </c>
      <c r="B3229" s="59" t="n">
        <v>46240</v>
      </c>
      <c r="C3229" s="0" t="n">
        <v>11</v>
      </c>
      <c r="D3229" s="0" t="s">
        <v>2126</v>
      </c>
      <c r="E3229" s="0" t="n">
        <v>1612</v>
      </c>
      <c r="F3229" s="0" t="s">
        <v>266</v>
      </c>
      <c r="I3229" s="0" t="n">
        <v>2307608</v>
      </c>
      <c r="J3229" s="0" t="n">
        <v>28960</v>
      </c>
      <c r="K3229" s="0" t="n">
        <v>7898024397915</v>
      </c>
      <c r="L3229" s="0" t="s">
        <v>3597</v>
      </c>
      <c r="N3229" s="0" t="n">
        <v>10</v>
      </c>
      <c r="O3229" s="60" t="n">
        <v>37.37</v>
      </c>
    </row>
    <row r="3230" customFormat="false" ht="15" hidden="false" customHeight="false" outlineLevel="0" collapsed="false">
      <c r="A3230" s="0" t="n">
        <v>3</v>
      </c>
      <c r="B3230" s="59" t="n">
        <v>46240</v>
      </c>
      <c r="C3230" s="0" t="n">
        <v>11</v>
      </c>
      <c r="D3230" s="0" t="s">
        <v>2126</v>
      </c>
      <c r="E3230" s="0" t="n">
        <v>1612</v>
      </c>
      <c r="F3230" s="0" t="s">
        <v>266</v>
      </c>
      <c r="I3230" s="0" t="n">
        <v>2307608</v>
      </c>
      <c r="J3230" s="0" t="n">
        <v>29067</v>
      </c>
      <c r="K3230" s="0" t="n">
        <v>78940734</v>
      </c>
      <c r="L3230" s="0" t="s">
        <v>3598</v>
      </c>
      <c r="N3230" s="0" t="n">
        <v>16</v>
      </c>
      <c r="O3230" s="60" t="n">
        <v>125.84</v>
      </c>
    </row>
    <row r="3231" customFormat="false" ht="15" hidden="false" customHeight="false" outlineLevel="0" collapsed="false">
      <c r="A3231" s="0" t="n">
        <v>3</v>
      </c>
      <c r="B3231" s="59" t="n">
        <v>46240</v>
      </c>
      <c r="C3231" s="0" t="n">
        <v>11</v>
      </c>
      <c r="D3231" s="0" t="s">
        <v>2126</v>
      </c>
      <c r="E3231" s="0" t="n">
        <v>1612</v>
      </c>
      <c r="F3231" s="0" t="s">
        <v>266</v>
      </c>
      <c r="I3231" s="0" t="n">
        <v>2307608</v>
      </c>
      <c r="J3231" s="0" t="n">
        <v>34896</v>
      </c>
      <c r="K3231" s="0" t="n">
        <v>9002490247379</v>
      </c>
      <c r="L3231" s="0" t="s">
        <v>3599</v>
      </c>
      <c r="N3231" s="0" t="n">
        <v>4</v>
      </c>
      <c r="O3231" s="60" t="n">
        <v>31.97</v>
      </c>
    </row>
    <row r="3232" customFormat="false" ht="15" hidden="false" customHeight="false" outlineLevel="0" collapsed="false">
      <c r="A3232" s="0" t="n">
        <v>3</v>
      </c>
      <c r="B3232" s="59" t="n">
        <v>46240</v>
      </c>
      <c r="C3232" s="0" t="n">
        <v>11</v>
      </c>
      <c r="D3232" s="0" t="s">
        <v>2126</v>
      </c>
      <c r="E3232" s="0" t="n">
        <v>1612</v>
      </c>
      <c r="F3232" s="0" t="s">
        <v>266</v>
      </c>
      <c r="I3232" s="0" t="n">
        <v>2307608</v>
      </c>
      <c r="J3232" s="0" t="n">
        <v>44317</v>
      </c>
      <c r="K3232" s="0" t="n">
        <v>78909434</v>
      </c>
      <c r="L3232" s="0" t="s">
        <v>3600</v>
      </c>
      <c r="N3232" s="0" t="n">
        <v>32</v>
      </c>
      <c r="O3232" s="60" t="n">
        <v>240.64</v>
      </c>
    </row>
    <row r="3233" customFormat="false" ht="15" hidden="false" customHeight="false" outlineLevel="0" collapsed="false">
      <c r="A3233" s="0" t="n">
        <v>3</v>
      </c>
      <c r="B3233" s="59" t="n">
        <v>46240</v>
      </c>
      <c r="C3233" s="0" t="n">
        <v>11</v>
      </c>
      <c r="D3233" s="0" t="s">
        <v>2126</v>
      </c>
      <c r="E3233" s="0" t="n">
        <v>1612</v>
      </c>
      <c r="F3233" s="0" t="s">
        <v>266</v>
      </c>
      <c r="I3233" s="0" t="n">
        <v>2307608</v>
      </c>
      <c r="J3233" s="0" t="n">
        <v>53838</v>
      </c>
      <c r="K3233" s="0" t="n">
        <v>78945449</v>
      </c>
      <c r="L3233" s="0" t="s">
        <v>3601</v>
      </c>
      <c r="N3233" s="0" t="n">
        <v>28</v>
      </c>
      <c r="O3233" s="60" t="n">
        <v>61.04</v>
      </c>
    </row>
    <row r="3234" customFormat="false" ht="15" hidden="false" customHeight="false" outlineLevel="0" collapsed="false">
      <c r="A3234" s="0" t="n">
        <v>3</v>
      </c>
      <c r="B3234" s="59" t="n">
        <v>46240</v>
      </c>
      <c r="C3234" s="0" t="n">
        <v>11</v>
      </c>
      <c r="D3234" s="0" t="s">
        <v>2126</v>
      </c>
      <c r="E3234" s="0" t="n">
        <v>1612</v>
      </c>
      <c r="F3234" s="0" t="s">
        <v>266</v>
      </c>
      <c r="I3234" s="0" t="n">
        <v>2307608</v>
      </c>
      <c r="J3234" s="0" t="n">
        <v>53844</v>
      </c>
      <c r="K3234" s="0" t="n">
        <v>78945463</v>
      </c>
      <c r="L3234" s="0" t="s">
        <v>3602</v>
      </c>
      <c r="N3234" s="0" t="n">
        <v>28</v>
      </c>
      <c r="O3234" s="60" t="n">
        <v>61.04</v>
      </c>
    </row>
    <row r="3235" customFormat="false" ht="15" hidden="false" customHeight="false" outlineLevel="0" collapsed="false">
      <c r="A3235" s="0" t="n">
        <v>3</v>
      </c>
      <c r="B3235" s="59" t="n">
        <v>46240</v>
      </c>
      <c r="C3235" s="0" t="n">
        <v>11</v>
      </c>
      <c r="D3235" s="0" t="s">
        <v>2126</v>
      </c>
      <c r="E3235" s="0" t="n">
        <v>1612</v>
      </c>
      <c r="F3235" s="0" t="s">
        <v>266</v>
      </c>
      <c r="I3235" s="0" t="n">
        <v>2307608</v>
      </c>
      <c r="J3235" s="0" t="n">
        <v>54110</v>
      </c>
      <c r="K3235" s="0" t="n">
        <v>78945456</v>
      </c>
      <c r="L3235" s="0" t="s">
        <v>3603</v>
      </c>
      <c r="N3235" s="0" t="n">
        <v>28</v>
      </c>
      <c r="O3235" s="60" t="n">
        <v>61.04</v>
      </c>
    </row>
    <row r="3236" customFormat="false" ht="15" hidden="false" customHeight="false" outlineLevel="0" collapsed="false">
      <c r="A3236" s="0" t="n">
        <v>3</v>
      </c>
      <c r="B3236" s="59" t="n">
        <v>46240</v>
      </c>
      <c r="C3236" s="0" t="n">
        <v>11</v>
      </c>
      <c r="D3236" s="0" t="s">
        <v>2126</v>
      </c>
      <c r="E3236" s="0" t="n">
        <v>1612</v>
      </c>
      <c r="F3236" s="0" t="s">
        <v>266</v>
      </c>
      <c r="I3236" s="0" t="n">
        <v>2307608</v>
      </c>
      <c r="J3236" s="0" t="n">
        <v>78209</v>
      </c>
      <c r="K3236" s="0" t="n">
        <v>611269991000</v>
      </c>
      <c r="L3236" s="0" t="s">
        <v>2383</v>
      </c>
      <c r="N3236" s="0" t="n">
        <v>16</v>
      </c>
      <c r="O3236" s="60" t="n">
        <v>127.87</v>
      </c>
    </row>
    <row r="3237" customFormat="false" ht="15" hidden="false" customHeight="false" outlineLevel="0" collapsed="false">
      <c r="A3237" s="0" t="n">
        <v>3</v>
      </c>
      <c r="B3237" s="59" t="n">
        <v>46240</v>
      </c>
      <c r="C3237" s="0" t="n">
        <v>22</v>
      </c>
      <c r="D3237" s="0" t="s">
        <v>2172</v>
      </c>
      <c r="E3237" s="0" t="n">
        <v>42</v>
      </c>
      <c r="F3237" s="0" t="s">
        <v>81</v>
      </c>
      <c r="I3237" s="0" t="n">
        <v>4466</v>
      </c>
      <c r="J3237" s="0" t="n">
        <v>100006</v>
      </c>
      <c r="K3237" s="0" t="n">
        <v>7</v>
      </c>
      <c r="L3237" s="0" t="s">
        <v>2228</v>
      </c>
      <c r="N3237" s="0" t="n">
        <v>4.288</v>
      </c>
      <c r="O3237" s="60" t="n">
        <v>151.46</v>
      </c>
    </row>
    <row r="3238" customFormat="false" ht="15" hidden="false" customHeight="false" outlineLevel="0" collapsed="false">
      <c r="A3238" s="0" t="n">
        <v>3</v>
      </c>
      <c r="B3238" s="59" t="n">
        <v>46240</v>
      </c>
      <c r="C3238" s="0" t="n">
        <v>22</v>
      </c>
      <c r="D3238" s="0" t="s">
        <v>2172</v>
      </c>
      <c r="E3238" s="0" t="n">
        <v>42</v>
      </c>
      <c r="F3238" s="0" t="s">
        <v>81</v>
      </c>
      <c r="I3238" s="0" t="n">
        <v>4466</v>
      </c>
      <c r="J3238" s="0" t="n">
        <v>100007</v>
      </c>
      <c r="K3238" s="0" t="n">
        <v>8</v>
      </c>
      <c r="L3238" s="0" t="s">
        <v>2177</v>
      </c>
      <c r="N3238" s="0" t="n">
        <v>2.82</v>
      </c>
      <c r="O3238" s="60" t="n">
        <v>84.67</v>
      </c>
    </row>
    <row r="3239" customFormat="false" ht="15" hidden="false" customHeight="false" outlineLevel="0" collapsed="false">
      <c r="A3239" s="0" t="n">
        <v>3</v>
      </c>
      <c r="B3239" s="59" t="n">
        <v>46240</v>
      </c>
      <c r="C3239" s="0" t="n">
        <v>22</v>
      </c>
      <c r="D3239" s="0" t="s">
        <v>2172</v>
      </c>
      <c r="E3239" s="0" t="n">
        <v>42</v>
      </c>
      <c r="F3239" s="0" t="s">
        <v>81</v>
      </c>
      <c r="I3239" s="0" t="n">
        <v>4466</v>
      </c>
      <c r="J3239" s="0" t="n">
        <v>100008</v>
      </c>
      <c r="K3239" s="0" t="n">
        <v>9</v>
      </c>
      <c r="L3239" s="0" t="s">
        <v>2229</v>
      </c>
      <c r="N3239" s="0" t="n">
        <v>11.72</v>
      </c>
      <c r="O3239" s="60" t="n">
        <v>424.34</v>
      </c>
    </row>
    <row r="3240" customFormat="false" ht="15" hidden="false" customHeight="false" outlineLevel="0" collapsed="false">
      <c r="A3240" s="0" t="n">
        <v>3</v>
      </c>
      <c r="B3240" s="59" t="n">
        <v>46240</v>
      </c>
      <c r="C3240" s="0" t="n">
        <v>22</v>
      </c>
      <c r="D3240" s="0" t="s">
        <v>2172</v>
      </c>
      <c r="E3240" s="0" t="n">
        <v>42</v>
      </c>
      <c r="F3240" s="0" t="s">
        <v>81</v>
      </c>
      <c r="I3240" s="0" t="n">
        <v>4466</v>
      </c>
      <c r="J3240" s="0" t="n">
        <v>100010</v>
      </c>
      <c r="K3240" s="0" t="n">
        <v>11</v>
      </c>
      <c r="L3240" s="0" t="s">
        <v>2230</v>
      </c>
      <c r="N3240" s="0" t="n">
        <v>2.896</v>
      </c>
      <c r="O3240" s="60" t="n">
        <v>120.2</v>
      </c>
    </row>
    <row r="3241" customFormat="false" ht="15" hidden="false" customHeight="false" outlineLevel="0" collapsed="false">
      <c r="A3241" s="0" t="n">
        <v>3</v>
      </c>
      <c r="B3241" s="59" t="n">
        <v>46240</v>
      </c>
      <c r="C3241" s="0" t="n">
        <v>22</v>
      </c>
      <c r="D3241" s="0" t="s">
        <v>2172</v>
      </c>
      <c r="E3241" s="0" t="n">
        <v>42</v>
      </c>
      <c r="F3241" s="0" t="s">
        <v>81</v>
      </c>
      <c r="I3241" s="0" t="n">
        <v>4466</v>
      </c>
      <c r="J3241" s="0" t="n">
        <v>100011</v>
      </c>
      <c r="K3241" s="0" t="n">
        <v>12</v>
      </c>
      <c r="L3241" s="0" t="s">
        <v>2231</v>
      </c>
      <c r="N3241" s="0" t="n">
        <v>5.67</v>
      </c>
      <c r="O3241" s="60" t="n">
        <v>235.34</v>
      </c>
    </row>
    <row r="3242" customFormat="false" ht="15" hidden="false" customHeight="false" outlineLevel="0" collapsed="false">
      <c r="A3242" s="0" t="n">
        <v>3</v>
      </c>
      <c r="B3242" s="59" t="n">
        <v>46240</v>
      </c>
      <c r="C3242" s="0" t="n">
        <v>22</v>
      </c>
      <c r="D3242" s="0" t="s">
        <v>2172</v>
      </c>
      <c r="E3242" s="0" t="n">
        <v>42</v>
      </c>
      <c r="F3242" s="0" t="s">
        <v>81</v>
      </c>
      <c r="I3242" s="0" t="n">
        <v>4466</v>
      </c>
      <c r="J3242" s="0" t="n">
        <v>100012</v>
      </c>
      <c r="K3242" s="0" t="n">
        <v>13</v>
      </c>
      <c r="L3242" s="0" t="s">
        <v>2232</v>
      </c>
      <c r="N3242" s="0" t="n">
        <v>5.462</v>
      </c>
      <c r="O3242" s="60" t="n">
        <v>246</v>
      </c>
    </row>
    <row r="3243" customFormat="false" ht="15" hidden="false" customHeight="false" outlineLevel="0" collapsed="false">
      <c r="A3243" s="0" t="n">
        <v>3</v>
      </c>
      <c r="B3243" s="59" t="n">
        <v>46240</v>
      </c>
      <c r="C3243" s="0" t="n">
        <v>22</v>
      </c>
      <c r="D3243" s="0" t="s">
        <v>2172</v>
      </c>
      <c r="E3243" s="0" t="n">
        <v>42</v>
      </c>
      <c r="F3243" s="0" t="s">
        <v>81</v>
      </c>
      <c r="I3243" s="0" t="n">
        <v>4466</v>
      </c>
      <c r="J3243" s="0" t="n">
        <v>100013</v>
      </c>
      <c r="K3243" s="0" t="n">
        <v>14</v>
      </c>
      <c r="L3243" s="0" t="s">
        <v>2233</v>
      </c>
      <c r="N3243" s="0" t="n">
        <v>7.09</v>
      </c>
      <c r="O3243" s="60" t="n">
        <v>344.38</v>
      </c>
    </row>
    <row r="3244" customFormat="false" ht="15" hidden="false" customHeight="false" outlineLevel="0" collapsed="false">
      <c r="A3244" s="0" t="n">
        <v>3</v>
      </c>
      <c r="B3244" s="59" t="n">
        <v>46240</v>
      </c>
      <c r="C3244" s="0" t="n">
        <v>22</v>
      </c>
      <c r="D3244" s="0" t="s">
        <v>2172</v>
      </c>
      <c r="E3244" s="0" t="n">
        <v>42</v>
      </c>
      <c r="F3244" s="0" t="s">
        <v>81</v>
      </c>
      <c r="I3244" s="0" t="n">
        <v>4466</v>
      </c>
      <c r="J3244" s="0" t="n">
        <v>100014</v>
      </c>
      <c r="K3244" s="0" t="n">
        <v>15</v>
      </c>
      <c r="L3244" s="0" t="s">
        <v>2234</v>
      </c>
      <c r="N3244" s="0" t="n">
        <v>3.084</v>
      </c>
      <c r="O3244" s="60" t="n">
        <v>152.52</v>
      </c>
    </row>
    <row r="3245" customFormat="false" ht="15" hidden="false" customHeight="false" outlineLevel="0" collapsed="false">
      <c r="A3245" s="0" t="n">
        <v>3</v>
      </c>
      <c r="B3245" s="59" t="n">
        <v>46240</v>
      </c>
      <c r="C3245" s="0" t="n">
        <v>22</v>
      </c>
      <c r="D3245" s="0" t="s">
        <v>2172</v>
      </c>
      <c r="E3245" s="0" t="n">
        <v>42</v>
      </c>
      <c r="F3245" s="0" t="s">
        <v>81</v>
      </c>
      <c r="I3245" s="0" t="n">
        <v>4466</v>
      </c>
      <c r="J3245" s="0" t="n">
        <v>100015</v>
      </c>
      <c r="K3245" s="0" t="n">
        <v>16</v>
      </c>
      <c r="L3245" s="0" t="s">
        <v>2235</v>
      </c>
      <c r="N3245" s="0" t="n">
        <v>1.204</v>
      </c>
      <c r="O3245" s="60" t="n">
        <v>54.23</v>
      </c>
    </row>
    <row r="3246" customFormat="false" ht="15" hidden="false" customHeight="false" outlineLevel="0" collapsed="false">
      <c r="A3246" s="0" t="n">
        <v>3</v>
      </c>
      <c r="B3246" s="59" t="n">
        <v>46240</v>
      </c>
      <c r="C3246" s="0" t="n">
        <v>22</v>
      </c>
      <c r="D3246" s="0" t="s">
        <v>2172</v>
      </c>
      <c r="E3246" s="0" t="n">
        <v>42</v>
      </c>
      <c r="F3246" s="0" t="s">
        <v>81</v>
      </c>
      <c r="I3246" s="0" t="n">
        <v>4466</v>
      </c>
      <c r="J3246" s="0" t="n">
        <v>100016</v>
      </c>
      <c r="K3246" s="0" t="n">
        <v>17</v>
      </c>
      <c r="L3246" s="0" t="s">
        <v>2236</v>
      </c>
      <c r="N3246" s="0" t="n">
        <v>2.168</v>
      </c>
      <c r="O3246" s="60" t="n">
        <v>105.3</v>
      </c>
    </row>
    <row r="3247" customFormat="false" ht="15" hidden="false" customHeight="false" outlineLevel="0" collapsed="false">
      <c r="A3247" s="0" t="n">
        <v>3</v>
      </c>
      <c r="B3247" s="59" t="n">
        <v>46240</v>
      </c>
      <c r="C3247" s="0" t="n">
        <v>22</v>
      </c>
      <c r="D3247" s="0" t="s">
        <v>2172</v>
      </c>
      <c r="E3247" s="0" t="n">
        <v>42</v>
      </c>
      <c r="F3247" s="0" t="s">
        <v>81</v>
      </c>
      <c r="I3247" s="0" t="n">
        <v>4466</v>
      </c>
      <c r="J3247" s="0" t="n">
        <v>100017</v>
      </c>
      <c r="K3247" s="0" t="n">
        <v>18</v>
      </c>
      <c r="L3247" s="0" t="s">
        <v>2237</v>
      </c>
      <c r="N3247" s="0" t="n">
        <v>1.658</v>
      </c>
      <c r="O3247" s="60" t="n">
        <v>95.18</v>
      </c>
    </row>
    <row r="3248" customFormat="false" ht="15" hidden="false" customHeight="false" outlineLevel="0" collapsed="false">
      <c r="A3248" s="0" t="n">
        <v>3</v>
      </c>
      <c r="B3248" s="59" t="n">
        <v>46240</v>
      </c>
      <c r="C3248" s="0" t="n">
        <v>22</v>
      </c>
      <c r="D3248" s="0" t="s">
        <v>2172</v>
      </c>
      <c r="E3248" s="0" t="n">
        <v>42</v>
      </c>
      <c r="F3248" s="0" t="s">
        <v>81</v>
      </c>
      <c r="I3248" s="0" t="n">
        <v>4466</v>
      </c>
      <c r="J3248" s="0" t="n">
        <v>100019</v>
      </c>
      <c r="K3248" s="0" t="n">
        <v>20</v>
      </c>
      <c r="L3248" s="0" t="s">
        <v>2795</v>
      </c>
      <c r="N3248" s="0" t="n">
        <v>3.21</v>
      </c>
      <c r="O3248" s="60" t="n">
        <v>121.89</v>
      </c>
    </row>
    <row r="3249" customFormat="false" ht="15" hidden="false" customHeight="false" outlineLevel="0" collapsed="false">
      <c r="A3249" s="0" t="n">
        <v>3</v>
      </c>
      <c r="B3249" s="59" t="n">
        <v>46240</v>
      </c>
      <c r="C3249" s="0" t="n">
        <v>22</v>
      </c>
      <c r="D3249" s="0" t="s">
        <v>2172</v>
      </c>
      <c r="E3249" s="0" t="n">
        <v>42</v>
      </c>
      <c r="F3249" s="0" t="s">
        <v>81</v>
      </c>
      <c r="I3249" s="0" t="n">
        <v>4466</v>
      </c>
      <c r="J3249" s="0" t="n">
        <v>100020</v>
      </c>
      <c r="K3249" s="0" t="n">
        <v>21</v>
      </c>
      <c r="L3249" s="0" t="s">
        <v>2337</v>
      </c>
      <c r="N3249" s="0" t="n">
        <v>1.218</v>
      </c>
      <c r="O3249" s="60" t="n">
        <v>44.1</v>
      </c>
    </row>
    <row r="3250" customFormat="false" ht="15" hidden="false" customHeight="false" outlineLevel="0" collapsed="false">
      <c r="A3250" s="0" t="n">
        <v>3</v>
      </c>
      <c r="B3250" s="59" t="n">
        <v>46240</v>
      </c>
      <c r="C3250" s="0" t="n">
        <v>22</v>
      </c>
      <c r="D3250" s="0" t="s">
        <v>2172</v>
      </c>
      <c r="E3250" s="0" t="n">
        <v>42</v>
      </c>
      <c r="F3250" s="0" t="s">
        <v>81</v>
      </c>
      <c r="I3250" s="0" t="n">
        <v>4466</v>
      </c>
      <c r="J3250" s="0" t="n">
        <v>100057</v>
      </c>
      <c r="K3250" s="0" t="n">
        <v>58</v>
      </c>
      <c r="L3250" s="0" t="s">
        <v>3604</v>
      </c>
      <c r="N3250" s="0" t="n">
        <v>1.762</v>
      </c>
      <c r="O3250" s="60" t="n">
        <v>65.35</v>
      </c>
    </row>
    <row r="3251" customFormat="false" ht="15" hidden="false" customHeight="false" outlineLevel="0" collapsed="false">
      <c r="A3251" s="0" t="n">
        <v>3</v>
      </c>
      <c r="B3251" s="59" t="n">
        <v>46240</v>
      </c>
      <c r="C3251" s="0" t="n">
        <v>22</v>
      </c>
      <c r="D3251" s="0" t="s">
        <v>2172</v>
      </c>
      <c r="E3251" s="0" t="n">
        <v>42</v>
      </c>
      <c r="F3251" s="0" t="s">
        <v>81</v>
      </c>
      <c r="I3251" s="0" t="n">
        <v>4466</v>
      </c>
      <c r="J3251" s="0" t="n">
        <v>100638</v>
      </c>
      <c r="K3251" s="0" t="n">
        <v>508</v>
      </c>
      <c r="L3251" s="0" t="s">
        <v>2178</v>
      </c>
      <c r="N3251" s="0" t="n">
        <v>2.88</v>
      </c>
      <c r="O3251" s="60" t="n">
        <v>5.06</v>
      </c>
    </row>
    <row r="3252" customFormat="false" ht="15" hidden="false" customHeight="false" outlineLevel="0" collapsed="false">
      <c r="A3252" s="0" t="n">
        <v>3</v>
      </c>
      <c r="B3252" s="59" t="n">
        <v>46240</v>
      </c>
      <c r="C3252" s="0" t="n">
        <v>22</v>
      </c>
      <c r="D3252" s="0" t="s">
        <v>2172</v>
      </c>
      <c r="E3252" s="0" t="n">
        <v>42</v>
      </c>
      <c r="F3252" s="0" t="s">
        <v>81</v>
      </c>
      <c r="I3252" s="0" t="n">
        <v>4466</v>
      </c>
      <c r="J3252" s="0" t="n">
        <v>100520</v>
      </c>
      <c r="K3252" s="0" t="n">
        <v>507</v>
      </c>
      <c r="L3252" s="0" t="s">
        <v>2179</v>
      </c>
      <c r="N3252" s="0" t="n">
        <v>13.167</v>
      </c>
      <c r="O3252" s="60" t="n">
        <v>34.77</v>
      </c>
    </row>
    <row r="3253" customFormat="false" ht="15" hidden="false" customHeight="false" outlineLevel="0" collapsed="false">
      <c r="A3253" s="0" t="n">
        <v>3</v>
      </c>
      <c r="B3253" s="59" t="n">
        <v>46240</v>
      </c>
      <c r="C3253" s="0" t="n">
        <v>22</v>
      </c>
      <c r="D3253" s="0" t="s">
        <v>2172</v>
      </c>
      <c r="E3253" s="0" t="n">
        <v>42</v>
      </c>
      <c r="F3253" s="0" t="s">
        <v>81</v>
      </c>
      <c r="I3253" s="0" t="n">
        <v>4466</v>
      </c>
      <c r="J3253" s="0" t="n">
        <v>110455</v>
      </c>
      <c r="K3253" s="0" t="n">
        <v>53212</v>
      </c>
      <c r="L3253" s="0" t="s">
        <v>2180</v>
      </c>
      <c r="N3253" s="0" t="n">
        <v>1.103</v>
      </c>
      <c r="O3253" s="60" t="n">
        <v>0.01</v>
      </c>
    </row>
    <row r="3254" customFormat="false" ht="15" hidden="false" customHeight="false" outlineLevel="0" collapsed="false">
      <c r="A3254" s="0" t="n">
        <v>3</v>
      </c>
      <c r="B3254" s="59" t="n">
        <v>46240</v>
      </c>
      <c r="C3254" s="0" t="n">
        <v>100</v>
      </c>
      <c r="D3254" s="0" t="s">
        <v>2181</v>
      </c>
      <c r="E3254" s="0" t="n">
        <v>42</v>
      </c>
      <c r="F3254" s="0" t="s">
        <v>81</v>
      </c>
      <c r="I3254" s="0" t="n">
        <v>1507915</v>
      </c>
      <c r="J3254" s="0" t="n">
        <v>100006</v>
      </c>
      <c r="K3254" s="0" t="n">
        <v>7</v>
      </c>
      <c r="L3254" s="0" t="s">
        <v>2228</v>
      </c>
      <c r="N3254" s="0" t="n">
        <v>4.288</v>
      </c>
      <c r="O3254" s="60" t="n">
        <v>151.46</v>
      </c>
    </row>
    <row r="3255" customFormat="false" ht="15" hidden="false" customHeight="false" outlineLevel="0" collapsed="false">
      <c r="A3255" s="0" t="n">
        <v>3</v>
      </c>
      <c r="B3255" s="59" t="n">
        <v>46240</v>
      </c>
      <c r="C3255" s="0" t="n">
        <v>100</v>
      </c>
      <c r="D3255" s="0" t="s">
        <v>2181</v>
      </c>
      <c r="E3255" s="0" t="n">
        <v>42</v>
      </c>
      <c r="F3255" s="0" t="s">
        <v>81</v>
      </c>
      <c r="I3255" s="0" t="n">
        <v>1507915</v>
      </c>
      <c r="J3255" s="0" t="n">
        <v>100007</v>
      </c>
      <c r="K3255" s="0" t="n">
        <v>8</v>
      </c>
      <c r="L3255" s="0" t="s">
        <v>2177</v>
      </c>
      <c r="N3255" s="0" t="n">
        <v>2.82</v>
      </c>
      <c r="O3255" s="60" t="n">
        <v>84.67</v>
      </c>
    </row>
    <row r="3256" customFormat="false" ht="15" hidden="false" customHeight="false" outlineLevel="0" collapsed="false">
      <c r="A3256" s="0" t="n">
        <v>3</v>
      </c>
      <c r="B3256" s="59" t="n">
        <v>46240</v>
      </c>
      <c r="C3256" s="0" t="n">
        <v>100</v>
      </c>
      <c r="D3256" s="0" t="s">
        <v>2181</v>
      </c>
      <c r="E3256" s="0" t="n">
        <v>42</v>
      </c>
      <c r="F3256" s="0" t="s">
        <v>81</v>
      </c>
      <c r="I3256" s="0" t="n">
        <v>1507915</v>
      </c>
      <c r="J3256" s="0" t="n">
        <v>100008</v>
      </c>
      <c r="K3256" s="0" t="n">
        <v>9</v>
      </c>
      <c r="L3256" s="0" t="s">
        <v>2229</v>
      </c>
      <c r="N3256" s="0" t="n">
        <v>11.72</v>
      </c>
      <c r="O3256" s="60" t="n">
        <v>424.34</v>
      </c>
    </row>
    <row r="3257" customFormat="false" ht="15" hidden="false" customHeight="false" outlineLevel="0" collapsed="false">
      <c r="A3257" s="0" t="n">
        <v>3</v>
      </c>
      <c r="B3257" s="59" t="n">
        <v>46240</v>
      </c>
      <c r="C3257" s="0" t="n">
        <v>100</v>
      </c>
      <c r="D3257" s="0" t="s">
        <v>2181</v>
      </c>
      <c r="E3257" s="0" t="n">
        <v>42</v>
      </c>
      <c r="F3257" s="0" t="s">
        <v>81</v>
      </c>
      <c r="I3257" s="0" t="n">
        <v>1507915</v>
      </c>
      <c r="J3257" s="0" t="n">
        <v>100010</v>
      </c>
      <c r="K3257" s="0" t="n">
        <v>11</v>
      </c>
      <c r="L3257" s="0" t="s">
        <v>2230</v>
      </c>
      <c r="N3257" s="0" t="n">
        <v>2.896</v>
      </c>
      <c r="O3257" s="60" t="n">
        <v>120.2</v>
      </c>
    </row>
    <row r="3258" customFormat="false" ht="15" hidden="false" customHeight="false" outlineLevel="0" collapsed="false">
      <c r="A3258" s="0" t="n">
        <v>3</v>
      </c>
      <c r="B3258" s="59" t="n">
        <v>46240</v>
      </c>
      <c r="C3258" s="0" t="n">
        <v>100</v>
      </c>
      <c r="D3258" s="0" t="s">
        <v>2181</v>
      </c>
      <c r="E3258" s="0" t="n">
        <v>42</v>
      </c>
      <c r="F3258" s="0" t="s">
        <v>81</v>
      </c>
      <c r="I3258" s="0" t="n">
        <v>1507915</v>
      </c>
      <c r="J3258" s="0" t="n">
        <v>100011</v>
      </c>
      <c r="K3258" s="0" t="n">
        <v>12</v>
      </c>
      <c r="L3258" s="0" t="s">
        <v>2231</v>
      </c>
      <c r="N3258" s="0" t="n">
        <v>5.67</v>
      </c>
      <c r="O3258" s="60" t="n">
        <v>235.34</v>
      </c>
    </row>
    <row r="3259" customFormat="false" ht="15" hidden="false" customHeight="false" outlineLevel="0" collapsed="false">
      <c r="A3259" s="0" t="n">
        <v>3</v>
      </c>
      <c r="B3259" s="59" t="n">
        <v>46240</v>
      </c>
      <c r="C3259" s="0" t="n">
        <v>100</v>
      </c>
      <c r="D3259" s="0" t="s">
        <v>2181</v>
      </c>
      <c r="E3259" s="0" t="n">
        <v>42</v>
      </c>
      <c r="F3259" s="0" t="s">
        <v>81</v>
      </c>
      <c r="I3259" s="0" t="n">
        <v>1507915</v>
      </c>
      <c r="J3259" s="0" t="n">
        <v>100012</v>
      </c>
      <c r="K3259" s="0" t="n">
        <v>13</v>
      </c>
      <c r="L3259" s="0" t="s">
        <v>2232</v>
      </c>
      <c r="N3259" s="0" t="n">
        <v>5.462</v>
      </c>
      <c r="O3259" s="60" t="n">
        <v>246</v>
      </c>
    </row>
    <row r="3260" customFormat="false" ht="15" hidden="false" customHeight="false" outlineLevel="0" collapsed="false">
      <c r="A3260" s="0" t="n">
        <v>3</v>
      </c>
      <c r="B3260" s="59" t="n">
        <v>46240</v>
      </c>
      <c r="C3260" s="0" t="n">
        <v>100</v>
      </c>
      <c r="D3260" s="0" t="s">
        <v>2181</v>
      </c>
      <c r="E3260" s="0" t="n">
        <v>42</v>
      </c>
      <c r="F3260" s="0" t="s">
        <v>81</v>
      </c>
      <c r="I3260" s="0" t="n">
        <v>1507915</v>
      </c>
      <c r="J3260" s="0" t="n">
        <v>100013</v>
      </c>
      <c r="K3260" s="0" t="n">
        <v>14</v>
      </c>
      <c r="L3260" s="0" t="s">
        <v>2233</v>
      </c>
      <c r="N3260" s="0" t="n">
        <v>7.09</v>
      </c>
      <c r="O3260" s="60" t="n">
        <v>344.38</v>
      </c>
    </row>
    <row r="3261" customFormat="false" ht="15" hidden="false" customHeight="false" outlineLevel="0" collapsed="false">
      <c r="A3261" s="0" t="n">
        <v>3</v>
      </c>
      <c r="B3261" s="59" t="n">
        <v>46240</v>
      </c>
      <c r="C3261" s="0" t="n">
        <v>100</v>
      </c>
      <c r="D3261" s="0" t="s">
        <v>2181</v>
      </c>
      <c r="E3261" s="0" t="n">
        <v>42</v>
      </c>
      <c r="F3261" s="0" t="s">
        <v>81</v>
      </c>
      <c r="I3261" s="0" t="n">
        <v>1507915</v>
      </c>
      <c r="J3261" s="0" t="n">
        <v>100014</v>
      </c>
      <c r="K3261" s="0" t="n">
        <v>15</v>
      </c>
      <c r="L3261" s="0" t="s">
        <v>2234</v>
      </c>
      <c r="N3261" s="0" t="n">
        <v>3.084</v>
      </c>
      <c r="O3261" s="60" t="n">
        <v>152.52</v>
      </c>
    </row>
    <row r="3262" customFormat="false" ht="15" hidden="false" customHeight="false" outlineLevel="0" collapsed="false">
      <c r="A3262" s="0" t="n">
        <v>3</v>
      </c>
      <c r="B3262" s="59" t="n">
        <v>46240</v>
      </c>
      <c r="C3262" s="0" t="n">
        <v>100</v>
      </c>
      <c r="D3262" s="0" t="s">
        <v>2181</v>
      </c>
      <c r="E3262" s="0" t="n">
        <v>42</v>
      </c>
      <c r="F3262" s="0" t="s">
        <v>81</v>
      </c>
      <c r="I3262" s="0" t="n">
        <v>1507915</v>
      </c>
      <c r="J3262" s="0" t="n">
        <v>100015</v>
      </c>
      <c r="K3262" s="0" t="n">
        <v>16</v>
      </c>
      <c r="L3262" s="0" t="s">
        <v>2235</v>
      </c>
      <c r="N3262" s="0" t="n">
        <v>1.204</v>
      </c>
      <c r="O3262" s="60" t="n">
        <v>54.23</v>
      </c>
    </row>
    <row r="3263" customFormat="false" ht="15" hidden="false" customHeight="false" outlineLevel="0" collapsed="false">
      <c r="A3263" s="0" t="n">
        <v>3</v>
      </c>
      <c r="B3263" s="59" t="n">
        <v>46240</v>
      </c>
      <c r="C3263" s="0" t="n">
        <v>100</v>
      </c>
      <c r="D3263" s="0" t="s">
        <v>2181</v>
      </c>
      <c r="E3263" s="0" t="n">
        <v>42</v>
      </c>
      <c r="F3263" s="0" t="s">
        <v>81</v>
      </c>
      <c r="I3263" s="0" t="n">
        <v>1507915</v>
      </c>
      <c r="J3263" s="0" t="n">
        <v>100016</v>
      </c>
      <c r="K3263" s="0" t="n">
        <v>17</v>
      </c>
      <c r="L3263" s="0" t="s">
        <v>2236</v>
      </c>
      <c r="N3263" s="0" t="n">
        <v>2.168</v>
      </c>
      <c r="O3263" s="60" t="n">
        <v>105.3</v>
      </c>
    </row>
    <row r="3264" customFormat="false" ht="15" hidden="false" customHeight="false" outlineLevel="0" collapsed="false">
      <c r="A3264" s="0" t="n">
        <v>3</v>
      </c>
      <c r="B3264" s="59" t="n">
        <v>46240</v>
      </c>
      <c r="C3264" s="0" t="n">
        <v>100</v>
      </c>
      <c r="D3264" s="0" t="s">
        <v>2181</v>
      </c>
      <c r="E3264" s="0" t="n">
        <v>42</v>
      </c>
      <c r="F3264" s="0" t="s">
        <v>81</v>
      </c>
      <c r="I3264" s="0" t="n">
        <v>1507915</v>
      </c>
      <c r="J3264" s="0" t="n">
        <v>100017</v>
      </c>
      <c r="K3264" s="0" t="n">
        <v>18</v>
      </c>
      <c r="L3264" s="0" t="s">
        <v>2237</v>
      </c>
      <c r="N3264" s="0" t="n">
        <v>1.658</v>
      </c>
      <c r="O3264" s="60" t="n">
        <v>95.18</v>
      </c>
    </row>
    <row r="3265" customFormat="false" ht="15" hidden="false" customHeight="false" outlineLevel="0" collapsed="false">
      <c r="A3265" s="0" t="n">
        <v>3</v>
      </c>
      <c r="B3265" s="59" t="n">
        <v>46240</v>
      </c>
      <c r="C3265" s="0" t="n">
        <v>100</v>
      </c>
      <c r="D3265" s="0" t="s">
        <v>2181</v>
      </c>
      <c r="E3265" s="0" t="n">
        <v>42</v>
      </c>
      <c r="F3265" s="0" t="s">
        <v>81</v>
      </c>
      <c r="I3265" s="0" t="n">
        <v>1507915</v>
      </c>
      <c r="J3265" s="0" t="n">
        <v>100019</v>
      </c>
      <c r="K3265" s="0" t="n">
        <v>20</v>
      </c>
      <c r="L3265" s="0" t="s">
        <v>2795</v>
      </c>
      <c r="N3265" s="0" t="n">
        <v>3.21</v>
      </c>
      <c r="O3265" s="60" t="n">
        <v>121.89</v>
      </c>
    </row>
    <row r="3266" customFormat="false" ht="15" hidden="false" customHeight="false" outlineLevel="0" collapsed="false">
      <c r="A3266" s="0" t="n">
        <v>3</v>
      </c>
      <c r="B3266" s="59" t="n">
        <v>46240</v>
      </c>
      <c r="C3266" s="0" t="n">
        <v>100</v>
      </c>
      <c r="D3266" s="0" t="s">
        <v>2181</v>
      </c>
      <c r="E3266" s="0" t="n">
        <v>42</v>
      </c>
      <c r="F3266" s="0" t="s">
        <v>81</v>
      </c>
      <c r="I3266" s="0" t="n">
        <v>1507915</v>
      </c>
      <c r="J3266" s="0" t="n">
        <v>100020</v>
      </c>
      <c r="K3266" s="0" t="n">
        <v>21</v>
      </c>
      <c r="L3266" s="0" t="s">
        <v>2337</v>
      </c>
      <c r="N3266" s="0" t="n">
        <v>1.218</v>
      </c>
      <c r="O3266" s="60" t="n">
        <v>44.1</v>
      </c>
    </row>
    <row r="3267" customFormat="false" ht="15" hidden="false" customHeight="false" outlineLevel="0" collapsed="false">
      <c r="A3267" s="0" t="n">
        <v>3</v>
      </c>
      <c r="B3267" s="59" t="n">
        <v>46240</v>
      </c>
      <c r="C3267" s="0" t="n">
        <v>100</v>
      </c>
      <c r="D3267" s="0" t="s">
        <v>2181</v>
      </c>
      <c r="E3267" s="0" t="n">
        <v>42</v>
      </c>
      <c r="F3267" s="0" t="s">
        <v>81</v>
      </c>
      <c r="I3267" s="0" t="n">
        <v>1507915</v>
      </c>
      <c r="J3267" s="0" t="n">
        <v>100057</v>
      </c>
      <c r="K3267" s="0" t="n">
        <v>58</v>
      </c>
      <c r="L3267" s="0" t="s">
        <v>3604</v>
      </c>
      <c r="N3267" s="0" t="n">
        <v>1.762</v>
      </c>
      <c r="O3267" s="60" t="n">
        <v>65.35</v>
      </c>
    </row>
    <row r="3268" customFormat="false" ht="15" hidden="false" customHeight="false" outlineLevel="0" collapsed="false">
      <c r="A3268" s="0" t="n">
        <v>3</v>
      </c>
      <c r="B3268" s="59" t="n">
        <v>46240</v>
      </c>
      <c r="C3268" s="0" t="n">
        <v>100</v>
      </c>
      <c r="D3268" s="0" t="s">
        <v>2181</v>
      </c>
      <c r="E3268" s="0" t="n">
        <v>42</v>
      </c>
      <c r="F3268" s="0" t="s">
        <v>81</v>
      </c>
      <c r="I3268" s="0" t="n">
        <v>1507915</v>
      </c>
      <c r="J3268" s="0" t="n">
        <v>100638</v>
      </c>
      <c r="K3268" s="0" t="n">
        <v>508</v>
      </c>
      <c r="L3268" s="0" t="s">
        <v>2178</v>
      </c>
      <c r="N3268" s="0" t="n">
        <v>2.88</v>
      </c>
      <c r="O3268" s="60" t="n">
        <v>5.06</v>
      </c>
    </row>
    <row r="3269" customFormat="false" ht="15" hidden="false" customHeight="false" outlineLevel="0" collapsed="false">
      <c r="A3269" s="0" t="n">
        <v>3</v>
      </c>
      <c r="B3269" s="59" t="n">
        <v>46240</v>
      </c>
      <c r="C3269" s="0" t="n">
        <v>100</v>
      </c>
      <c r="D3269" s="0" t="s">
        <v>2181</v>
      </c>
      <c r="E3269" s="0" t="n">
        <v>42</v>
      </c>
      <c r="F3269" s="0" t="s">
        <v>81</v>
      </c>
      <c r="I3269" s="0" t="n">
        <v>1507915</v>
      </c>
      <c r="J3269" s="0" t="n">
        <v>100520</v>
      </c>
      <c r="K3269" s="0" t="n">
        <v>507</v>
      </c>
      <c r="L3269" s="0" t="s">
        <v>2179</v>
      </c>
      <c r="N3269" s="0" t="n">
        <v>13.167</v>
      </c>
      <c r="O3269" s="60" t="n">
        <v>34.77</v>
      </c>
    </row>
    <row r="3270" customFormat="false" ht="15" hidden="false" customHeight="false" outlineLevel="0" collapsed="false">
      <c r="A3270" s="0" t="n">
        <v>3</v>
      </c>
      <c r="B3270" s="59" t="n">
        <v>46240</v>
      </c>
      <c r="C3270" s="0" t="n">
        <v>100</v>
      </c>
      <c r="D3270" s="0" t="s">
        <v>2181</v>
      </c>
      <c r="E3270" s="0" t="n">
        <v>42</v>
      </c>
      <c r="F3270" s="0" t="s">
        <v>81</v>
      </c>
      <c r="I3270" s="0" t="n">
        <v>1507915</v>
      </c>
      <c r="J3270" s="0" t="n">
        <v>110455</v>
      </c>
      <c r="K3270" s="0" t="n">
        <v>53212</v>
      </c>
      <c r="L3270" s="0" t="s">
        <v>2180</v>
      </c>
      <c r="N3270" s="0" t="n">
        <v>1.103</v>
      </c>
      <c r="O3270" s="60" t="n">
        <v>0.01</v>
      </c>
    </row>
    <row r="3271" customFormat="false" ht="15" hidden="false" customHeight="false" outlineLevel="0" collapsed="false">
      <c r="A3271" s="0" t="n">
        <v>3</v>
      </c>
      <c r="B3271" s="59" t="n">
        <v>46240</v>
      </c>
      <c r="C3271" s="0" t="n">
        <v>171</v>
      </c>
      <c r="D3271" s="0" t="s">
        <v>2182</v>
      </c>
      <c r="E3271" s="0" t="n">
        <v>1107</v>
      </c>
      <c r="F3271" s="0" t="s">
        <v>166</v>
      </c>
      <c r="I3271" s="0" t="n">
        <v>438336</v>
      </c>
      <c r="J3271" s="0" t="n">
        <v>36857</v>
      </c>
      <c r="K3271" s="0" t="n">
        <v>7891962064048</v>
      </c>
      <c r="L3271" s="0" t="s">
        <v>3542</v>
      </c>
      <c r="N3271" s="0" t="n">
        <v>4</v>
      </c>
      <c r="O3271" s="60" t="n">
        <v>31.68</v>
      </c>
    </row>
    <row r="3272" customFormat="false" ht="15" hidden="false" customHeight="false" outlineLevel="0" collapsed="false">
      <c r="A3272" s="0" t="n">
        <v>3</v>
      </c>
      <c r="B3272" s="59" t="n">
        <v>46241</v>
      </c>
      <c r="C3272" s="0" t="n">
        <v>1</v>
      </c>
      <c r="D3272" s="0" t="s">
        <v>2118</v>
      </c>
      <c r="E3272" s="0" t="n">
        <v>10035</v>
      </c>
      <c r="F3272" s="0" t="s">
        <v>229</v>
      </c>
      <c r="I3272" s="0" t="n">
        <v>394</v>
      </c>
      <c r="J3272" s="0" t="n">
        <v>38652</v>
      </c>
      <c r="K3272" s="0" t="n">
        <v>7898994684220</v>
      </c>
      <c r="L3272" s="0" t="s">
        <v>2246</v>
      </c>
      <c r="N3272" s="0" t="n">
        <v>70</v>
      </c>
      <c r="O3272" s="60" t="n">
        <v>630</v>
      </c>
    </row>
    <row r="3273" customFormat="false" ht="15" hidden="false" customHeight="false" outlineLevel="0" collapsed="false">
      <c r="A3273" s="0" t="n">
        <v>3</v>
      </c>
      <c r="B3273" s="59" t="n">
        <v>46241</v>
      </c>
      <c r="C3273" s="0" t="n">
        <v>1</v>
      </c>
      <c r="D3273" s="0" t="s">
        <v>2118</v>
      </c>
      <c r="E3273" s="0" t="n">
        <v>10035</v>
      </c>
      <c r="F3273" s="0" t="s">
        <v>229</v>
      </c>
      <c r="I3273" s="0" t="n">
        <v>394</v>
      </c>
      <c r="J3273" s="0" t="n">
        <v>38653</v>
      </c>
      <c r="K3273" s="0" t="n">
        <v>7898994684275</v>
      </c>
      <c r="L3273" s="0" t="s">
        <v>2338</v>
      </c>
      <c r="N3273" s="0" t="n">
        <v>50</v>
      </c>
      <c r="O3273" s="60" t="n">
        <v>240</v>
      </c>
    </row>
    <row r="3274" customFormat="false" ht="15" hidden="false" customHeight="false" outlineLevel="0" collapsed="false">
      <c r="A3274" s="0" t="n">
        <v>3</v>
      </c>
      <c r="B3274" s="59" t="n">
        <v>46241</v>
      </c>
      <c r="C3274" s="0" t="n">
        <v>6</v>
      </c>
      <c r="D3274" s="0" t="s">
        <v>2125</v>
      </c>
      <c r="E3274" s="0" t="n">
        <v>42</v>
      </c>
      <c r="F3274" s="0" t="s">
        <v>81</v>
      </c>
      <c r="I3274" s="0" t="n">
        <v>4469</v>
      </c>
      <c r="J3274" s="0" t="n">
        <v>37359</v>
      </c>
      <c r="K3274" s="0" t="n">
        <v>55526</v>
      </c>
      <c r="L3274" s="0" t="s">
        <v>2194</v>
      </c>
      <c r="N3274" s="0" t="n">
        <v>5</v>
      </c>
      <c r="O3274" s="60" t="n">
        <v>25</v>
      </c>
    </row>
    <row r="3275" customFormat="false" ht="15" hidden="false" customHeight="false" outlineLevel="0" collapsed="false">
      <c r="A3275" s="0" t="n">
        <v>3</v>
      </c>
      <c r="B3275" s="59" t="n">
        <v>46241</v>
      </c>
      <c r="C3275" s="0" t="n">
        <v>6</v>
      </c>
      <c r="D3275" s="0" t="s">
        <v>2125</v>
      </c>
      <c r="E3275" s="0" t="n">
        <v>42</v>
      </c>
      <c r="F3275" s="0" t="s">
        <v>81</v>
      </c>
      <c r="I3275" s="0" t="n">
        <v>4469</v>
      </c>
      <c r="J3275" s="0" t="n">
        <v>37361</v>
      </c>
      <c r="K3275" s="0" t="n">
        <v>2240817</v>
      </c>
      <c r="L3275" s="0" t="s">
        <v>2124</v>
      </c>
      <c r="N3275" s="0" t="n">
        <v>30</v>
      </c>
      <c r="O3275" s="60" t="n">
        <v>60</v>
      </c>
    </row>
    <row r="3276" customFormat="false" ht="15" hidden="false" customHeight="false" outlineLevel="0" collapsed="false">
      <c r="A3276" s="0" t="n">
        <v>3</v>
      </c>
      <c r="B3276" s="59" t="n">
        <v>46241</v>
      </c>
      <c r="C3276" s="0" t="n">
        <v>6</v>
      </c>
      <c r="D3276" s="0" t="s">
        <v>2125</v>
      </c>
      <c r="E3276" s="0" t="n">
        <v>42</v>
      </c>
      <c r="F3276" s="0" t="s">
        <v>81</v>
      </c>
      <c r="I3276" s="0" t="n">
        <v>4473</v>
      </c>
      <c r="J3276" s="0" t="n">
        <v>72679</v>
      </c>
      <c r="K3276" s="0" t="n">
        <v>246</v>
      </c>
      <c r="L3276" s="0" t="s">
        <v>2195</v>
      </c>
      <c r="N3276" s="0" t="n">
        <v>20</v>
      </c>
      <c r="O3276" s="60" t="n">
        <v>300</v>
      </c>
    </row>
    <row r="3277" customFormat="false" ht="15" hidden="false" customHeight="false" outlineLevel="0" collapsed="false">
      <c r="A3277" s="0" t="n">
        <v>3</v>
      </c>
      <c r="B3277" s="59" t="n">
        <v>46241</v>
      </c>
      <c r="C3277" s="0" t="n">
        <v>6</v>
      </c>
      <c r="D3277" s="0" t="s">
        <v>2125</v>
      </c>
      <c r="E3277" s="0" t="n">
        <v>42</v>
      </c>
      <c r="F3277" s="0" t="s">
        <v>81</v>
      </c>
      <c r="I3277" s="0" t="n">
        <v>4474</v>
      </c>
      <c r="J3277" s="0" t="n">
        <v>100062</v>
      </c>
      <c r="K3277" s="0" t="n">
        <v>63</v>
      </c>
      <c r="L3277" s="0" t="s">
        <v>2259</v>
      </c>
      <c r="N3277" s="0" t="n">
        <v>10.76</v>
      </c>
      <c r="O3277" s="60" t="n">
        <v>129</v>
      </c>
    </row>
    <row r="3278" customFormat="false" ht="15" hidden="false" customHeight="false" outlineLevel="0" collapsed="false">
      <c r="A3278" s="0" t="n">
        <v>3</v>
      </c>
      <c r="B3278" s="59" t="n">
        <v>46241</v>
      </c>
      <c r="C3278" s="0" t="n">
        <v>6</v>
      </c>
      <c r="D3278" s="0" t="s">
        <v>2125</v>
      </c>
      <c r="E3278" s="0" t="n">
        <v>42</v>
      </c>
      <c r="F3278" s="0" t="s">
        <v>81</v>
      </c>
      <c r="I3278" s="0" t="n">
        <v>4474</v>
      </c>
      <c r="J3278" s="0" t="n">
        <v>100104</v>
      </c>
      <c r="K3278" s="0" t="n">
        <v>105</v>
      </c>
      <c r="L3278" s="0" t="s">
        <v>2260</v>
      </c>
      <c r="N3278" s="0" t="n">
        <v>5</v>
      </c>
      <c r="O3278" s="60" t="n">
        <v>35</v>
      </c>
    </row>
    <row r="3279" customFormat="false" ht="15" hidden="false" customHeight="false" outlineLevel="0" collapsed="false">
      <c r="A3279" s="0" t="n">
        <v>3</v>
      </c>
      <c r="B3279" s="59" t="n">
        <v>46241</v>
      </c>
      <c r="C3279" s="0" t="n">
        <v>6</v>
      </c>
      <c r="D3279" s="0" t="s">
        <v>2125</v>
      </c>
      <c r="E3279" s="0" t="n">
        <v>42</v>
      </c>
      <c r="F3279" s="0" t="s">
        <v>81</v>
      </c>
      <c r="I3279" s="0" t="n">
        <v>4474</v>
      </c>
      <c r="J3279" s="0" t="n">
        <v>100105</v>
      </c>
      <c r="K3279" s="0" t="n">
        <v>106</v>
      </c>
      <c r="L3279" s="0" t="s">
        <v>2620</v>
      </c>
      <c r="N3279" s="0" t="n">
        <v>48</v>
      </c>
      <c r="O3279" s="60" t="n">
        <v>320</v>
      </c>
    </row>
    <row r="3280" customFormat="false" ht="15" hidden="false" customHeight="false" outlineLevel="0" collapsed="false">
      <c r="A3280" s="0" t="n">
        <v>3</v>
      </c>
      <c r="B3280" s="59" t="n">
        <v>46241</v>
      </c>
      <c r="C3280" s="0" t="n">
        <v>6</v>
      </c>
      <c r="D3280" s="0" t="s">
        <v>2125</v>
      </c>
      <c r="E3280" s="0" t="n">
        <v>42</v>
      </c>
      <c r="F3280" s="0" t="s">
        <v>81</v>
      </c>
      <c r="I3280" s="0" t="n">
        <v>4474</v>
      </c>
      <c r="J3280" s="0" t="n">
        <v>100107</v>
      </c>
      <c r="K3280" s="0" t="n">
        <v>108</v>
      </c>
      <c r="L3280" s="0" t="s">
        <v>2877</v>
      </c>
      <c r="N3280" s="0" t="n">
        <v>3</v>
      </c>
      <c r="O3280" s="60" t="n">
        <v>36</v>
      </c>
    </row>
    <row r="3281" customFormat="false" ht="15" hidden="false" customHeight="false" outlineLevel="0" collapsed="false">
      <c r="A3281" s="0" t="n">
        <v>3</v>
      </c>
      <c r="B3281" s="59" t="n">
        <v>46241</v>
      </c>
      <c r="C3281" s="0" t="n">
        <v>6</v>
      </c>
      <c r="D3281" s="0" t="s">
        <v>2125</v>
      </c>
      <c r="E3281" s="0" t="n">
        <v>42</v>
      </c>
      <c r="F3281" s="0" t="s">
        <v>81</v>
      </c>
      <c r="I3281" s="0" t="n">
        <v>4474</v>
      </c>
      <c r="J3281" s="0" t="n">
        <v>100109</v>
      </c>
      <c r="K3281" s="0" t="n">
        <v>110</v>
      </c>
      <c r="L3281" s="0" t="s">
        <v>2261</v>
      </c>
      <c r="N3281" s="0" t="n">
        <v>40</v>
      </c>
      <c r="O3281" s="60" t="n">
        <v>260</v>
      </c>
    </row>
    <row r="3282" customFormat="false" ht="15" hidden="false" customHeight="false" outlineLevel="0" collapsed="false">
      <c r="A3282" s="0" t="n">
        <v>3</v>
      </c>
      <c r="B3282" s="59" t="n">
        <v>46241</v>
      </c>
      <c r="C3282" s="0" t="n">
        <v>6</v>
      </c>
      <c r="D3282" s="0" t="s">
        <v>2125</v>
      </c>
      <c r="E3282" s="0" t="n">
        <v>42</v>
      </c>
      <c r="F3282" s="0" t="s">
        <v>81</v>
      </c>
      <c r="I3282" s="0" t="n">
        <v>4474</v>
      </c>
      <c r="J3282" s="0" t="n">
        <v>100110</v>
      </c>
      <c r="K3282" s="0" t="n">
        <v>111</v>
      </c>
      <c r="L3282" s="0" t="s">
        <v>2262</v>
      </c>
      <c r="N3282" s="0" t="n">
        <v>20</v>
      </c>
      <c r="O3282" s="60" t="n">
        <v>160</v>
      </c>
    </row>
    <row r="3283" customFormat="false" ht="15" hidden="false" customHeight="false" outlineLevel="0" collapsed="false">
      <c r="A3283" s="0" t="n">
        <v>3</v>
      </c>
      <c r="B3283" s="59" t="n">
        <v>46241</v>
      </c>
      <c r="C3283" s="0" t="n">
        <v>6</v>
      </c>
      <c r="D3283" s="0" t="s">
        <v>2125</v>
      </c>
      <c r="E3283" s="0" t="n">
        <v>42</v>
      </c>
      <c r="F3283" s="0" t="s">
        <v>81</v>
      </c>
      <c r="I3283" s="0" t="n">
        <v>4474</v>
      </c>
      <c r="J3283" s="0" t="n">
        <v>100113</v>
      </c>
      <c r="K3283" s="0" t="n">
        <v>114</v>
      </c>
      <c r="L3283" s="0" t="s">
        <v>2264</v>
      </c>
      <c r="N3283" s="0" t="n">
        <v>40</v>
      </c>
      <c r="O3283" s="60" t="n">
        <v>130</v>
      </c>
    </row>
    <row r="3284" customFormat="false" ht="15" hidden="false" customHeight="false" outlineLevel="0" collapsed="false">
      <c r="A3284" s="0" t="n">
        <v>3</v>
      </c>
      <c r="B3284" s="59" t="n">
        <v>46241</v>
      </c>
      <c r="C3284" s="0" t="n">
        <v>6</v>
      </c>
      <c r="D3284" s="0" t="s">
        <v>2125</v>
      </c>
      <c r="E3284" s="0" t="n">
        <v>42</v>
      </c>
      <c r="F3284" s="0" t="s">
        <v>81</v>
      </c>
      <c r="I3284" s="0" t="n">
        <v>4474</v>
      </c>
      <c r="J3284" s="0" t="n">
        <v>100115</v>
      </c>
      <c r="K3284" s="0" t="n">
        <v>116</v>
      </c>
      <c r="L3284" s="0" t="s">
        <v>2265</v>
      </c>
      <c r="N3284" s="0" t="n">
        <v>12</v>
      </c>
      <c r="O3284" s="60" t="n">
        <v>120</v>
      </c>
    </row>
    <row r="3285" customFormat="false" ht="15" hidden="false" customHeight="false" outlineLevel="0" collapsed="false">
      <c r="A3285" s="0" t="n">
        <v>3</v>
      </c>
      <c r="B3285" s="59" t="n">
        <v>46241</v>
      </c>
      <c r="C3285" s="0" t="n">
        <v>6</v>
      </c>
      <c r="D3285" s="0" t="s">
        <v>2125</v>
      </c>
      <c r="E3285" s="0" t="n">
        <v>42</v>
      </c>
      <c r="F3285" s="0" t="s">
        <v>81</v>
      </c>
      <c r="I3285" s="0" t="n">
        <v>4474</v>
      </c>
      <c r="J3285" s="0" t="n">
        <v>100116</v>
      </c>
      <c r="K3285" s="0" t="n">
        <v>117</v>
      </c>
      <c r="L3285" s="0" t="s">
        <v>2266</v>
      </c>
      <c r="N3285" s="0" t="n">
        <v>4</v>
      </c>
      <c r="O3285" s="60" t="n">
        <v>72</v>
      </c>
    </row>
    <row r="3286" customFormat="false" ht="15" hidden="false" customHeight="false" outlineLevel="0" collapsed="false">
      <c r="A3286" s="0" t="n">
        <v>3</v>
      </c>
      <c r="B3286" s="59" t="n">
        <v>46241</v>
      </c>
      <c r="C3286" s="0" t="n">
        <v>6</v>
      </c>
      <c r="D3286" s="0" t="s">
        <v>2125</v>
      </c>
      <c r="E3286" s="0" t="n">
        <v>42</v>
      </c>
      <c r="F3286" s="0" t="s">
        <v>81</v>
      </c>
      <c r="I3286" s="0" t="n">
        <v>4474</v>
      </c>
      <c r="J3286" s="0" t="n">
        <v>100118</v>
      </c>
      <c r="K3286" s="0" t="n">
        <v>119</v>
      </c>
      <c r="L3286" s="0" t="s">
        <v>2267</v>
      </c>
      <c r="N3286" s="0" t="n">
        <v>10</v>
      </c>
      <c r="O3286" s="60" t="n">
        <v>80</v>
      </c>
    </row>
    <row r="3287" customFormat="false" ht="15" hidden="false" customHeight="false" outlineLevel="0" collapsed="false">
      <c r="A3287" s="0" t="n">
        <v>3</v>
      </c>
      <c r="B3287" s="59" t="n">
        <v>46241</v>
      </c>
      <c r="C3287" s="0" t="n">
        <v>6</v>
      </c>
      <c r="D3287" s="0" t="s">
        <v>2125</v>
      </c>
      <c r="E3287" s="0" t="n">
        <v>42</v>
      </c>
      <c r="F3287" s="0" t="s">
        <v>81</v>
      </c>
      <c r="I3287" s="0" t="n">
        <v>4474</v>
      </c>
      <c r="J3287" s="0" t="n">
        <v>100121</v>
      </c>
      <c r="K3287" s="0" t="n">
        <v>122</v>
      </c>
      <c r="L3287" s="0" t="s">
        <v>2422</v>
      </c>
      <c r="N3287" s="0" t="n">
        <v>5</v>
      </c>
      <c r="O3287" s="60" t="n">
        <v>55</v>
      </c>
    </row>
    <row r="3288" customFormat="false" ht="15" hidden="false" customHeight="false" outlineLevel="0" collapsed="false">
      <c r="A3288" s="0" t="n">
        <v>3</v>
      </c>
      <c r="B3288" s="59" t="n">
        <v>46241</v>
      </c>
      <c r="C3288" s="0" t="n">
        <v>6</v>
      </c>
      <c r="D3288" s="0" t="s">
        <v>2125</v>
      </c>
      <c r="E3288" s="0" t="n">
        <v>42</v>
      </c>
      <c r="F3288" s="0" t="s">
        <v>81</v>
      </c>
      <c r="I3288" s="0" t="n">
        <v>4474</v>
      </c>
      <c r="J3288" s="0" t="n">
        <v>100122</v>
      </c>
      <c r="K3288" s="0" t="n">
        <v>123</v>
      </c>
      <c r="L3288" s="0" t="s">
        <v>2423</v>
      </c>
      <c r="N3288" s="0" t="n">
        <v>5</v>
      </c>
      <c r="O3288" s="60" t="n">
        <v>45</v>
      </c>
    </row>
    <row r="3289" customFormat="false" ht="15" hidden="false" customHeight="false" outlineLevel="0" collapsed="false">
      <c r="A3289" s="0" t="n">
        <v>3</v>
      </c>
      <c r="B3289" s="59" t="n">
        <v>46241</v>
      </c>
      <c r="C3289" s="0" t="n">
        <v>6</v>
      </c>
      <c r="D3289" s="0" t="s">
        <v>2125</v>
      </c>
      <c r="E3289" s="0" t="n">
        <v>42</v>
      </c>
      <c r="F3289" s="0" t="s">
        <v>81</v>
      </c>
      <c r="I3289" s="0" t="n">
        <v>4474</v>
      </c>
      <c r="J3289" s="0" t="n">
        <v>100123</v>
      </c>
      <c r="K3289" s="0" t="n">
        <v>124</v>
      </c>
      <c r="L3289" s="0" t="s">
        <v>2268</v>
      </c>
      <c r="N3289" s="0" t="n">
        <v>3</v>
      </c>
      <c r="O3289" s="60" t="n">
        <v>36</v>
      </c>
    </row>
    <row r="3290" customFormat="false" ht="15" hidden="false" customHeight="false" outlineLevel="0" collapsed="false">
      <c r="A3290" s="0" t="n">
        <v>3</v>
      </c>
      <c r="B3290" s="59" t="n">
        <v>46241</v>
      </c>
      <c r="C3290" s="0" t="n">
        <v>6</v>
      </c>
      <c r="D3290" s="0" t="s">
        <v>2125</v>
      </c>
      <c r="E3290" s="0" t="n">
        <v>42</v>
      </c>
      <c r="F3290" s="0" t="s">
        <v>81</v>
      </c>
      <c r="I3290" s="0" t="n">
        <v>4474</v>
      </c>
      <c r="J3290" s="0" t="n">
        <v>100124</v>
      </c>
      <c r="K3290" s="0" t="n">
        <v>125</v>
      </c>
      <c r="L3290" s="0" t="s">
        <v>2269</v>
      </c>
      <c r="N3290" s="0" t="n">
        <v>5.2</v>
      </c>
      <c r="O3290" s="60" t="n">
        <v>46.5</v>
      </c>
    </row>
    <row r="3291" customFormat="false" ht="15" hidden="false" customHeight="false" outlineLevel="0" collapsed="false">
      <c r="A3291" s="0" t="n">
        <v>3</v>
      </c>
      <c r="B3291" s="59" t="n">
        <v>46241</v>
      </c>
      <c r="C3291" s="0" t="n">
        <v>6</v>
      </c>
      <c r="D3291" s="0" t="s">
        <v>2125</v>
      </c>
      <c r="E3291" s="0" t="n">
        <v>42</v>
      </c>
      <c r="F3291" s="0" t="s">
        <v>81</v>
      </c>
      <c r="I3291" s="0" t="n">
        <v>4474</v>
      </c>
      <c r="J3291" s="0" t="n">
        <v>100133</v>
      </c>
      <c r="K3291" s="0" t="n">
        <v>134</v>
      </c>
      <c r="L3291" s="0" t="s">
        <v>2271</v>
      </c>
      <c r="N3291" s="0" t="n">
        <v>10</v>
      </c>
      <c r="O3291" s="60" t="n">
        <v>60</v>
      </c>
    </row>
    <row r="3292" customFormat="false" ht="15" hidden="false" customHeight="false" outlineLevel="0" collapsed="false">
      <c r="A3292" s="0" t="n">
        <v>3</v>
      </c>
      <c r="B3292" s="59" t="n">
        <v>46241</v>
      </c>
      <c r="C3292" s="0" t="n">
        <v>6</v>
      </c>
      <c r="D3292" s="0" t="s">
        <v>2125</v>
      </c>
      <c r="E3292" s="0" t="n">
        <v>42</v>
      </c>
      <c r="F3292" s="0" t="s">
        <v>81</v>
      </c>
      <c r="I3292" s="0" t="n">
        <v>4474</v>
      </c>
      <c r="J3292" s="0" t="n">
        <v>100138</v>
      </c>
      <c r="K3292" s="0" t="n">
        <v>139</v>
      </c>
      <c r="L3292" s="0" t="s">
        <v>2426</v>
      </c>
      <c r="N3292" s="0" t="n">
        <v>0.5</v>
      </c>
      <c r="O3292" s="60" t="n">
        <v>20</v>
      </c>
    </row>
    <row r="3293" customFormat="false" ht="15" hidden="false" customHeight="false" outlineLevel="0" collapsed="false">
      <c r="A3293" s="0" t="n">
        <v>3</v>
      </c>
      <c r="B3293" s="59" t="n">
        <v>46241</v>
      </c>
      <c r="C3293" s="0" t="n">
        <v>6</v>
      </c>
      <c r="D3293" s="0" t="s">
        <v>2125</v>
      </c>
      <c r="E3293" s="0" t="n">
        <v>42</v>
      </c>
      <c r="F3293" s="0" t="s">
        <v>81</v>
      </c>
      <c r="I3293" s="0" t="n">
        <v>4474</v>
      </c>
      <c r="J3293" s="0" t="n">
        <v>100148</v>
      </c>
      <c r="K3293" s="0" t="n">
        <v>149</v>
      </c>
      <c r="L3293" s="0" t="s">
        <v>2272</v>
      </c>
      <c r="N3293" s="0" t="n">
        <v>7.8</v>
      </c>
      <c r="O3293" s="60" t="n">
        <v>93.5</v>
      </c>
    </row>
    <row r="3294" customFormat="false" ht="15" hidden="false" customHeight="false" outlineLevel="0" collapsed="false">
      <c r="A3294" s="0" t="n">
        <v>3</v>
      </c>
      <c r="B3294" s="59" t="n">
        <v>46241</v>
      </c>
      <c r="C3294" s="0" t="n">
        <v>6</v>
      </c>
      <c r="D3294" s="0" t="s">
        <v>2125</v>
      </c>
      <c r="E3294" s="0" t="n">
        <v>42</v>
      </c>
      <c r="F3294" s="0" t="s">
        <v>81</v>
      </c>
      <c r="I3294" s="0" t="n">
        <v>4474</v>
      </c>
      <c r="J3294" s="0" t="n">
        <v>110142</v>
      </c>
      <c r="K3294" s="0" t="n">
        <v>16699</v>
      </c>
      <c r="L3294" s="0" t="s">
        <v>2273</v>
      </c>
      <c r="N3294" s="0" t="n">
        <v>20</v>
      </c>
      <c r="O3294" s="60" t="n">
        <v>120</v>
      </c>
    </row>
    <row r="3295" customFormat="false" ht="15" hidden="false" customHeight="false" outlineLevel="0" collapsed="false">
      <c r="A3295" s="0" t="n">
        <v>3</v>
      </c>
      <c r="B3295" s="59" t="n">
        <v>46241</v>
      </c>
      <c r="C3295" s="0" t="n">
        <v>6</v>
      </c>
      <c r="D3295" s="0" t="s">
        <v>2125</v>
      </c>
      <c r="E3295" s="0" t="n">
        <v>42</v>
      </c>
      <c r="F3295" s="0" t="s">
        <v>81</v>
      </c>
      <c r="I3295" s="0" t="n">
        <v>4474</v>
      </c>
      <c r="J3295" s="0" t="n">
        <v>37363</v>
      </c>
      <c r="K3295" s="0" t="n">
        <v>55528</v>
      </c>
      <c r="L3295" s="0" t="s">
        <v>3058</v>
      </c>
      <c r="N3295" s="0" t="n">
        <v>26</v>
      </c>
      <c r="O3295" s="60" t="n">
        <v>35</v>
      </c>
    </row>
    <row r="3296" customFormat="false" ht="15" hidden="false" customHeight="false" outlineLevel="0" collapsed="false">
      <c r="A3296" s="0" t="n">
        <v>3</v>
      </c>
      <c r="B3296" s="59" t="n">
        <v>46241</v>
      </c>
      <c r="C3296" s="0" t="n">
        <v>6</v>
      </c>
      <c r="D3296" s="0" t="s">
        <v>2125</v>
      </c>
      <c r="E3296" s="0" t="n">
        <v>42</v>
      </c>
      <c r="F3296" s="0" t="s">
        <v>81</v>
      </c>
      <c r="I3296" s="0" t="n">
        <v>4474</v>
      </c>
      <c r="J3296" s="0" t="n">
        <v>110265</v>
      </c>
      <c r="K3296" s="0" t="n">
        <v>41346</v>
      </c>
      <c r="L3296" s="0" t="s">
        <v>3007</v>
      </c>
      <c r="N3296" s="0" t="n">
        <v>9.88</v>
      </c>
      <c r="O3296" s="60" t="n">
        <v>138</v>
      </c>
    </row>
    <row r="3297" customFormat="false" ht="15" hidden="false" customHeight="false" outlineLevel="0" collapsed="false">
      <c r="A3297" s="0" t="n">
        <v>3</v>
      </c>
      <c r="B3297" s="59" t="n">
        <v>46241</v>
      </c>
      <c r="C3297" s="0" t="n">
        <v>11</v>
      </c>
      <c r="D3297" s="0" t="s">
        <v>2126</v>
      </c>
      <c r="E3297" s="0" t="n">
        <v>1828</v>
      </c>
      <c r="F3297" s="0" t="s">
        <v>280</v>
      </c>
      <c r="I3297" s="0" t="n">
        <v>1420</v>
      </c>
      <c r="J3297" s="0" t="n">
        <v>14247</v>
      </c>
      <c r="K3297" s="0" t="n">
        <v>2229416</v>
      </c>
      <c r="L3297" s="0" t="s">
        <v>2247</v>
      </c>
      <c r="N3297" s="0" t="n">
        <v>30</v>
      </c>
      <c r="O3297" s="60" t="n">
        <v>174</v>
      </c>
    </row>
    <row r="3298" customFormat="false" ht="15" hidden="false" customHeight="false" outlineLevel="0" collapsed="false">
      <c r="A3298" s="0" t="n">
        <v>3</v>
      </c>
      <c r="B3298" s="59" t="n">
        <v>46241</v>
      </c>
      <c r="C3298" s="0" t="n">
        <v>11</v>
      </c>
      <c r="D3298" s="0" t="s">
        <v>2126</v>
      </c>
      <c r="E3298" s="0" t="n">
        <v>1828</v>
      </c>
      <c r="F3298" s="0" t="s">
        <v>280</v>
      </c>
      <c r="I3298" s="0" t="n">
        <v>1420</v>
      </c>
      <c r="J3298" s="0" t="n">
        <v>14248</v>
      </c>
      <c r="K3298" s="0" t="n">
        <v>2229423</v>
      </c>
      <c r="L3298" s="0" t="s">
        <v>2248</v>
      </c>
      <c r="N3298" s="0" t="n">
        <v>35</v>
      </c>
      <c r="O3298" s="60" t="n">
        <v>245</v>
      </c>
    </row>
    <row r="3299" customFormat="false" ht="15" hidden="false" customHeight="false" outlineLevel="0" collapsed="false">
      <c r="A3299" s="0" t="n">
        <v>3</v>
      </c>
      <c r="B3299" s="59" t="n">
        <v>46241</v>
      </c>
      <c r="C3299" s="0" t="n">
        <v>11</v>
      </c>
      <c r="D3299" s="0" t="s">
        <v>2126</v>
      </c>
      <c r="E3299" s="0" t="n">
        <v>1828</v>
      </c>
      <c r="F3299" s="0" t="s">
        <v>280</v>
      </c>
      <c r="I3299" s="0" t="n">
        <v>1420</v>
      </c>
      <c r="J3299" s="0" t="n">
        <v>20541</v>
      </c>
      <c r="K3299" s="0" t="n">
        <v>2232829</v>
      </c>
      <c r="L3299" s="0" t="s">
        <v>2249</v>
      </c>
      <c r="N3299" s="0" t="n">
        <v>30</v>
      </c>
      <c r="O3299" s="60" t="n">
        <v>281.4</v>
      </c>
    </row>
    <row r="3300" customFormat="false" ht="15" hidden="false" customHeight="false" outlineLevel="0" collapsed="false">
      <c r="A3300" s="0" t="n">
        <v>3</v>
      </c>
      <c r="B3300" s="59" t="n">
        <v>46241</v>
      </c>
      <c r="C3300" s="0" t="n">
        <v>11</v>
      </c>
      <c r="D3300" s="0" t="s">
        <v>2126</v>
      </c>
      <c r="E3300" s="0" t="n">
        <v>10063</v>
      </c>
      <c r="F3300" s="0" t="s">
        <v>220</v>
      </c>
      <c r="I3300" s="0" t="n">
        <v>2676</v>
      </c>
      <c r="J3300" s="0" t="n">
        <v>100174</v>
      </c>
      <c r="K3300" s="0" t="n">
        <v>7898141930286</v>
      </c>
      <c r="L3300" s="0" t="s">
        <v>2250</v>
      </c>
      <c r="N3300" s="0" t="n">
        <v>1080</v>
      </c>
      <c r="O3300" s="60" t="n">
        <v>570</v>
      </c>
    </row>
    <row r="3301" customFormat="false" ht="15" hidden="false" customHeight="false" outlineLevel="0" collapsed="false">
      <c r="A3301" s="0" t="n">
        <v>3</v>
      </c>
      <c r="B3301" s="59" t="n">
        <v>46241</v>
      </c>
      <c r="C3301" s="0" t="n">
        <v>11</v>
      </c>
      <c r="D3301" s="0" t="s">
        <v>2126</v>
      </c>
      <c r="E3301" s="0" t="n">
        <v>10063</v>
      </c>
      <c r="F3301" s="0" t="s">
        <v>220</v>
      </c>
      <c r="I3301" s="0" t="n">
        <v>2676</v>
      </c>
      <c r="J3301" s="0" t="n">
        <v>100933</v>
      </c>
      <c r="K3301" s="0" t="n">
        <v>7896982100059</v>
      </c>
      <c r="L3301" s="0" t="s">
        <v>2251</v>
      </c>
      <c r="N3301" s="0" t="n">
        <v>720</v>
      </c>
      <c r="O3301" s="60" t="n">
        <v>370</v>
      </c>
    </row>
    <row r="3302" customFormat="false" ht="15" hidden="false" customHeight="false" outlineLevel="0" collapsed="false">
      <c r="A3302" s="0" t="n">
        <v>3</v>
      </c>
      <c r="B3302" s="59" t="n">
        <v>46241</v>
      </c>
      <c r="C3302" s="0" t="n">
        <v>11</v>
      </c>
      <c r="D3302" s="0" t="s">
        <v>2126</v>
      </c>
      <c r="E3302" s="0" t="n">
        <v>1136</v>
      </c>
      <c r="F3302" s="0" t="s">
        <v>695</v>
      </c>
      <c r="I3302" s="0" t="n">
        <v>53548</v>
      </c>
      <c r="J3302" s="0" t="n">
        <v>73389</v>
      </c>
      <c r="K3302" s="0" t="n">
        <v>6945034226979</v>
      </c>
      <c r="L3302" s="0" t="s">
        <v>3605</v>
      </c>
      <c r="N3302" s="0" t="n">
        <v>12</v>
      </c>
      <c r="O3302" s="60" t="n">
        <v>34.2</v>
      </c>
    </row>
    <row r="3303" customFormat="false" ht="15" hidden="false" customHeight="false" outlineLevel="0" collapsed="false">
      <c r="A3303" s="0" t="n">
        <v>3</v>
      </c>
      <c r="B3303" s="59" t="n">
        <v>46241</v>
      </c>
      <c r="C3303" s="0" t="n">
        <v>11</v>
      </c>
      <c r="D3303" s="0" t="s">
        <v>2126</v>
      </c>
      <c r="E3303" s="0" t="n">
        <v>1136</v>
      </c>
      <c r="F3303" s="0" t="s">
        <v>695</v>
      </c>
      <c r="I3303" s="0" t="n">
        <v>53548</v>
      </c>
      <c r="J3303" s="0" t="n">
        <v>102960</v>
      </c>
      <c r="K3303" s="0" t="n">
        <v>7896221400087</v>
      </c>
      <c r="L3303" s="0" t="s">
        <v>2622</v>
      </c>
      <c r="N3303" s="0" t="n">
        <v>20</v>
      </c>
      <c r="O3303" s="60" t="n">
        <v>101.52</v>
      </c>
    </row>
    <row r="3304" customFormat="false" ht="15" hidden="false" customHeight="false" outlineLevel="0" collapsed="false">
      <c r="A3304" s="0" t="n">
        <v>3</v>
      </c>
      <c r="B3304" s="59" t="n">
        <v>46241</v>
      </c>
      <c r="C3304" s="0" t="n">
        <v>11</v>
      </c>
      <c r="D3304" s="0" t="s">
        <v>2126</v>
      </c>
      <c r="E3304" s="0" t="n">
        <v>1136</v>
      </c>
      <c r="F3304" s="0" t="s">
        <v>695</v>
      </c>
      <c r="I3304" s="0" t="n">
        <v>53548</v>
      </c>
      <c r="J3304" s="0" t="n">
        <v>103920</v>
      </c>
      <c r="K3304" s="0" t="n">
        <v>7896221400025</v>
      </c>
      <c r="L3304" s="0" t="s">
        <v>2623</v>
      </c>
      <c r="N3304" s="0" t="n">
        <v>20</v>
      </c>
      <c r="O3304" s="60" t="n">
        <v>92.35</v>
      </c>
    </row>
    <row r="3305" customFormat="false" ht="15" hidden="false" customHeight="false" outlineLevel="0" collapsed="false">
      <c r="A3305" s="0" t="n">
        <v>3</v>
      </c>
      <c r="B3305" s="59" t="n">
        <v>46241</v>
      </c>
      <c r="C3305" s="0" t="n">
        <v>11</v>
      </c>
      <c r="D3305" s="0" t="s">
        <v>2126</v>
      </c>
      <c r="E3305" s="0" t="n">
        <v>1136</v>
      </c>
      <c r="F3305" s="0" t="s">
        <v>695</v>
      </c>
      <c r="I3305" s="0" t="n">
        <v>53548</v>
      </c>
      <c r="J3305" s="0" t="n">
        <v>103992</v>
      </c>
      <c r="K3305" s="0" t="n">
        <v>7896221400018</v>
      </c>
      <c r="L3305" s="0" t="s">
        <v>3606</v>
      </c>
      <c r="N3305" s="0" t="n">
        <v>80</v>
      </c>
      <c r="O3305" s="60" t="n">
        <v>187.04</v>
      </c>
    </row>
    <row r="3306" customFormat="false" ht="15" hidden="false" customHeight="false" outlineLevel="0" collapsed="false">
      <c r="A3306" s="0" t="n">
        <v>3</v>
      </c>
      <c r="B3306" s="59" t="n">
        <v>46241</v>
      </c>
      <c r="C3306" s="0" t="n">
        <v>11</v>
      </c>
      <c r="D3306" s="0" t="s">
        <v>2126</v>
      </c>
      <c r="E3306" s="0" t="n">
        <v>1136</v>
      </c>
      <c r="F3306" s="0" t="s">
        <v>695</v>
      </c>
      <c r="I3306" s="0" t="n">
        <v>53548</v>
      </c>
      <c r="J3306" s="0" t="n">
        <v>103995</v>
      </c>
      <c r="K3306" s="0" t="n">
        <v>7896221400483</v>
      </c>
      <c r="L3306" s="0" t="s">
        <v>2625</v>
      </c>
      <c r="N3306" s="0" t="n">
        <v>10</v>
      </c>
      <c r="O3306" s="60" t="n">
        <v>50.76</v>
      </c>
    </row>
    <row r="3307" customFormat="false" ht="15" hidden="false" customHeight="false" outlineLevel="0" collapsed="false">
      <c r="A3307" s="0" t="n">
        <v>3</v>
      </c>
      <c r="B3307" s="59" t="n">
        <v>46241</v>
      </c>
      <c r="C3307" s="0" t="n">
        <v>11</v>
      </c>
      <c r="D3307" s="0" t="s">
        <v>2126</v>
      </c>
      <c r="E3307" s="0" t="n">
        <v>1136</v>
      </c>
      <c r="F3307" s="0" t="s">
        <v>695</v>
      </c>
      <c r="I3307" s="0" t="n">
        <v>53548</v>
      </c>
      <c r="J3307" s="0" t="n">
        <v>104526</v>
      </c>
      <c r="K3307" s="0" t="n">
        <v>7896067200162</v>
      </c>
      <c r="L3307" s="0" t="s">
        <v>3607</v>
      </c>
      <c r="N3307" s="0" t="n">
        <v>24</v>
      </c>
      <c r="O3307" s="60" t="n">
        <v>128.92</v>
      </c>
    </row>
    <row r="3308" customFormat="false" ht="15" hidden="false" customHeight="false" outlineLevel="0" collapsed="false">
      <c r="A3308" s="0" t="n">
        <v>3</v>
      </c>
      <c r="B3308" s="59" t="n">
        <v>46241</v>
      </c>
      <c r="C3308" s="0" t="n">
        <v>11</v>
      </c>
      <c r="D3308" s="0" t="s">
        <v>2126</v>
      </c>
      <c r="E3308" s="0" t="n">
        <v>1136</v>
      </c>
      <c r="F3308" s="0" t="s">
        <v>695</v>
      </c>
      <c r="I3308" s="0" t="n">
        <v>53548</v>
      </c>
      <c r="J3308" s="0" t="n">
        <v>106160</v>
      </c>
      <c r="K3308" s="0" t="n">
        <v>7896067200186</v>
      </c>
      <c r="L3308" s="0" t="s">
        <v>3607</v>
      </c>
      <c r="N3308" s="0" t="n">
        <v>24</v>
      </c>
      <c r="O3308" s="60" t="n">
        <v>137.79</v>
      </c>
    </row>
    <row r="3309" customFormat="false" ht="15" hidden="false" customHeight="false" outlineLevel="0" collapsed="false">
      <c r="A3309" s="0" t="n">
        <v>3</v>
      </c>
      <c r="B3309" s="59" t="n">
        <v>46241</v>
      </c>
      <c r="C3309" s="0" t="n">
        <v>11</v>
      </c>
      <c r="D3309" s="0" t="s">
        <v>2126</v>
      </c>
      <c r="E3309" s="0" t="n">
        <v>1136</v>
      </c>
      <c r="F3309" s="0" t="s">
        <v>695</v>
      </c>
      <c r="I3309" s="0" t="n">
        <v>53548</v>
      </c>
      <c r="J3309" s="0" t="n">
        <v>16613</v>
      </c>
      <c r="K3309" s="0" t="n">
        <v>7896221400605</v>
      </c>
      <c r="L3309" s="0" t="s">
        <v>3608</v>
      </c>
      <c r="N3309" s="0" t="n">
        <v>24</v>
      </c>
      <c r="O3309" s="60" t="n">
        <v>170.48</v>
      </c>
    </row>
    <row r="3310" customFormat="false" ht="15" hidden="false" customHeight="false" outlineLevel="0" collapsed="false">
      <c r="A3310" s="0" t="n">
        <v>3</v>
      </c>
      <c r="B3310" s="59" t="n">
        <v>46241</v>
      </c>
      <c r="C3310" s="0" t="n">
        <v>11</v>
      </c>
      <c r="D3310" s="0" t="s">
        <v>2126</v>
      </c>
      <c r="E3310" s="0" t="n">
        <v>1136</v>
      </c>
      <c r="F3310" s="0" t="s">
        <v>695</v>
      </c>
      <c r="I3310" s="0" t="n">
        <v>53548</v>
      </c>
      <c r="J3310" s="0" t="n">
        <v>17725</v>
      </c>
      <c r="K3310" s="0" t="n">
        <v>7896221401749</v>
      </c>
      <c r="L3310" s="0" t="s">
        <v>2628</v>
      </c>
      <c r="N3310" s="0" t="n">
        <v>10</v>
      </c>
      <c r="O3310" s="60" t="n">
        <v>50.76</v>
      </c>
    </row>
    <row r="3311" customFormat="false" ht="15" hidden="false" customHeight="false" outlineLevel="0" collapsed="false">
      <c r="A3311" s="0" t="n">
        <v>3</v>
      </c>
      <c r="B3311" s="59" t="n">
        <v>46241</v>
      </c>
      <c r="C3311" s="0" t="n">
        <v>11</v>
      </c>
      <c r="D3311" s="0" t="s">
        <v>2126</v>
      </c>
      <c r="E3311" s="0" t="n">
        <v>1136</v>
      </c>
      <c r="F3311" s="0" t="s">
        <v>695</v>
      </c>
      <c r="I3311" s="0" t="n">
        <v>53548</v>
      </c>
      <c r="J3311" s="0" t="n">
        <v>29863</v>
      </c>
      <c r="K3311" s="0" t="n">
        <v>7896221402456</v>
      </c>
      <c r="L3311" s="0" t="s">
        <v>2632</v>
      </c>
      <c r="N3311" s="0" t="n">
        <v>10</v>
      </c>
      <c r="O3311" s="60" t="n">
        <v>50.76</v>
      </c>
    </row>
    <row r="3312" customFormat="false" ht="15" hidden="false" customHeight="false" outlineLevel="0" collapsed="false">
      <c r="A3312" s="0" t="n">
        <v>3</v>
      </c>
      <c r="B3312" s="59" t="n">
        <v>46241</v>
      </c>
      <c r="C3312" s="0" t="n">
        <v>11</v>
      </c>
      <c r="D3312" s="0" t="s">
        <v>2126</v>
      </c>
      <c r="E3312" s="0" t="n">
        <v>1136</v>
      </c>
      <c r="F3312" s="0" t="s">
        <v>695</v>
      </c>
      <c r="I3312" s="0" t="n">
        <v>53548</v>
      </c>
      <c r="J3312" s="0" t="n">
        <v>31006</v>
      </c>
      <c r="K3312" s="0" t="n">
        <v>7896221402357</v>
      </c>
      <c r="L3312" s="0" t="s">
        <v>2633</v>
      </c>
      <c r="N3312" s="0" t="n">
        <v>20</v>
      </c>
      <c r="O3312" s="60" t="n">
        <v>101.52</v>
      </c>
    </row>
    <row r="3313" customFormat="false" ht="15" hidden="false" customHeight="false" outlineLevel="0" collapsed="false">
      <c r="A3313" s="0" t="n">
        <v>3</v>
      </c>
      <c r="B3313" s="59" t="n">
        <v>46241</v>
      </c>
      <c r="C3313" s="0" t="n">
        <v>11</v>
      </c>
      <c r="D3313" s="0" t="s">
        <v>2126</v>
      </c>
      <c r="E3313" s="0" t="n">
        <v>1136</v>
      </c>
      <c r="F3313" s="0" t="s">
        <v>695</v>
      </c>
      <c r="I3313" s="0" t="n">
        <v>53548</v>
      </c>
      <c r="J3313" s="0" t="n">
        <v>39154</v>
      </c>
      <c r="K3313" s="0" t="n">
        <v>7896221400490</v>
      </c>
      <c r="L3313" s="0" t="s">
        <v>2634</v>
      </c>
      <c r="N3313" s="0" t="n">
        <v>20</v>
      </c>
      <c r="O3313" s="60" t="n">
        <v>57.28</v>
      </c>
    </row>
    <row r="3314" customFormat="false" ht="15" hidden="false" customHeight="false" outlineLevel="0" collapsed="false">
      <c r="A3314" s="0" t="n">
        <v>3</v>
      </c>
      <c r="B3314" s="59" t="n">
        <v>46241</v>
      </c>
      <c r="C3314" s="0" t="n">
        <v>11</v>
      </c>
      <c r="D3314" s="0" t="s">
        <v>2126</v>
      </c>
      <c r="E3314" s="0" t="n">
        <v>1136</v>
      </c>
      <c r="F3314" s="0" t="s">
        <v>695</v>
      </c>
      <c r="I3314" s="0" t="n">
        <v>53548</v>
      </c>
      <c r="J3314" s="0" t="n">
        <v>40980</v>
      </c>
      <c r="K3314" s="0" t="n">
        <v>7896221402586</v>
      </c>
      <c r="L3314" s="0" t="s">
        <v>3609</v>
      </c>
      <c r="N3314" s="0" t="n">
        <v>20</v>
      </c>
      <c r="O3314" s="60" t="n">
        <v>57.28</v>
      </c>
    </row>
    <row r="3315" customFormat="false" ht="15" hidden="false" customHeight="false" outlineLevel="0" collapsed="false">
      <c r="A3315" s="0" t="n">
        <v>3</v>
      </c>
      <c r="B3315" s="59" t="n">
        <v>46241</v>
      </c>
      <c r="C3315" s="0" t="n">
        <v>11</v>
      </c>
      <c r="D3315" s="0" t="s">
        <v>2126</v>
      </c>
      <c r="E3315" s="0" t="n">
        <v>1136</v>
      </c>
      <c r="F3315" s="0" t="s">
        <v>695</v>
      </c>
      <c r="I3315" s="0" t="n">
        <v>53548</v>
      </c>
      <c r="J3315" s="0" t="n">
        <v>42414</v>
      </c>
      <c r="K3315" s="0" t="n">
        <v>7896221400506</v>
      </c>
      <c r="L3315" s="0" t="s">
        <v>2635</v>
      </c>
      <c r="N3315" s="0" t="n">
        <v>20</v>
      </c>
      <c r="O3315" s="60" t="n">
        <v>57.28</v>
      </c>
    </row>
    <row r="3316" customFormat="false" ht="15" hidden="false" customHeight="false" outlineLevel="0" collapsed="false">
      <c r="A3316" s="0" t="n">
        <v>3</v>
      </c>
      <c r="B3316" s="59" t="n">
        <v>46241</v>
      </c>
      <c r="C3316" s="0" t="n">
        <v>11</v>
      </c>
      <c r="D3316" s="0" t="s">
        <v>2126</v>
      </c>
      <c r="E3316" s="0" t="n">
        <v>1136</v>
      </c>
      <c r="F3316" s="0" t="s">
        <v>695</v>
      </c>
      <c r="I3316" s="0" t="n">
        <v>53548</v>
      </c>
      <c r="J3316" s="0" t="n">
        <v>79750</v>
      </c>
      <c r="K3316" s="0" t="n">
        <v>6945034226962</v>
      </c>
      <c r="L3316" s="0" t="s">
        <v>3610</v>
      </c>
      <c r="N3316" s="0" t="n">
        <v>12</v>
      </c>
      <c r="O3316" s="60" t="n">
        <v>34.2</v>
      </c>
    </row>
    <row r="3317" customFormat="false" ht="15" hidden="false" customHeight="false" outlineLevel="0" collapsed="false">
      <c r="A3317" s="0" t="n">
        <v>3</v>
      </c>
      <c r="B3317" s="59" t="n">
        <v>46241</v>
      </c>
      <c r="C3317" s="0" t="n">
        <v>11</v>
      </c>
      <c r="D3317" s="0" t="s">
        <v>2126</v>
      </c>
      <c r="E3317" s="0" t="n">
        <v>1136</v>
      </c>
      <c r="F3317" s="0" t="s">
        <v>695</v>
      </c>
      <c r="I3317" s="0" t="n">
        <v>53548</v>
      </c>
      <c r="J3317" s="0" t="n">
        <v>81369</v>
      </c>
      <c r="K3317" s="0" t="n">
        <v>6222001566079</v>
      </c>
      <c r="L3317" s="0" t="s">
        <v>3611</v>
      </c>
      <c r="N3317" s="0" t="n">
        <v>12</v>
      </c>
      <c r="O3317" s="60" t="n">
        <v>78</v>
      </c>
    </row>
    <row r="3318" customFormat="false" ht="15" hidden="false" customHeight="false" outlineLevel="0" collapsed="false">
      <c r="A3318" s="0" t="n">
        <v>3</v>
      </c>
      <c r="B3318" s="59" t="n">
        <v>46241</v>
      </c>
      <c r="C3318" s="0" t="n">
        <v>11</v>
      </c>
      <c r="D3318" s="0" t="s">
        <v>2126</v>
      </c>
      <c r="E3318" s="0" t="n">
        <v>1136</v>
      </c>
      <c r="F3318" s="0" t="s">
        <v>695</v>
      </c>
      <c r="I3318" s="0" t="n">
        <v>53548</v>
      </c>
      <c r="J3318" s="0" t="n">
        <v>82024</v>
      </c>
      <c r="K3318" s="0" t="n">
        <v>6945034226986</v>
      </c>
      <c r="L3318" s="0" t="s">
        <v>3612</v>
      </c>
      <c r="N3318" s="0" t="n">
        <v>12</v>
      </c>
      <c r="O3318" s="60" t="n">
        <v>34.2</v>
      </c>
    </row>
    <row r="3319" customFormat="false" ht="15" hidden="false" customHeight="false" outlineLevel="0" collapsed="false">
      <c r="A3319" s="0" t="n">
        <v>3</v>
      </c>
      <c r="B3319" s="59" t="n">
        <v>46241</v>
      </c>
      <c r="C3319" s="0" t="n">
        <v>11</v>
      </c>
      <c r="D3319" s="0" t="s">
        <v>2126</v>
      </c>
      <c r="E3319" s="0" t="n">
        <v>1136</v>
      </c>
      <c r="F3319" s="0" t="s">
        <v>695</v>
      </c>
      <c r="I3319" s="0" t="n">
        <v>53548</v>
      </c>
      <c r="J3319" s="0" t="n">
        <v>82025</v>
      </c>
      <c r="K3319" s="0" t="n">
        <v>6222001566086</v>
      </c>
      <c r="L3319" s="0" t="s">
        <v>3613</v>
      </c>
      <c r="N3319" s="0" t="n">
        <v>12</v>
      </c>
      <c r="O3319" s="60" t="n">
        <v>78</v>
      </c>
    </row>
    <row r="3320" customFormat="false" ht="15" hidden="false" customHeight="false" outlineLevel="0" collapsed="false">
      <c r="A3320" s="0" t="n">
        <v>3</v>
      </c>
      <c r="B3320" s="59" t="n">
        <v>46241</v>
      </c>
      <c r="C3320" s="0" t="n">
        <v>11</v>
      </c>
      <c r="D3320" s="0" t="s">
        <v>2126</v>
      </c>
      <c r="E3320" s="0" t="n">
        <v>1701</v>
      </c>
      <c r="F3320" s="0" t="s">
        <v>1266</v>
      </c>
      <c r="I3320" s="0" t="n">
        <v>143793</v>
      </c>
      <c r="J3320" s="0" t="n">
        <v>20913</v>
      </c>
      <c r="K3320" s="0" t="n">
        <v>7896248500326</v>
      </c>
      <c r="L3320" s="0" t="s">
        <v>3614</v>
      </c>
      <c r="N3320" s="0" t="n">
        <v>30</v>
      </c>
      <c r="O3320" s="60" t="n">
        <v>131.99</v>
      </c>
    </row>
    <row r="3321" customFormat="false" ht="15" hidden="false" customHeight="false" outlineLevel="0" collapsed="false">
      <c r="A3321" s="0" t="n">
        <v>3</v>
      </c>
      <c r="B3321" s="59" t="n">
        <v>46241</v>
      </c>
      <c r="C3321" s="0" t="n">
        <v>11</v>
      </c>
      <c r="D3321" s="0" t="s">
        <v>2126</v>
      </c>
      <c r="E3321" s="0" t="n">
        <v>1701</v>
      </c>
      <c r="F3321" s="0" t="s">
        <v>1266</v>
      </c>
      <c r="I3321" s="0" t="n">
        <v>143793</v>
      </c>
      <c r="J3321" s="0" t="n">
        <v>24192</v>
      </c>
      <c r="K3321" s="0" t="n">
        <v>7896248500319</v>
      </c>
      <c r="L3321" s="0" t="s">
        <v>3615</v>
      </c>
      <c r="N3321" s="0" t="n">
        <v>70</v>
      </c>
      <c r="O3321" s="60" t="n">
        <v>300.98</v>
      </c>
    </row>
    <row r="3322" customFormat="false" ht="15" hidden="false" customHeight="false" outlineLevel="0" collapsed="false">
      <c r="A3322" s="0" t="n">
        <v>3</v>
      </c>
      <c r="B3322" s="59" t="n">
        <v>46241</v>
      </c>
      <c r="C3322" s="0" t="n">
        <v>11</v>
      </c>
      <c r="D3322" s="0" t="s">
        <v>2126</v>
      </c>
      <c r="E3322" s="0" t="n">
        <v>1723</v>
      </c>
      <c r="F3322" s="0" t="s">
        <v>77</v>
      </c>
      <c r="I3322" s="0" t="n">
        <v>174443</v>
      </c>
      <c r="J3322" s="0" t="n">
        <v>29080</v>
      </c>
      <c r="K3322" s="0" t="n">
        <v>55516</v>
      </c>
      <c r="L3322" s="0" t="s">
        <v>2137</v>
      </c>
      <c r="N3322" s="0" t="n">
        <v>54.3</v>
      </c>
      <c r="O3322" s="60" t="n">
        <v>1194.6</v>
      </c>
    </row>
    <row r="3323" customFormat="false" ht="15" hidden="false" customHeight="false" outlineLevel="0" collapsed="false">
      <c r="A3323" s="0" t="n">
        <v>3</v>
      </c>
      <c r="B3323" s="59" t="n">
        <v>46241</v>
      </c>
      <c r="C3323" s="0" t="n">
        <v>11</v>
      </c>
      <c r="D3323" s="0" t="s">
        <v>2126</v>
      </c>
      <c r="E3323" s="0" t="n">
        <v>1723</v>
      </c>
      <c r="F3323" s="0" t="s">
        <v>77</v>
      </c>
      <c r="I3323" s="0" t="n">
        <v>174518</v>
      </c>
      <c r="J3323" s="0" t="n">
        <v>29079</v>
      </c>
      <c r="K3323" s="0" t="n">
        <v>55515</v>
      </c>
      <c r="L3323" s="0" t="s">
        <v>2213</v>
      </c>
      <c r="N3323" s="0" t="n">
        <v>73.95</v>
      </c>
      <c r="O3323" s="60" t="n">
        <v>2366.4</v>
      </c>
    </row>
    <row r="3324" customFormat="false" ht="15" hidden="false" customHeight="false" outlineLevel="0" collapsed="false">
      <c r="A3324" s="0" t="n">
        <v>3</v>
      </c>
      <c r="B3324" s="59" t="n">
        <v>46241</v>
      </c>
      <c r="C3324" s="0" t="n">
        <v>11</v>
      </c>
      <c r="D3324" s="0" t="s">
        <v>2126</v>
      </c>
      <c r="E3324" s="0" t="n">
        <v>1723</v>
      </c>
      <c r="F3324" s="0" t="s">
        <v>77</v>
      </c>
      <c r="I3324" s="0" t="n">
        <v>174518</v>
      </c>
      <c r="J3324" s="0" t="n">
        <v>29080</v>
      </c>
      <c r="K3324" s="0" t="n">
        <v>55516</v>
      </c>
      <c r="L3324" s="0" t="s">
        <v>2137</v>
      </c>
      <c r="N3324" s="0" t="n">
        <v>60.4</v>
      </c>
      <c r="O3324" s="60" t="n">
        <v>1328.8</v>
      </c>
    </row>
    <row r="3325" customFormat="false" ht="15" hidden="false" customHeight="false" outlineLevel="0" collapsed="false">
      <c r="A3325" s="0" t="n">
        <v>3</v>
      </c>
      <c r="B3325" s="59" t="n">
        <v>46241</v>
      </c>
      <c r="C3325" s="0" t="n">
        <v>11</v>
      </c>
      <c r="D3325" s="0" t="s">
        <v>2126</v>
      </c>
      <c r="E3325" s="0" t="n">
        <v>1699</v>
      </c>
      <c r="F3325" s="0" t="s">
        <v>61</v>
      </c>
      <c r="I3325" s="0" t="n">
        <v>310154</v>
      </c>
      <c r="J3325" s="0" t="n">
        <v>102448</v>
      </c>
      <c r="K3325" s="0" t="n">
        <v>7896037514701</v>
      </c>
      <c r="L3325" s="0" t="s">
        <v>3616</v>
      </c>
      <c r="N3325" s="0" t="n">
        <v>24</v>
      </c>
      <c r="O3325" s="60" t="n">
        <v>185.9</v>
      </c>
    </row>
    <row r="3326" customFormat="false" ht="15" hidden="false" customHeight="false" outlineLevel="0" collapsed="false">
      <c r="A3326" s="0" t="n">
        <v>3</v>
      </c>
      <c r="B3326" s="59" t="n">
        <v>46241</v>
      </c>
      <c r="C3326" s="0" t="n">
        <v>11</v>
      </c>
      <c r="D3326" s="0" t="s">
        <v>2126</v>
      </c>
      <c r="E3326" s="0" t="n">
        <v>1699</v>
      </c>
      <c r="F3326" s="0" t="s">
        <v>61</v>
      </c>
      <c r="I3326" s="0" t="n">
        <v>310154</v>
      </c>
      <c r="J3326" s="0" t="n">
        <v>102457</v>
      </c>
      <c r="K3326" s="0" t="n">
        <v>7896031253347</v>
      </c>
      <c r="L3326" s="0" t="s">
        <v>2985</v>
      </c>
      <c r="N3326" s="0" t="n">
        <v>24</v>
      </c>
      <c r="O3326" s="60" t="n">
        <v>211.9</v>
      </c>
    </row>
    <row r="3327" customFormat="false" ht="15" hidden="false" customHeight="false" outlineLevel="0" collapsed="false">
      <c r="A3327" s="0" t="n">
        <v>3</v>
      </c>
      <c r="B3327" s="59" t="n">
        <v>46241</v>
      </c>
      <c r="C3327" s="0" t="n">
        <v>11</v>
      </c>
      <c r="D3327" s="0" t="s">
        <v>2126</v>
      </c>
      <c r="E3327" s="0" t="n">
        <v>1699</v>
      </c>
      <c r="F3327" s="0" t="s">
        <v>61</v>
      </c>
      <c r="I3327" s="0" t="n">
        <v>310154</v>
      </c>
      <c r="J3327" s="0" t="n">
        <v>105668</v>
      </c>
      <c r="K3327" s="0" t="n">
        <v>7896547500126</v>
      </c>
      <c r="L3327" s="0" t="s">
        <v>3274</v>
      </c>
      <c r="N3327" s="0" t="n">
        <v>72</v>
      </c>
      <c r="O3327" s="60" t="n">
        <v>352.2</v>
      </c>
    </row>
    <row r="3328" customFormat="false" ht="15" hidden="false" customHeight="false" outlineLevel="0" collapsed="false">
      <c r="A3328" s="0" t="n">
        <v>3</v>
      </c>
      <c r="B3328" s="59" t="n">
        <v>46241</v>
      </c>
      <c r="C3328" s="0" t="n">
        <v>11</v>
      </c>
      <c r="D3328" s="0" t="s">
        <v>2126</v>
      </c>
      <c r="E3328" s="0" t="n">
        <v>1699</v>
      </c>
      <c r="F3328" s="0" t="s">
        <v>61</v>
      </c>
      <c r="I3328" s="0" t="n">
        <v>310154</v>
      </c>
      <c r="J3328" s="0" t="n">
        <v>24516</v>
      </c>
      <c r="K3328" s="0" t="n">
        <v>7791293032443</v>
      </c>
      <c r="L3328" s="0" t="s">
        <v>3278</v>
      </c>
      <c r="N3328" s="0" t="n">
        <v>12</v>
      </c>
      <c r="O3328" s="60" t="n">
        <v>166.9</v>
      </c>
    </row>
    <row r="3329" customFormat="false" ht="15" hidden="false" customHeight="false" outlineLevel="0" collapsed="false">
      <c r="A3329" s="0" t="n">
        <v>3</v>
      </c>
      <c r="B3329" s="59" t="n">
        <v>46241</v>
      </c>
      <c r="C3329" s="0" t="n">
        <v>11</v>
      </c>
      <c r="D3329" s="0" t="s">
        <v>2126</v>
      </c>
      <c r="E3329" s="0" t="n">
        <v>1699</v>
      </c>
      <c r="F3329" s="0" t="s">
        <v>61</v>
      </c>
      <c r="I3329" s="0" t="n">
        <v>310154</v>
      </c>
      <c r="J3329" s="0" t="n">
        <v>27793</v>
      </c>
      <c r="K3329" s="0" t="n">
        <v>7791293032498</v>
      </c>
      <c r="L3329" s="0" t="s">
        <v>3617</v>
      </c>
      <c r="N3329" s="0" t="n">
        <v>12</v>
      </c>
      <c r="O3329" s="60" t="n">
        <v>166.9</v>
      </c>
    </row>
    <row r="3330" customFormat="false" ht="15" hidden="false" customHeight="false" outlineLevel="0" collapsed="false">
      <c r="A3330" s="0" t="n">
        <v>3</v>
      </c>
      <c r="B3330" s="59" t="n">
        <v>46241</v>
      </c>
      <c r="C3330" s="0" t="n">
        <v>11</v>
      </c>
      <c r="D3330" s="0" t="s">
        <v>2126</v>
      </c>
      <c r="E3330" s="0" t="n">
        <v>1699</v>
      </c>
      <c r="F3330" s="0" t="s">
        <v>61</v>
      </c>
      <c r="I3330" s="0" t="n">
        <v>310154</v>
      </c>
      <c r="J3330" s="0" t="n">
        <v>29846</v>
      </c>
      <c r="K3330" s="0" t="n">
        <v>7891097102059</v>
      </c>
      <c r="L3330" s="0" t="s">
        <v>2200</v>
      </c>
      <c r="N3330" s="0" t="n">
        <v>50</v>
      </c>
      <c r="O3330" s="60" t="n">
        <v>575.8</v>
      </c>
    </row>
    <row r="3331" customFormat="false" ht="15" hidden="false" customHeight="false" outlineLevel="0" collapsed="false">
      <c r="A3331" s="0" t="n">
        <v>3</v>
      </c>
      <c r="B3331" s="59" t="n">
        <v>46241</v>
      </c>
      <c r="C3331" s="0" t="n">
        <v>11</v>
      </c>
      <c r="D3331" s="0" t="s">
        <v>2126</v>
      </c>
      <c r="E3331" s="0" t="n">
        <v>1699</v>
      </c>
      <c r="F3331" s="0" t="s">
        <v>61</v>
      </c>
      <c r="I3331" s="0" t="n">
        <v>310154</v>
      </c>
      <c r="J3331" s="0" t="n">
        <v>35098</v>
      </c>
      <c r="K3331" s="0" t="n">
        <v>7899567247309</v>
      </c>
      <c r="L3331" s="0" t="s">
        <v>3618</v>
      </c>
      <c r="N3331" s="0" t="n">
        <v>48</v>
      </c>
      <c r="O3331" s="60" t="n">
        <v>415.8</v>
      </c>
    </row>
    <row r="3332" customFormat="false" ht="15" hidden="false" customHeight="false" outlineLevel="0" collapsed="false">
      <c r="A3332" s="0" t="n">
        <v>3</v>
      </c>
      <c r="B3332" s="59" t="n">
        <v>46241</v>
      </c>
      <c r="C3332" s="0" t="n">
        <v>11</v>
      </c>
      <c r="D3332" s="0" t="s">
        <v>2126</v>
      </c>
      <c r="E3332" s="0" t="n">
        <v>1699</v>
      </c>
      <c r="F3332" s="0" t="s">
        <v>61</v>
      </c>
      <c r="I3332" s="0" t="n">
        <v>310154</v>
      </c>
      <c r="J3332" s="0" t="n">
        <v>36606</v>
      </c>
      <c r="K3332" s="0" t="n">
        <v>7891150055872</v>
      </c>
      <c r="L3332" s="0" t="s">
        <v>3619</v>
      </c>
      <c r="N3332" s="0" t="n">
        <v>12</v>
      </c>
      <c r="O3332" s="60" t="n">
        <v>166.9</v>
      </c>
    </row>
    <row r="3333" customFormat="false" ht="15" hidden="false" customHeight="false" outlineLevel="0" collapsed="false">
      <c r="A3333" s="0" t="n">
        <v>3</v>
      </c>
      <c r="B3333" s="59" t="n">
        <v>46241</v>
      </c>
      <c r="C3333" s="0" t="n">
        <v>11</v>
      </c>
      <c r="D3333" s="0" t="s">
        <v>2126</v>
      </c>
      <c r="E3333" s="0" t="n">
        <v>1699</v>
      </c>
      <c r="F3333" s="0" t="s">
        <v>61</v>
      </c>
      <c r="I3333" s="0" t="n">
        <v>310154</v>
      </c>
      <c r="J3333" s="0" t="n">
        <v>60926</v>
      </c>
      <c r="K3333" s="0" t="n">
        <v>7506306241206</v>
      </c>
      <c r="L3333" s="0" t="s">
        <v>3620</v>
      </c>
      <c r="N3333" s="0" t="n">
        <v>12</v>
      </c>
      <c r="O3333" s="60" t="n">
        <v>167.9</v>
      </c>
    </row>
    <row r="3334" customFormat="false" ht="15" hidden="false" customHeight="false" outlineLevel="0" collapsed="false">
      <c r="A3334" s="0" t="n">
        <v>3</v>
      </c>
      <c r="B3334" s="59" t="n">
        <v>46241</v>
      </c>
      <c r="C3334" s="0" t="n">
        <v>11</v>
      </c>
      <c r="D3334" s="0" t="s">
        <v>2126</v>
      </c>
      <c r="E3334" s="0" t="n">
        <v>1699</v>
      </c>
      <c r="F3334" s="0" t="s">
        <v>61</v>
      </c>
      <c r="I3334" s="0" t="n">
        <v>310154</v>
      </c>
      <c r="J3334" s="0" t="n">
        <v>74146</v>
      </c>
      <c r="K3334" s="0" t="n">
        <v>7896031230379</v>
      </c>
      <c r="L3334" s="0" t="s">
        <v>3621</v>
      </c>
      <c r="N3334" s="0" t="n">
        <v>24</v>
      </c>
      <c r="O3334" s="60" t="n">
        <v>172.9</v>
      </c>
    </row>
    <row r="3335" customFormat="false" ht="15" hidden="false" customHeight="false" outlineLevel="0" collapsed="false">
      <c r="A3335" s="0" t="n">
        <v>3</v>
      </c>
      <c r="B3335" s="59" t="n">
        <v>46241</v>
      </c>
      <c r="C3335" s="0" t="n">
        <v>11</v>
      </c>
      <c r="D3335" s="0" t="s">
        <v>2126</v>
      </c>
      <c r="E3335" s="0" t="n">
        <v>1699</v>
      </c>
      <c r="F3335" s="0" t="s">
        <v>61</v>
      </c>
      <c r="I3335" s="0" t="n">
        <v>310154</v>
      </c>
      <c r="J3335" s="0" t="n">
        <v>80005</v>
      </c>
      <c r="K3335" s="0" t="n">
        <v>7891000457092</v>
      </c>
      <c r="L3335" s="0" t="s">
        <v>2997</v>
      </c>
      <c r="N3335" s="0" t="n">
        <v>30</v>
      </c>
      <c r="O3335" s="60" t="n">
        <v>375</v>
      </c>
    </row>
    <row r="3336" customFormat="false" ht="15" hidden="false" customHeight="false" outlineLevel="0" collapsed="false">
      <c r="A3336" s="0" t="n">
        <v>3</v>
      </c>
      <c r="B3336" s="59" t="n">
        <v>46241</v>
      </c>
      <c r="C3336" s="0" t="n">
        <v>11</v>
      </c>
      <c r="D3336" s="0" t="s">
        <v>2126</v>
      </c>
      <c r="E3336" s="0" t="n">
        <v>1601</v>
      </c>
      <c r="F3336" s="0" t="s">
        <v>156</v>
      </c>
      <c r="I3336" s="0" t="n">
        <v>860572</v>
      </c>
      <c r="J3336" s="0" t="n">
        <v>102287</v>
      </c>
      <c r="K3336" s="0" t="n">
        <v>7896593500026</v>
      </c>
      <c r="L3336" s="0" t="s">
        <v>3622</v>
      </c>
      <c r="N3336" s="0" t="n">
        <v>30</v>
      </c>
      <c r="O3336" s="60" t="n">
        <v>123.75</v>
      </c>
    </row>
    <row r="3337" customFormat="false" ht="15" hidden="false" customHeight="false" outlineLevel="0" collapsed="false">
      <c r="A3337" s="0" t="n">
        <v>3</v>
      </c>
      <c r="B3337" s="59" t="n">
        <v>46241</v>
      </c>
      <c r="C3337" s="0" t="n">
        <v>11</v>
      </c>
      <c r="D3337" s="0" t="s">
        <v>2126</v>
      </c>
      <c r="E3337" s="0" t="n">
        <v>1601</v>
      </c>
      <c r="F3337" s="0" t="s">
        <v>156</v>
      </c>
      <c r="I3337" s="0" t="n">
        <v>860572</v>
      </c>
      <c r="J3337" s="0" t="n">
        <v>102290</v>
      </c>
      <c r="K3337" s="0" t="n">
        <v>7896593500019</v>
      </c>
      <c r="L3337" s="0" t="s">
        <v>2745</v>
      </c>
      <c r="N3337" s="0" t="n">
        <v>40</v>
      </c>
      <c r="O3337" s="60" t="n">
        <v>163</v>
      </c>
    </row>
    <row r="3338" customFormat="false" ht="15" hidden="false" customHeight="false" outlineLevel="0" collapsed="false">
      <c r="A3338" s="0" t="n">
        <v>3</v>
      </c>
      <c r="B3338" s="59" t="n">
        <v>46241</v>
      </c>
      <c r="C3338" s="0" t="n">
        <v>11</v>
      </c>
      <c r="D3338" s="0" t="s">
        <v>2126</v>
      </c>
      <c r="E3338" s="0" t="n">
        <v>1601</v>
      </c>
      <c r="F3338" s="0" t="s">
        <v>156</v>
      </c>
      <c r="I3338" s="0" t="n">
        <v>860572</v>
      </c>
      <c r="J3338" s="0" t="n">
        <v>11296</v>
      </c>
      <c r="K3338" s="0" t="n">
        <v>7898466105604</v>
      </c>
      <c r="L3338" s="0" t="s">
        <v>3623</v>
      </c>
      <c r="N3338" s="0" t="n">
        <v>24</v>
      </c>
      <c r="O3338" s="60" t="n">
        <v>238.32</v>
      </c>
    </row>
    <row r="3339" customFormat="false" ht="15" hidden="false" customHeight="false" outlineLevel="0" collapsed="false">
      <c r="A3339" s="0" t="n">
        <v>3</v>
      </c>
      <c r="B3339" s="59" t="n">
        <v>46241</v>
      </c>
      <c r="C3339" s="0" t="n">
        <v>11</v>
      </c>
      <c r="D3339" s="0" t="s">
        <v>2126</v>
      </c>
      <c r="E3339" s="0" t="n">
        <v>1601</v>
      </c>
      <c r="F3339" s="0" t="s">
        <v>156</v>
      </c>
      <c r="I3339" s="0" t="n">
        <v>860572</v>
      </c>
      <c r="J3339" s="0" t="n">
        <v>18478</v>
      </c>
      <c r="K3339" s="0" t="n">
        <v>7898943163011</v>
      </c>
      <c r="L3339" s="0" t="s">
        <v>3624</v>
      </c>
      <c r="N3339" s="0" t="n">
        <v>50</v>
      </c>
      <c r="O3339" s="60" t="n">
        <v>231.59</v>
      </c>
    </row>
    <row r="3340" customFormat="false" ht="15" hidden="false" customHeight="false" outlineLevel="0" collapsed="false">
      <c r="A3340" s="0" t="n">
        <v>3</v>
      </c>
      <c r="B3340" s="59" t="n">
        <v>46241</v>
      </c>
      <c r="C3340" s="0" t="n">
        <v>11</v>
      </c>
      <c r="D3340" s="0" t="s">
        <v>2126</v>
      </c>
      <c r="E3340" s="0" t="n">
        <v>1601</v>
      </c>
      <c r="F3340" s="0" t="s">
        <v>156</v>
      </c>
      <c r="I3340" s="0" t="n">
        <v>860572</v>
      </c>
      <c r="J3340" s="0" t="n">
        <v>33117</v>
      </c>
      <c r="K3340" s="0" t="n">
        <v>7896369613967</v>
      </c>
      <c r="L3340" s="0" t="s">
        <v>3625</v>
      </c>
      <c r="N3340" s="0" t="n">
        <v>24</v>
      </c>
      <c r="O3340" s="60" t="n">
        <v>121.93</v>
      </c>
    </row>
    <row r="3341" customFormat="false" ht="15" hidden="false" customHeight="false" outlineLevel="0" collapsed="false">
      <c r="A3341" s="0" t="n">
        <v>3</v>
      </c>
      <c r="B3341" s="59" t="n">
        <v>46241</v>
      </c>
      <c r="C3341" s="0" t="n">
        <v>11</v>
      </c>
      <c r="D3341" s="0" t="s">
        <v>2126</v>
      </c>
      <c r="E3341" s="0" t="n">
        <v>1601</v>
      </c>
      <c r="F3341" s="0" t="s">
        <v>156</v>
      </c>
      <c r="I3341" s="0" t="n">
        <v>860572</v>
      </c>
      <c r="J3341" s="0" t="n">
        <v>35117</v>
      </c>
      <c r="K3341" s="0" t="n">
        <v>7899567247262</v>
      </c>
      <c r="L3341" s="0" t="s">
        <v>2985</v>
      </c>
      <c r="N3341" s="0" t="n">
        <v>24</v>
      </c>
      <c r="O3341" s="60" t="n">
        <v>220.3</v>
      </c>
    </row>
    <row r="3342" customFormat="false" ht="15" hidden="false" customHeight="false" outlineLevel="0" collapsed="false">
      <c r="A3342" s="0" t="n">
        <v>3</v>
      </c>
      <c r="B3342" s="59" t="n">
        <v>46241</v>
      </c>
      <c r="C3342" s="0" t="n">
        <v>11</v>
      </c>
      <c r="D3342" s="0" t="s">
        <v>2126</v>
      </c>
      <c r="E3342" s="0" t="n">
        <v>1601</v>
      </c>
      <c r="F3342" s="0" t="s">
        <v>156</v>
      </c>
      <c r="I3342" s="0" t="n">
        <v>860572</v>
      </c>
      <c r="J3342" s="0" t="n">
        <v>41168</v>
      </c>
      <c r="K3342" s="0" t="n">
        <v>7896369614223</v>
      </c>
      <c r="L3342" s="0" t="s">
        <v>3626</v>
      </c>
      <c r="N3342" s="0" t="n">
        <v>24</v>
      </c>
      <c r="O3342" s="60" t="n">
        <v>156.05</v>
      </c>
    </row>
    <row r="3343" customFormat="false" ht="15" hidden="false" customHeight="false" outlineLevel="0" collapsed="false">
      <c r="A3343" s="0" t="n">
        <v>3</v>
      </c>
      <c r="B3343" s="59" t="n">
        <v>46241</v>
      </c>
      <c r="C3343" s="0" t="n">
        <v>11</v>
      </c>
      <c r="D3343" s="0" t="s">
        <v>2126</v>
      </c>
      <c r="E3343" s="0" t="n">
        <v>1601</v>
      </c>
      <c r="F3343" s="0" t="s">
        <v>156</v>
      </c>
      <c r="I3343" s="0" t="n">
        <v>860572</v>
      </c>
      <c r="J3343" s="0" t="n">
        <v>82020</v>
      </c>
      <c r="K3343" s="0" t="n">
        <v>7896292334298</v>
      </c>
      <c r="L3343" s="0" t="s">
        <v>3627</v>
      </c>
      <c r="N3343" s="0" t="n">
        <v>32</v>
      </c>
      <c r="O3343" s="60" t="n">
        <v>178.69</v>
      </c>
    </row>
    <row r="3344" customFormat="false" ht="15" hidden="false" customHeight="false" outlineLevel="0" collapsed="false">
      <c r="A3344" s="0" t="n">
        <v>3</v>
      </c>
      <c r="B3344" s="59" t="n">
        <v>46241</v>
      </c>
      <c r="C3344" s="0" t="n">
        <v>11</v>
      </c>
      <c r="D3344" s="0" t="s">
        <v>2126</v>
      </c>
      <c r="E3344" s="0" t="n">
        <v>1659</v>
      </c>
      <c r="F3344" s="0" t="s">
        <v>253</v>
      </c>
      <c r="I3344" s="0" t="n">
        <v>889382</v>
      </c>
      <c r="J3344" s="0" t="n">
        <v>27930</v>
      </c>
      <c r="K3344" s="0" t="n">
        <v>7890875676287</v>
      </c>
      <c r="L3344" s="0" t="s">
        <v>3628</v>
      </c>
      <c r="N3344" s="0" t="n">
        <v>6</v>
      </c>
      <c r="O3344" s="60" t="n">
        <v>67.26</v>
      </c>
    </row>
    <row r="3345" customFormat="false" ht="15" hidden="false" customHeight="false" outlineLevel="0" collapsed="false">
      <c r="A3345" s="0" t="n">
        <v>3</v>
      </c>
      <c r="B3345" s="59" t="n">
        <v>46241</v>
      </c>
      <c r="C3345" s="0" t="n">
        <v>11</v>
      </c>
      <c r="D3345" s="0" t="s">
        <v>2126</v>
      </c>
      <c r="E3345" s="0" t="n">
        <v>1659</v>
      </c>
      <c r="F3345" s="0" t="s">
        <v>253</v>
      </c>
      <c r="I3345" s="0" t="n">
        <v>889382</v>
      </c>
      <c r="J3345" s="0" t="n">
        <v>27930</v>
      </c>
      <c r="K3345" s="0" t="n">
        <v>7890875676287</v>
      </c>
      <c r="L3345" s="0" t="s">
        <v>3628</v>
      </c>
      <c r="N3345" s="0" t="n">
        <v>6</v>
      </c>
      <c r="O3345" s="60" t="n">
        <v>67.26</v>
      </c>
    </row>
    <row r="3346" customFormat="false" ht="15" hidden="false" customHeight="false" outlineLevel="0" collapsed="false">
      <c r="A3346" s="0" t="n">
        <v>3</v>
      </c>
      <c r="B3346" s="59" t="n">
        <v>46241</v>
      </c>
      <c r="C3346" s="0" t="n">
        <v>11</v>
      </c>
      <c r="D3346" s="0" t="s">
        <v>2126</v>
      </c>
      <c r="E3346" s="0" t="n">
        <v>1659</v>
      </c>
      <c r="F3346" s="0" t="s">
        <v>253</v>
      </c>
      <c r="I3346" s="0" t="n">
        <v>889382</v>
      </c>
      <c r="J3346" s="0" t="n">
        <v>29539</v>
      </c>
      <c r="K3346" s="0" t="n">
        <v>7890875675884</v>
      </c>
      <c r="L3346" s="0" t="s">
        <v>3629</v>
      </c>
      <c r="N3346" s="0" t="n">
        <v>6</v>
      </c>
      <c r="O3346" s="60" t="n">
        <v>67.26</v>
      </c>
    </row>
    <row r="3347" customFormat="false" ht="15" hidden="false" customHeight="false" outlineLevel="0" collapsed="false">
      <c r="A3347" s="0" t="n">
        <v>3</v>
      </c>
      <c r="B3347" s="59" t="n">
        <v>46241</v>
      </c>
      <c r="C3347" s="0" t="n">
        <v>11</v>
      </c>
      <c r="D3347" s="0" t="s">
        <v>2126</v>
      </c>
      <c r="E3347" s="0" t="n">
        <v>1659</v>
      </c>
      <c r="F3347" s="0" t="s">
        <v>253</v>
      </c>
      <c r="I3347" s="0" t="n">
        <v>889382</v>
      </c>
      <c r="J3347" s="0" t="n">
        <v>29542</v>
      </c>
      <c r="K3347" s="0" t="n">
        <v>7909224372012</v>
      </c>
      <c r="L3347" s="0" t="s">
        <v>3630</v>
      </c>
      <c r="N3347" s="0" t="n">
        <v>6</v>
      </c>
      <c r="O3347" s="60" t="n">
        <v>67.26</v>
      </c>
    </row>
    <row r="3348" customFormat="false" ht="15" hidden="false" customHeight="false" outlineLevel="0" collapsed="false">
      <c r="A3348" s="0" t="n">
        <v>3</v>
      </c>
      <c r="B3348" s="59" t="n">
        <v>46241</v>
      </c>
      <c r="C3348" s="0" t="n">
        <v>11</v>
      </c>
      <c r="D3348" s="0" t="s">
        <v>2126</v>
      </c>
      <c r="E3348" s="0" t="n">
        <v>1659</v>
      </c>
      <c r="F3348" s="0" t="s">
        <v>253</v>
      </c>
      <c r="I3348" s="0" t="n">
        <v>889382</v>
      </c>
      <c r="J3348" s="0" t="n">
        <v>29551</v>
      </c>
      <c r="K3348" s="0" t="n">
        <v>7890244992734</v>
      </c>
      <c r="L3348" s="0" t="s">
        <v>3631</v>
      </c>
      <c r="N3348" s="0" t="n">
        <v>6</v>
      </c>
      <c r="O3348" s="60" t="n">
        <v>67.26</v>
      </c>
    </row>
    <row r="3349" customFormat="false" ht="15" hidden="false" customHeight="false" outlineLevel="0" collapsed="false">
      <c r="A3349" s="0" t="n">
        <v>3</v>
      </c>
      <c r="B3349" s="59" t="n">
        <v>46241</v>
      </c>
      <c r="C3349" s="0" t="n">
        <v>11</v>
      </c>
      <c r="D3349" s="0" t="s">
        <v>2126</v>
      </c>
      <c r="E3349" s="0" t="n">
        <v>1659</v>
      </c>
      <c r="F3349" s="0" t="s">
        <v>253</v>
      </c>
      <c r="I3349" s="0" t="n">
        <v>889382</v>
      </c>
      <c r="J3349" s="0" t="n">
        <v>48427</v>
      </c>
      <c r="K3349" s="0" t="n">
        <v>7909806393794</v>
      </c>
      <c r="L3349" s="0" t="s">
        <v>3632</v>
      </c>
      <c r="N3349" s="0" t="n">
        <v>6</v>
      </c>
      <c r="O3349" s="60" t="n">
        <v>126.24</v>
      </c>
    </row>
    <row r="3350" customFormat="false" ht="15" hidden="false" customHeight="false" outlineLevel="0" collapsed="false">
      <c r="A3350" s="0" t="n">
        <v>3</v>
      </c>
      <c r="B3350" s="59" t="n">
        <v>46241</v>
      </c>
      <c r="C3350" s="0" t="n">
        <v>11</v>
      </c>
      <c r="D3350" s="0" t="s">
        <v>2126</v>
      </c>
      <c r="E3350" s="0" t="n">
        <v>1659</v>
      </c>
      <c r="F3350" s="0" t="s">
        <v>253</v>
      </c>
      <c r="I3350" s="0" t="n">
        <v>889382</v>
      </c>
      <c r="J3350" s="0" t="n">
        <v>48428</v>
      </c>
      <c r="K3350" s="0" t="n">
        <v>7909806393596</v>
      </c>
      <c r="L3350" s="0" t="s">
        <v>3632</v>
      </c>
      <c r="N3350" s="0" t="n">
        <v>6</v>
      </c>
      <c r="O3350" s="60" t="n">
        <v>126.24</v>
      </c>
    </row>
    <row r="3351" customFormat="false" ht="15" hidden="false" customHeight="false" outlineLevel="0" collapsed="false">
      <c r="A3351" s="0" t="n">
        <v>3</v>
      </c>
      <c r="B3351" s="59" t="n">
        <v>46241</v>
      </c>
      <c r="C3351" s="0" t="n">
        <v>11</v>
      </c>
      <c r="D3351" s="0" t="s">
        <v>2126</v>
      </c>
      <c r="E3351" s="0" t="n">
        <v>1659</v>
      </c>
      <c r="F3351" s="0" t="s">
        <v>253</v>
      </c>
      <c r="I3351" s="0" t="n">
        <v>889382</v>
      </c>
      <c r="J3351" s="0" t="n">
        <v>48513</v>
      </c>
      <c r="K3351" s="0" t="n">
        <v>7909806393756</v>
      </c>
      <c r="L3351" s="0" t="s">
        <v>3632</v>
      </c>
      <c r="N3351" s="0" t="n">
        <v>6</v>
      </c>
      <c r="O3351" s="60" t="n">
        <v>126.24</v>
      </c>
    </row>
    <row r="3352" customFormat="false" ht="15" hidden="false" customHeight="false" outlineLevel="0" collapsed="false">
      <c r="A3352" s="0" t="n">
        <v>3</v>
      </c>
      <c r="B3352" s="59" t="n">
        <v>46241</v>
      </c>
      <c r="C3352" s="0" t="n">
        <v>11</v>
      </c>
      <c r="D3352" s="0" t="s">
        <v>2126</v>
      </c>
      <c r="E3352" s="0" t="n">
        <v>1659</v>
      </c>
      <c r="F3352" s="0" t="s">
        <v>253</v>
      </c>
      <c r="I3352" s="0" t="n">
        <v>889382</v>
      </c>
      <c r="J3352" s="0" t="n">
        <v>55560</v>
      </c>
      <c r="K3352" s="0" t="n">
        <v>7909806393718</v>
      </c>
      <c r="L3352" s="0" t="s">
        <v>3632</v>
      </c>
      <c r="N3352" s="0" t="n">
        <v>6</v>
      </c>
      <c r="O3352" s="60" t="n">
        <v>126.24</v>
      </c>
    </row>
    <row r="3353" customFormat="false" ht="15" hidden="false" customHeight="false" outlineLevel="0" collapsed="false">
      <c r="A3353" s="0" t="n">
        <v>3</v>
      </c>
      <c r="B3353" s="59" t="n">
        <v>46241</v>
      </c>
      <c r="C3353" s="0" t="n">
        <v>11</v>
      </c>
      <c r="D3353" s="0" t="s">
        <v>2126</v>
      </c>
      <c r="E3353" s="0" t="n">
        <v>1659</v>
      </c>
      <c r="F3353" s="0" t="s">
        <v>253</v>
      </c>
      <c r="I3353" s="0" t="n">
        <v>889382</v>
      </c>
      <c r="J3353" s="0" t="n">
        <v>59723</v>
      </c>
      <c r="K3353" s="0" t="n">
        <v>7909937244194</v>
      </c>
      <c r="L3353" s="0" t="s">
        <v>3633</v>
      </c>
      <c r="N3353" s="0" t="n">
        <v>6</v>
      </c>
      <c r="O3353" s="60" t="n">
        <v>75</v>
      </c>
    </row>
    <row r="3354" customFormat="false" ht="15" hidden="false" customHeight="false" outlineLevel="0" collapsed="false">
      <c r="A3354" s="0" t="n">
        <v>3</v>
      </c>
      <c r="B3354" s="59" t="n">
        <v>46241</v>
      </c>
      <c r="C3354" s="0" t="n">
        <v>11</v>
      </c>
      <c r="D3354" s="0" t="s">
        <v>2126</v>
      </c>
      <c r="E3354" s="0" t="n">
        <v>1659</v>
      </c>
      <c r="F3354" s="0" t="s">
        <v>253</v>
      </c>
      <c r="I3354" s="0" t="n">
        <v>889382</v>
      </c>
      <c r="J3354" s="0" t="n">
        <v>78933</v>
      </c>
      <c r="K3354" s="0" t="n">
        <v>7900204464345</v>
      </c>
      <c r="L3354" s="0" t="s">
        <v>3634</v>
      </c>
      <c r="N3354" s="0" t="n">
        <v>6</v>
      </c>
      <c r="O3354" s="60" t="n">
        <v>108.84</v>
      </c>
    </row>
    <row r="3355" customFormat="false" ht="15" hidden="false" customHeight="false" outlineLevel="0" collapsed="false">
      <c r="A3355" s="0" t="n">
        <v>3</v>
      </c>
      <c r="B3355" s="59" t="n">
        <v>46241</v>
      </c>
      <c r="C3355" s="0" t="n">
        <v>11</v>
      </c>
      <c r="D3355" s="0" t="s">
        <v>2126</v>
      </c>
      <c r="E3355" s="0" t="n">
        <v>1659</v>
      </c>
      <c r="F3355" s="0" t="s">
        <v>253</v>
      </c>
      <c r="I3355" s="0" t="n">
        <v>889382</v>
      </c>
      <c r="J3355" s="0" t="n">
        <v>78957</v>
      </c>
      <c r="K3355" s="0" t="n">
        <v>7900204464420</v>
      </c>
      <c r="L3355" s="0" t="s">
        <v>3635</v>
      </c>
      <c r="N3355" s="0" t="n">
        <v>6</v>
      </c>
      <c r="O3355" s="60" t="n">
        <v>108.84</v>
      </c>
    </row>
    <row r="3356" customFormat="false" ht="15" hidden="false" customHeight="false" outlineLevel="0" collapsed="false">
      <c r="A3356" s="0" t="n">
        <v>3</v>
      </c>
      <c r="B3356" s="59" t="n">
        <v>46241</v>
      </c>
      <c r="C3356" s="0" t="n">
        <v>11</v>
      </c>
      <c r="D3356" s="0" t="s">
        <v>2126</v>
      </c>
      <c r="E3356" s="0" t="n">
        <v>1659</v>
      </c>
      <c r="F3356" s="0" t="s">
        <v>253</v>
      </c>
      <c r="I3356" s="0" t="n">
        <v>889382</v>
      </c>
      <c r="J3356" s="0" t="n">
        <v>82007</v>
      </c>
      <c r="K3356" s="0" t="n">
        <v>7900204464383</v>
      </c>
      <c r="L3356" s="0" t="s">
        <v>3636</v>
      </c>
      <c r="N3356" s="0" t="n">
        <v>6</v>
      </c>
      <c r="O3356" s="60" t="n">
        <v>108.84</v>
      </c>
    </row>
    <row r="3357" customFormat="false" ht="15" hidden="false" customHeight="false" outlineLevel="0" collapsed="false">
      <c r="A3357" s="0" t="n">
        <v>3</v>
      </c>
      <c r="B3357" s="59" t="n">
        <v>46241</v>
      </c>
      <c r="C3357" s="0" t="n">
        <v>11</v>
      </c>
      <c r="D3357" s="0" t="s">
        <v>2126</v>
      </c>
      <c r="E3357" s="0" t="n">
        <v>1659</v>
      </c>
      <c r="F3357" s="0" t="s">
        <v>253</v>
      </c>
      <c r="I3357" s="0" t="n">
        <v>889382</v>
      </c>
      <c r="J3357" s="0" t="n">
        <v>82008</v>
      </c>
      <c r="K3357" s="0" t="n">
        <v>7900204445689</v>
      </c>
      <c r="L3357" s="0" t="s">
        <v>3637</v>
      </c>
      <c r="N3357" s="0" t="n">
        <v>6</v>
      </c>
      <c r="O3357" s="60" t="n">
        <v>67.26</v>
      </c>
    </row>
    <row r="3358" customFormat="false" ht="15" hidden="false" customHeight="false" outlineLevel="0" collapsed="false">
      <c r="A3358" s="0" t="n">
        <v>3</v>
      </c>
      <c r="B3358" s="59" t="n">
        <v>46241</v>
      </c>
      <c r="C3358" s="0" t="n">
        <v>11</v>
      </c>
      <c r="D3358" s="0" t="s">
        <v>2126</v>
      </c>
      <c r="E3358" s="0" t="n">
        <v>1659</v>
      </c>
      <c r="F3358" s="0" t="s">
        <v>253</v>
      </c>
      <c r="I3358" s="0" t="n">
        <v>889382</v>
      </c>
      <c r="J3358" s="0" t="n">
        <v>82009</v>
      </c>
      <c r="K3358" s="0" t="n">
        <v>7900204445603</v>
      </c>
      <c r="L3358" s="0" t="s">
        <v>3638</v>
      </c>
      <c r="N3358" s="0" t="n">
        <v>6</v>
      </c>
      <c r="O3358" s="60" t="n">
        <v>67.26</v>
      </c>
    </row>
    <row r="3359" customFormat="false" ht="15" hidden="false" customHeight="false" outlineLevel="0" collapsed="false">
      <c r="A3359" s="0" t="n">
        <v>3</v>
      </c>
      <c r="B3359" s="59" t="n">
        <v>46241</v>
      </c>
      <c r="C3359" s="0" t="n">
        <v>11</v>
      </c>
      <c r="D3359" s="0" t="s">
        <v>2126</v>
      </c>
      <c r="E3359" s="0" t="n">
        <v>1659</v>
      </c>
      <c r="F3359" s="0" t="s">
        <v>253</v>
      </c>
      <c r="I3359" s="0" t="n">
        <v>889382</v>
      </c>
      <c r="J3359" s="0" t="n">
        <v>82010</v>
      </c>
      <c r="K3359" s="0" t="n">
        <v>7900204979214</v>
      </c>
      <c r="L3359" s="0" t="s">
        <v>3639</v>
      </c>
      <c r="N3359" s="0" t="n">
        <v>6</v>
      </c>
      <c r="O3359" s="60" t="n">
        <v>114.24</v>
      </c>
    </row>
    <row r="3360" customFormat="false" ht="15" hidden="false" customHeight="false" outlineLevel="0" collapsed="false">
      <c r="A3360" s="0" t="n">
        <v>3</v>
      </c>
      <c r="B3360" s="59" t="n">
        <v>46241</v>
      </c>
      <c r="C3360" s="0" t="n">
        <v>11</v>
      </c>
      <c r="D3360" s="0" t="s">
        <v>2126</v>
      </c>
      <c r="E3360" s="0" t="n">
        <v>1659</v>
      </c>
      <c r="F3360" s="0" t="s">
        <v>253</v>
      </c>
      <c r="I3360" s="0" t="n">
        <v>889382</v>
      </c>
      <c r="J3360" s="0" t="n">
        <v>82011</v>
      </c>
      <c r="K3360" s="0" t="n">
        <v>7900204672399</v>
      </c>
      <c r="L3360" s="0" t="s">
        <v>3640</v>
      </c>
      <c r="N3360" s="0" t="n">
        <v>6</v>
      </c>
      <c r="O3360" s="60" t="n">
        <v>108.72</v>
      </c>
    </row>
    <row r="3361" customFormat="false" ht="15" hidden="false" customHeight="false" outlineLevel="0" collapsed="false">
      <c r="A3361" s="0" t="n">
        <v>3</v>
      </c>
      <c r="B3361" s="59" t="n">
        <v>46241</v>
      </c>
      <c r="C3361" s="0" t="n">
        <v>11</v>
      </c>
      <c r="D3361" s="0" t="s">
        <v>2126</v>
      </c>
      <c r="E3361" s="0" t="n">
        <v>1659</v>
      </c>
      <c r="F3361" s="0" t="s">
        <v>253</v>
      </c>
      <c r="I3361" s="0" t="n">
        <v>889382</v>
      </c>
      <c r="J3361" s="0" t="n">
        <v>82012</v>
      </c>
      <c r="K3361" s="0" t="n">
        <v>7900204770415</v>
      </c>
      <c r="L3361" s="0" t="s">
        <v>3641</v>
      </c>
      <c r="N3361" s="0" t="n">
        <v>6</v>
      </c>
      <c r="O3361" s="60" t="n">
        <v>101.94</v>
      </c>
    </row>
    <row r="3362" customFormat="false" ht="15" hidden="false" customHeight="false" outlineLevel="0" collapsed="false">
      <c r="A3362" s="0" t="n">
        <v>3</v>
      </c>
      <c r="B3362" s="59" t="n">
        <v>46241</v>
      </c>
      <c r="C3362" s="0" t="n">
        <v>11</v>
      </c>
      <c r="D3362" s="0" t="s">
        <v>2126</v>
      </c>
      <c r="E3362" s="0" t="n">
        <v>1659</v>
      </c>
      <c r="F3362" s="0" t="s">
        <v>253</v>
      </c>
      <c r="I3362" s="0" t="n">
        <v>889382</v>
      </c>
      <c r="J3362" s="0" t="n">
        <v>82013</v>
      </c>
      <c r="K3362" s="0" t="n">
        <v>7900204242882</v>
      </c>
      <c r="L3362" s="0" t="s">
        <v>3642</v>
      </c>
      <c r="N3362" s="0" t="n">
        <v>6</v>
      </c>
      <c r="O3362" s="60" t="n">
        <v>124.2</v>
      </c>
    </row>
    <row r="3363" customFormat="false" ht="15" hidden="false" customHeight="false" outlineLevel="0" collapsed="false">
      <c r="A3363" s="0" t="n">
        <v>3</v>
      </c>
      <c r="B3363" s="59" t="n">
        <v>46241</v>
      </c>
      <c r="C3363" s="0" t="n">
        <v>11</v>
      </c>
      <c r="D3363" s="0" t="s">
        <v>2126</v>
      </c>
      <c r="E3363" s="0" t="n">
        <v>1659</v>
      </c>
      <c r="F3363" s="0" t="s">
        <v>253</v>
      </c>
      <c r="I3363" s="0" t="n">
        <v>889382</v>
      </c>
      <c r="J3363" s="0" t="n">
        <v>82014</v>
      </c>
      <c r="K3363" s="0" t="n">
        <v>7900377128853</v>
      </c>
      <c r="L3363" s="0" t="s">
        <v>3643</v>
      </c>
      <c r="N3363" s="0" t="n">
        <v>6</v>
      </c>
      <c r="O3363" s="60" t="n">
        <v>102.12</v>
      </c>
    </row>
    <row r="3364" customFormat="false" ht="15" hidden="false" customHeight="false" outlineLevel="0" collapsed="false">
      <c r="A3364" s="0" t="n">
        <v>3</v>
      </c>
      <c r="B3364" s="59" t="n">
        <v>46241</v>
      </c>
      <c r="C3364" s="0" t="n">
        <v>11</v>
      </c>
      <c r="D3364" s="0" t="s">
        <v>2126</v>
      </c>
      <c r="E3364" s="0" t="n">
        <v>1659</v>
      </c>
      <c r="F3364" s="0" t="s">
        <v>253</v>
      </c>
      <c r="I3364" s="0" t="n">
        <v>889382</v>
      </c>
      <c r="J3364" s="0" t="n">
        <v>82015</v>
      </c>
      <c r="K3364" s="0" t="n">
        <v>7900377128709</v>
      </c>
      <c r="L3364" s="0" t="s">
        <v>3644</v>
      </c>
      <c r="N3364" s="0" t="n">
        <v>6</v>
      </c>
      <c r="O3364" s="60" t="n">
        <v>102.12</v>
      </c>
    </row>
    <row r="3365" customFormat="false" ht="15" hidden="false" customHeight="false" outlineLevel="0" collapsed="false">
      <c r="A3365" s="0" t="n">
        <v>3</v>
      </c>
      <c r="B3365" s="59" t="n">
        <v>46241</v>
      </c>
      <c r="C3365" s="0" t="n">
        <v>11</v>
      </c>
      <c r="D3365" s="0" t="s">
        <v>2126</v>
      </c>
      <c r="E3365" s="0" t="n">
        <v>1659</v>
      </c>
      <c r="F3365" s="0" t="s">
        <v>253</v>
      </c>
      <c r="I3365" s="0" t="n">
        <v>889382</v>
      </c>
      <c r="J3365" s="0" t="n">
        <v>82016</v>
      </c>
      <c r="K3365" s="0" t="n">
        <v>7900377128655</v>
      </c>
      <c r="L3365" s="0" t="s">
        <v>3645</v>
      </c>
      <c r="N3365" s="0" t="n">
        <v>6</v>
      </c>
      <c r="O3365" s="60" t="n">
        <v>102.12</v>
      </c>
    </row>
    <row r="3366" customFormat="false" ht="15" hidden="false" customHeight="false" outlineLevel="0" collapsed="false">
      <c r="A3366" s="0" t="n">
        <v>3</v>
      </c>
      <c r="B3366" s="59" t="n">
        <v>46241</v>
      </c>
      <c r="C3366" s="0" t="n">
        <v>11</v>
      </c>
      <c r="D3366" s="0" t="s">
        <v>2126</v>
      </c>
      <c r="E3366" s="0" t="n">
        <v>1705</v>
      </c>
      <c r="F3366" s="0" t="s">
        <v>123</v>
      </c>
      <c r="I3366" s="0" t="n">
        <v>1232508</v>
      </c>
      <c r="J3366" s="0" t="n">
        <v>102360</v>
      </c>
      <c r="K3366" s="0" t="n">
        <v>7894900593709</v>
      </c>
      <c r="L3366" s="0" t="s">
        <v>2766</v>
      </c>
      <c r="N3366" s="0" t="n">
        <v>60</v>
      </c>
      <c r="O3366" s="60" t="n">
        <v>116.75</v>
      </c>
    </row>
    <row r="3367" customFormat="false" ht="15" hidden="false" customHeight="false" outlineLevel="0" collapsed="false">
      <c r="A3367" s="0" t="n">
        <v>3</v>
      </c>
      <c r="B3367" s="59" t="n">
        <v>46241</v>
      </c>
      <c r="C3367" s="0" t="n">
        <v>11</v>
      </c>
      <c r="D3367" s="0" t="s">
        <v>2126</v>
      </c>
      <c r="E3367" s="0" t="n">
        <v>1705</v>
      </c>
      <c r="F3367" s="0" t="s">
        <v>123</v>
      </c>
      <c r="I3367" s="0" t="n">
        <v>1232508</v>
      </c>
      <c r="J3367" s="0" t="n">
        <v>102362</v>
      </c>
      <c r="K3367" s="0" t="n">
        <v>7894900583700</v>
      </c>
      <c r="L3367" s="0" t="s">
        <v>2768</v>
      </c>
      <c r="N3367" s="0" t="n">
        <v>60</v>
      </c>
      <c r="O3367" s="60" t="n">
        <v>116.75</v>
      </c>
    </row>
    <row r="3368" customFormat="false" ht="15" hidden="false" customHeight="false" outlineLevel="0" collapsed="false">
      <c r="A3368" s="0" t="n">
        <v>3</v>
      </c>
      <c r="B3368" s="59" t="n">
        <v>46241</v>
      </c>
      <c r="C3368" s="0" t="n">
        <v>11</v>
      </c>
      <c r="D3368" s="0" t="s">
        <v>2126</v>
      </c>
      <c r="E3368" s="0" t="n">
        <v>1705</v>
      </c>
      <c r="F3368" s="0" t="s">
        <v>123</v>
      </c>
      <c r="I3368" s="0" t="n">
        <v>1232508</v>
      </c>
      <c r="J3368" s="0" t="n">
        <v>102363</v>
      </c>
      <c r="K3368" s="0" t="n">
        <v>7894900563702</v>
      </c>
      <c r="L3368" s="0" t="s">
        <v>2769</v>
      </c>
      <c r="N3368" s="0" t="n">
        <v>60</v>
      </c>
      <c r="O3368" s="60" t="n">
        <v>116.75</v>
      </c>
    </row>
    <row r="3369" customFormat="false" ht="15" hidden="false" customHeight="false" outlineLevel="0" collapsed="false">
      <c r="A3369" s="0" t="n">
        <v>3</v>
      </c>
      <c r="B3369" s="59" t="n">
        <v>46241</v>
      </c>
      <c r="C3369" s="0" t="n">
        <v>11</v>
      </c>
      <c r="D3369" s="0" t="s">
        <v>2126</v>
      </c>
      <c r="E3369" s="0" t="n">
        <v>1705</v>
      </c>
      <c r="F3369" s="0" t="s">
        <v>123</v>
      </c>
      <c r="I3369" s="0" t="n">
        <v>1232508</v>
      </c>
      <c r="J3369" s="0" t="n">
        <v>103139</v>
      </c>
      <c r="K3369" s="0" t="n">
        <v>7894900051759</v>
      </c>
      <c r="L3369" s="0" t="s">
        <v>2879</v>
      </c>
      <c r="N3369" s="0" t="n">
        <v>18</v>
      </c>
      <c r="O3369" s="60" t="n">
        <v>100.9</v>
      </c>
    </row>
    <row r="3370" customFormat="false" ht="15" hidden="false" customHeight="false" outlineLevel="0" collapsed="false">
      <c r="A3370" s="0" t="n">
        <v>3</v>
      </c>
      <c r="B3370" s="59" t="n">
        <v>46241</v>
      </c>
      <c r="C3370" s="0" t="n">
        <v>11</v>
      </c>
      <c r="D3370" s="0" t="s">
        <v>2126</v>
      </c>
      <c r="E3370" s="0" t="n">
        <v>1705</v>
      </c>
      <c r="F3370" s="0" t="s">
        <v>123</v>
      </c>
      <c r="I3370" s="0" t="n">
        <v>1232508</v>
      </c>
      <c r="J3370" s="0" t="n">
        <v>103140</v>
      </c>
      <c r="K3370" s="0" t="n">
        <v>7894900031751</v>
      </c>
      <c r="L3370" s="0" t="s">
        <v>2880</v>
      </c>
      <c r="N3370" s="0" t="n">
        <v>18</v>
      </c>
      <c r="O3370" s="60" t="n">
        <v>100.9</v>
      </c>
    </row>
    <row r="3371" customFormat="false" ht="15" hidden="false" customHeight="false" outlineLevel="0" collapsed="false">
      <c r="A3371" s="0" t="n">
        <v>3</v>
      </c>
      <c r="B3371" s="59" t="n">
        <v>46241</v>
      </c>
      <c r="C3371" s="0" t="n">
        <v>11</v>
      </c>
      <c r="D3371" s="0" t="s">
        <v>2126</v>
      </c>
      <c r="E3371" s="0" t="n">
        <v>1705</v>
      </c>
      <c r="F3371" s="0" t="s">
        <v>123</v>
      </c>
      <c r="I3371" s="0" t="n">
        <v>1232508</v>
      </c>
      <c r="J3371" s="0" t="n">
        <v>104575</v>
      </c>
      <c r="K3371" s="0" t="n">
        <v>7898341430098</v>
      </c>
      <c r="L3371" s="0" t="s">
        <v>2771</v>
      </c>
      <c r="N3371" s="0" t="n">
        <v>12</v>
      </c>
      <c r="O3371" s="60" t="n">
        <v>93.88</v>
      </c>
    </row>
    <row r="3372" customFormat="false" ht="15" hidden="false" customHeight="false" outlineLevel="0" collapsed="false">
      <c r="A3372" s="0" t="n">
        <v>3</v>
      </c>
      <c r="B3372" s="59" t="n">
        <v>46241</v>
      </c>
      <c r="C3372" s="0" t="n">
        <v>11</v>
      </c>
      <c r="D3372" s="0" t="s">
        <v>2126</v>
      </c>
      <c r="E3372" s="0" t="n">
        <v>1705</v>
      </c>
      <c r="F3372" s="0" t="s">
        <v>123</v>
      </c>
      <c r="I3372" s="0" t="n">
        <v>1232508</v>
      </c>
      <c r="J3372" s="0" t="n">
        <v>18192</v>
      </c>
      <c r="K3372" s="0" t="n">
        <v>7894900320015</v>
      </c>
      <c r="L3372" s="0" t="s">
        <v>3041</v>
      </c>
      <c r="N3372" s="0" t="n">
        <v>12</v>
      </c>
      <c r="O3372" s="60" t="n">
        <v>37.75</v>
      </c>
    </row>
    <row r="3373" customFormat="false" ht="15" hidden="false" customHeight="false" outlineLevel="0" collapsed="false">
      <c r="A3373" s="0" t="n">
        <v>3</v>
      </c>
      <c r="B3373" s="59" t="n">
        <v>46241</v>
      </c>
      <c r="C3373" s="0" t="n">
        <v>11</v>
      </c>
      <c r="D3373" s="0" t="s">
        <v>2126</v>
      </c>
      <c r="E3373" s="0" t="n">
        <v>1705</v>
      </c>
      <c r="F3373" s="0" t="s">
        <v>123</v>
      </c>
      <c r="I3373" s="0" t="n">
        <v>1232508</v>
      </c>
      <c r="J3373" s="0" t="n">
        <v>24324</v>
      </c>
      <c r="K3373" s="0" t="n">
        <v>70847022015</v>
      </c>
      <c r="L3373" s="0" t="s">
        <v>2565</v>
      </c>
      <c r="N3373" s="0" t="n">
        <v>48</v>
      </c>
      <c r="O3373" s="60" t="n">
        <v>403.11</v>
      </c>
    </row>
    <row r="3374" customFormat="false" ht="15" hidden="false" customHeight="false" outlineLevel="0" collapsed="false">
      <c r="A3374" s="0" t="n">
        <v>3</v>
      </c>
      <c r="B3374" s="59" t="n">
        <v>46241</v>
      </c>
      <c r="C3374" s="0" t="n">
        <v>11</v>
      </c>
      <c r="D3374" s="0" t="s">
        <v>2126</v>
      </c>
      <c r="E3374" s="0" t="n">
        <v>1705</v>
      </c>
      <c r="F3374" s="0" t="s">
        <v>123</v>
      </c>
      <c r="I3374" s="0" t="n">
        <v>1232508</v>
      </c>
      <c r="J3374" s="0" t="n">
        <v>29747</v>
      </c>
      <c r="K3374" s="0" t="n">
        <v>70847022305</v>
      </c>
      <c r="L3374" s="0" t="s">
        <v>2773</v>
      </c>
      <c r="N3374" s="0" t="n">
        <v>6</v>
      </c>
      <c r="O3374" s="60" t="n">
        <v>50.39</v>
      </c>
    </row>
    <row r="3375" customFormat="false" ht="15" hidden="false" customHeight="false" outlineLevel="0" collapsed="false">
      <c r="A3375" s="0" t="n">
        <v>3</v>
      </c>
      <c r="B3375" s="59" t="n">
        <v>46241</v>
      </c>
      <c r="C3375" s="0" t="n">
        <v>11</v>
      </c>
      <c r="D3375" s="0" t="s">
        <v>2126</v>
      </c>
      <c r="E3375" s="0" t="n">
        <v>1705</v>
      </c>
      <c r="F3375" s="0" t="s">
        <v>123</v>
      </c>
      <c r="I3375" s="0" t="n">
        <v>1232508</v>
      </c>
      <c r="J3375" s="0" t="n">
        <v>29749</v>
      </c>
      <c r="K3375" s="0" t="n">
        <v>70847033929</v>
      </c>
      <c r="L3375" s="0" t="s">
        <v>2774</v>
      </c>
      <c r="N3375" s="0" t="n">
        <v>6</v>
      </c>
      <c r="O3375" s="60" t="n">
        <v>50.39</v>
      </c>
    </row>
    <row r="3376" customFormat="false" ht="15" hidden="false" customHeight="false" outlineLevel="0" collapsed="false">
      <c r="A3376" s="0" t="n">
        <v>3</v>
      </c>
      <c r="B3376" s="59" t="n">
        <v>46241</v>
      </c>
      <c r="C3376" s="0" t="n">
        <v>11</v>
      </c>
      <c r="D3376" s="0" t="s">
        <v>2126</v>
      </c>
      <c r="E3376" s="0" t="n">
        <v>1705</v>
      </c>
      <c r="F3376" s="0" t="s">
        <v>123</v>
      </c>
      <c r="I3376" s="0" t="n">
        <v>1232508</v>
      </c>
      <c r="J3376" s="0" t="n">
        <v>32942</v>
      </c>
      <c r="K3376" s="0" t="n">
        <v>7895144293080</v>
      </c>
      <c r="L3376" s="0" t="s">
        <v>3646</v>
      </c>
      <c r="N3376" s="0" t="n">
        <v>6</v>
      </c>
      <c r="O3376" s="60" t="n">
        <v>57.83</v>
      </c>
    </row>
    <row r="3377" customFormat="false" ht="15" hidden="false" customHeight="false" outlineLevel="0" collapsed="false">
      <c r="A3377" s="0" t="n">
        <v>3</v>
      </c>
      <c r="B3377" s="59" t="n">
        <v>46241</v>
      </c>
      <c r="C3377" s="0" t="n">
        <v>11</v>
      </c>
      <c r="D3377" s="0" t="s">
        <v>2126</v>
      </c>
      <c r="E3377" s="0" t="n">
        <v>1705</v>
      </c>
      <c r="F3377" s="0" t="s">
        <v>123</v>
      </c>
      <c r="I3377" s="0" t="n">
        <v>1232508</v>
      </c>
      <c r="J3377" s="0" t="n">
        <v>57690</v>
      </c>
      <c r="K3377" s="0" t="n">
        <v>7896045506378</v>
      </c>
      <c r="L3377" s="0" t="s">
        <v>3647</v>
      </c>
      <c r="N3377" s="0" t="n">
        <v>36</v>
      </c>
      <c r="O3377" s="60" t="n">
        <v>264.58</v>
      </c>
    </row>
    <row r="3378" customFormat="false" ht="15" hidden="false" customHeight="false" outlineLevel="0" collapsed="false">
      <c r="A3378" s="0" t="n">
        <v>3</v>
      </c>
      <c r="B3378" s="59" t="n">
        <v>46241</v>
      </c>
      <c r="C3378" s="0" t="n">
        <v>11</v>
      </c>
      <c r="D3378" s="0" t="s">
        <v>2126</v>
      </c>
      <c r="E3378" s="0" t="n">
        <v>1705</v>
      </c>
      <c r="F3378" s="0" t="s">
        <v>123</v>
      </c>
      <c r="I3378" s="0" t="n">
        <v>1232508</v>
      </c>
      <c r="J3378" s="0" t="n">
        <v>60013</v>
      </c>
      <c r="K3378" s="0" t="n">
        <v>1220000250147</v>
      </c>
      <c r="L3378" s="0" t="s">
        <v>3648</v>
      </c>
      <c r="N3378" s="0" t="n">
        <v>6</v>
      </c>
      <c r="O3378" s="60" t="n">
        <v>50.39</v>
      </c>
    </row>
    <row r="3379" customFormat="false" ht="15" hidden="false" customHeight="false" outlineLevel="0" collapsed="false">
      <c r="A3379" s="0" t="n">
        <v>3</v>
      </c>
      <c r="B3379" s="59" t="n">
        <v>46241</v>
      </c>
      <c r="C3379" s="0" t="n">
        <v>11</v>
      </c>
      <c r="D3379" s="0" t="s">
        <v>2126</v>
      </c>
      <c r="E3379" s="0" t="n">
        <v>1705</v>
      </c>
      <c r="F3379" s="0" t="s">
        <v>123</v>
      </c>
      <c r="I3379" s="0" t="n">
        <v>1232508</v>
      </c>
      <c r="J3379" s="0" t="n">
        <v>62378</v>
      </c>
      <c r="K3379" s="0" t="n">
        <v>7896045506934</v>
      </c>
      <c r="L3379" s="0" t="s">
        <v>2775</v>
      </c>
      <c r="N3379" s="0" t="n">
        <v>120</v>
      </c>
      <c r="O3379" s="60" t="n">
        <v>413.75</v>
      </c>
    </row>
    <row r="3380" customFormat="false" ht="15" hidden="false" customHeight="false" outlineLevel="0" collapsed="false">
      <c r="A3380" s="0" t="n">
        <v>3</v>
      </c>
      <c r="B3380" s="59" t="n">
        <v>46241</v>
      </c>
      <c r="C3380" s="0" t="n">
        <v>11</v>
      </c>
      <c r="D3380" s="0" t="s">
        <v>2126</v>
      </c>
      <c r="E3380" s="0" t="n">
        <v>1705</v>
      </c>
      <c r="F3380" s="0" t="s">
        <v>123</v>
      </c>
      <c r="I3380" s="0" t="n">
        <v>1232508</v>
      </c>
      <c r="J3380" s="0" t="n">
        <v>66038</v>
      </c>
      <c r="K3380" s="0" t="n">
        <v>7898938890076</v>
      </c>
      <c r="L3380" s="0" t="s">
        <v>2566</v>
      </c>
      <c r="N3380" s="0" t="n">
        <v>24</v>
      </c>
      <c r="O3380" s="60" t="n">
        <v>201.55</v>
      </c>
    </row>
    <row r="3381" customFormat="false" ht="15" hidden="false" customHeight="false" outlineLevel="0" collapsed="false">
      <c r="A3381" s="0" t="n">
        <v>3</v>
      </c>
      <c r="B3381" s="59" t="n">
        <v>46241</v>
      </c>
      <c r="C3381" s="0" t="n">
        <v>11</v>
      </c>
      <c r="D3381" s="0" t="s">
        <v>2126</v>
      </c>
      <c r="E3381" s="0" t="n">
        <v>1705</v>
      </c>
      <c r="F3381" s="0" t="s">
        <v>123</v>
      </c>
      <c r="I3381" s="0" t="n">
        <v>1232508</v>
      </c>
      <c r="J3381" s="0" t="n">
        <v>74598</v>
      </c>
      <c r="K3381" s="0" t="n">
        <v>7898938890113</v>
      </c>
      <c r="L3381" s="0" t="s">
        <v>3649</v>
      </c>
      <c r="N3381" s="0" t="n">
        <v>6</v>
      </c>
      <c r="O3381" s="60" t="n">
        <v>50.39</v>
      </c>
    </row>
    <row r="3382" customFormat="false" ht="15" hidden="false" customHeight="false" outlineLevel="0" collapsed="false">
      <c r="A3382" s="0" t="n">
        <v>3</v>
      </c>
      <c r="B3382" s="59" t="n">
        <v>46241</v>
      </c>
      <c r="C3382" s="0" t="n">
        <v>11</v>
      </c>
      <c r="D3382" s="0" t="s">
        <v>2126</v>
      </c>
      <c r="E3382" s="0" t="n">
        <v>1705</v>
      </c>
      <c r="F3382" s="0" t="s">
        <v>123</v>
      </c>
      <c r="I3382" s="0" t="n">
        <v>1232508</v>
      </c>
      <c r="J3382" s="0" t="n">
        <v>77914</v>
      </c>
      <c r="K3382" s="0" t="n">
        <v>7894900530001</v>
      </c>
      <c r="L3382" s="0" t="s">
        <v>2568</v>
      </c>
      <c r="N3382" s="0" t="n">
        <v>24</v>
      </c>
      <c r="O3382" s="60" t="n">
        <v>30</v>
      </c>
    </row>
    <row r="3383" customFormat="false" ht="15" hidden="false" customHeight="false" outlineLevel="0" collapsed="false">
      <c r="A3383" s="0" t="n">
        <v>3</v>
      </c>
      <c r="B3383" s="59" t="n">
        <v>46241</v>
      </c>
      <c r="C3383" s="0" t="n">
        <v>11</v>
      </c>
      <c r="D3383" s="0" t="s">
        <v>2126</v>
      </c>
      <c r="E3383" s="0" t="n">
        <v>1705</v>
      </c>
      <c r="F3383" s="0" t="s">
        <v>123</v>
      </c>
      <c r="I3383" s="0" t="n">
        <v>1232508</v>
      </c>
      <c r="J3383" s="0" t="n">
        <v>78241</v>
      </c>
      <c r="K3383" s="0" t="n">
        <v>7898938890120</v>
      </c>
      <c r="L3383" s="0" t="s">
        <v>2776</v>
      </c>
      <c r="N3383" s="0" t="n">
        <v>6</v>
      </c>
      <c r="O3383" s="60" t="n">
        <v>50.39</v>
      </c>
    </row>
    <row r="3384" customFormat="false" ht="15" hidden="false" customHeight="false" outlineLevel="0" collapsed="false">
      <c r="A3384" s="0" t="n">
        <v>3</v>
      </c>
      <c r="B3384" s="59" t="n">
        <v>46241</v>
      </c>
      <c r="C3384" s="0" t="n">
        <v>11</v>
      </c>
      <c r="D3384" s="0" t="s">
        <v>2126</v>
      </c>
      <c r="E3384" s="0" t="n">
        <v>1705</v>
      </c>
      <c r="F3384" s="0" t="s">
        <v>123</v>
      </c>
      <c r="I3384" s="0" t="n">
        <v>1232508</v>
      </c>
      <c r="J3384" s="0" t="n">
        <v>79334</v>
      </c>
      <c r="K3384" s="0" t="n">
        <v>7894900531305</v>
      </c>
      <c r="L3384" s="0" t="s">
        <v>2570</v>
      </c>
      <c r="N3384" s="0" t="n">
        <v>24</v>
      </c>
      <c r="O3384" s="60" t="n">
        <v>30.25</v>
      </c>
    </row>
    <row r="3385" customFormat="false" ht="15" hidden="false" customHeight="false" outlineLevel="0" collapsed="false">
      <c r="A3385" s="0" t="n">
        <v>3</v>
      </c>
      <c r="B3385" s="59" t="n">
        <v>46241</v>
      </c>
      <c r="C3385" s="0" t="n">
        <v>11</v>
      </c>
      <c r="D3385" s="0" t="s">
        <v>2126</v>
      </c>
      <c r="E3385" s="0" t="n">
        <v>1705</v>
      </c>
      <c r="F3385" s="0" t="s">
        <v>123</v>
      </c>
      <c r="I3385" s="0" t="n">
        <v>1232508</v>
      </c>
      <c r="J3385" s="0" t="n">
        <v>79795</v>
      </c>
      <c r="K3385" s="0" t="n">
        <v>7894900530308</v>
      </c>
      <c r="L3385" s="0" t="s">
        <v>2571</v>
      </c>
      <c r="N3385" s="0" t="n">
        <v>24</v>
      </c>
      <c r="O3385" s="60" t="n">
        <v>24.68</v>
      </c>
    </row>
    <row r="3386" customFormat="false" ht="15" hidden="false" customHeight="false" outlineLevel="0" collapsed="false">
      <c r="A3386" s="0" t="n">
        <v>3</v>
      </c>
      <c r="B3386" s="59" t="n">
        <v>46241</v>
      </c>
      <c r="C3386" s="0" t="n">
        <v>11</v>
      </c>
      <c r="D3386" s="0" t="s">
        <v>2126</v>
      </c>
      <c r="E3386" s="0" t="n">
        <v>1705</v>
      </c>
      <c r="F3386" s="0" t="s">
        <v>123</v>
      </c>
      <c r="I3386" s="0" t="n">
        <v>1232508</v>
      </c>
      <c r="J3386" s="0" t="n">
        <v>81668</v>
      </c>
      <c r="K3386" s="0" t="n">
        <v>7898770420011</v>
      </c>
      <c r="L3386" s="0" t="s">
        <v>3650</v>
      </c>
      <c r="N3386" s="0" t="n">
        <v>6</v>
      </c>
      <c r="O3386" s="60" t="n">
        <v>50.39</v>
      </c>
    </row>
    <row r="3387" customFormat="false" ht="15" hidden="false" customHeight="false" outlineLevel="0" collapsed="false">
      <c r="A3387" s="0" t="n">
        <v>3</v>
      </c>
      <c r="B3387" s="59" t="n">
        <v>46241</v>
      </c>
      <c r="C3387" s="0" t="n">
        <v>11</v>
      </c>
      <c r="D3387" s="0" t="s">
        <v>2126</v>
      </c>
      <c r="E3387" s="0" t="n">
        <v>1705</v>
      </c>
      <c r="F3387" s="0" t="s">
        <v>123</v>
      </c>
      <c r="I3387" s="0" t="n">
        <v>1968512</v>
      </c>
      <c r="J3387" s="0" t="n">
        <v>103145</v>
      </c>
      <c r="K3387" s="0" t="n">
        <v>7894900051513</v>
      </c>
      <c r="L3387" s="0" t="s">
        <v>2582</v>
      </c>
      <c r="N3387" s="0" t="n">
        <v>18</v>
      </c>
      <c r="O3387" s="60" t="n">
        <v>133.74</v>
      </c>
    </row>
    <row r="3388" customFormat="false" ht="15" hidden="false" customHeight="false" outlineLevel="0" collapsed="false">
      <c r="A3388" s="0" t="n">
        <v>3</v>
      </c>
      <c r="B3388" s="59" t="n">
        <v>46241</v>
      </c>
      <c r="C3388" s="0" t="n">
        <v>11</v>
      </c>
      <c r="D3388" s="0" t="s">
        <v>2126</v>
      </c>
      <c r="E3388" s="0" t="n">
        <v>1705</v>
      </c>
      <c r="F3388" s="0" t="s">
        <v>123</v>
      </c>
      <c r="I3388" s="0" t="n">
        <v>1968512</v>
      </c>
      <c r="J3388" s="0" t="n">
        <v>103146</v>
      </c>
      <c r="K3388" s="0" t="n">
        <v>7894900031515</v>
      </c>
      <c r="L3388" s="0" t="s">
        <v>2583</v>
      </c>
      <c r="N3388" s="0" t="n">
        <v>30</v>
      </c>
      <c r="O3388" s="60" t="n">
        <v>222.91</v>
      </c>
    </row>
    <row r="3389" customFormat="false" ht="15" hidden="false" customHeight="false" outlineLevel="0" collapsed="false">
      <c r="A3389" s="0" t="n">
        <v>3</v>
      </c>
      <c r="B3389" s="59" t="n">
        <v>46241</v>
      </c>
      <c r="C3389" s="0" t="n">
        <v>11</v>
      </c>
      <c r="D3389" s="0" t="s">
        <v>2126</v>
      </c>
      <c r="E3389" s="0" t="n">
        <v>1705</v>
      </c>
      <c r="F3389" s="0" t="s">
        <v>123</v>
      </c>
      <c r="I3389" s="0" t="n">
        <v>1968512</v>
      </c>
      <c r="J3389" s="0" t="n">
        <v>103159</v>
      </c>
      <c r="K3389" s="0" t="n">
        <v>7894900050011</v>
      </c>
      <c r="L3389" s="0" t="s">
        <v>2770</v>
      </c>
      <c r="N3389" s="0" t="n">
        <v>12</v>
      </c>
      <c r="O3389" s="60" t="n">
        <v>33.63</v>
      </c>
    </row>
    <row r="3390" customFormat="false" ht="15" hidden="false" customHeight="false" outlineLevel="0" collapsed="false">
      <c r="A3390" s="0" t="n">
        <v>3</v>
      </c>
      <c r="B3390" s="59" t="n">
        <v>46241</v>
      </c>
      <c r="C3390" s="0" t="n">
        <v>11</v>
      </c>
      <c r="D3390" s="0" t="s">
        <v>2126</v>
      </c>
      <c r="E3390" s="0" t="n">
        <v>1705</v>
      </c>
      <c r="F3390" s="0" t="s">
        <v>123</v>
      </c>
      <c r="I3390" s="0" t="n">
        <v>1968512</v>
      </c>
      <c r="J3390" s="0" t="n">
        <v>103161</v>
      </c>
      <c r="K3390" s="0" t="n">
        <v>7894900010015</v>
      </c>
      <c r="L3390" s="0" t="s">
        <v>2584</v>
      </c>
      <c r="N3390" s="0" t="n">
        <v>48</v>
      </c>
      <c r="O3390" s="60" t="n">
        <v>150.98</v>
      </c>
    </row>
    <row r="3391" customFormat="false" ht="15" hidden="false" customHeight="false" outlineLevel="0" collapsed="false">
      <c r="A3391" s="0" t="n">
        <v>3</v>
      </c>
      <c r="B3391" s="59" t="n">
        <v>46241</v>
      </c>
      <c r="C3391" s="0" t="n">
        <v>11</v>
      </c>
      <c r="D3391" s="0" t="s">
        <v>2126</v>
      </c>
      <c r="E3391" s="0" t="n">
        <v>1705</v>
      </c>
      <c r="F3391" s="0" t="s">
        <v>123</v>
      </c>
      <c r="I3391" s="0" t="n">
        <v>1968512</v>
      </c>
      <c r="J3391" s="0" t="n">
        <v>104051</v>
      </c>
      <c r="K3391" s="0" t="n">
        <v>7894900300017</v>
      </c>
      <c r="L3391" s="0" t="s">
        <v>3051</v>
      </c>
      <c r="N3391" s="0" t="n">
        <v>12</v>
      </c>
      <c r="O3391" s="60" t="n">
        <v>32.91</v>
      </c>
    </row>
    <row r="3392" customFormat="false" ht="15" hidden="false" customHeight="false" outlineLevel="0" collapsed="false">
      <c r="A3392" s="0" t="n">
        <v>3</v>
      </c>
      <c r="B3392" s="59" t="n">
        <v>46241</v>
      </c>
      <c r="C3392" s="0" t="n">
        <v>11</v>
      </c>
      <c r="D3392" s="0" t="s">
        <v>2126</v>
      </c>
      <c r="E3392" s="0" t="n">
        <v>1705</v>
      </c>
      <c r="F3392" s="0" t="s">
        <v>123</v>
      </c>
      <c r="I3392" s="0" t="n">
        <v>1968512</v>
      </c>
      <c r="J3392" s="0" t="n">
        <v>104472</v>
      </c>
      <c r="K3392" s="0" t="n">
        <v>7897105200038</v>
      </c>
      <c r="L3392" s="0" t="s">
        <v>2585</v>
      </c>
      <c r="N3392" s="0" t="n">
        <v>36</v>
      </c>
      <c r="O3392" s="60" t="n">
        <v>161.87</v>
      </c>
    </row>
    <row r="3393" customFormat="false" ht="15" hidden="false" customHeight="false" outlineLevel="0" collapsed="false">
      <c r="A3393" s="0" t="n">
        <v>3</v>
      </c>
      <c r="B3393" s="59" t="n">
        <v>46241</v>
      </c>
      <c r="C3393" s="0" t="n">
        <v>11</v>
      </c>
      <c r="D3393" s="0" t="s">
        <v>2126</v>
      </c>
      <c r="E3393" s="0" t="n">
        <v>1705</v>
      </c>
      <c r="F3393" s="0" t="s">
        <v>123</v>
      </c>
      <c r="I3393" s="0" t="n">
        <v>1968512</v>
      </c>
      <c r="J3393" s="0" t="n">
        <v>10830</v>
      </c>
      <c r="K3393" s="0" t="n">
        <v>7894900701517</v>
      </c>
      <c r="L3393" s="0" t="s">
        <v>2589</v>
      </c>
      <c r="N3393" s="0" t="n">
        <v>60</v>
      </c>
      <c r="O3393" s="60" t="n">
        <v>508.72</v>
      </c>
    </row>
    <row r="3394" customFormat="false" ht="15" hidden="false" customHeight="false" outlineLevel="0" collapsed="false">
      <c r="A3394" s="0" t="n">
        <v>3</v>
      </c>
      <c r="B3394" s="59" t="n">
        <v>46241</v>
      </c>
      <c r="C3394" s="0" t="n">
        <v>11</v>
      </c>
      <c r="D3394" s="0" t="s">
        <v>2126</v>
      </c>
      <c r="E3394" s="0" t="n">
        <v>1705</v>
      </c>
      <c r="F3394" s="0" t="s">
        <v>123</v>
      </c>
      <c r="I3394" s="0" t="n">
        <v>1968512</v>
      </c>
      <c r="J3394" s="0" t="n">
        <v>24662</v>
      </c>
      <c r="K3394" s="0" t="n">
        <v>7897105250019</v>
      </c>
      <c r="L3394" s="0" t="s">
        <v>2882</v>
      </c>
      <c r="N3394" s="0" t="n">
        <v>30</v>
      </c>
      <c r="O3394" s="60" t="n">
        <v>83.48</v>
      </c>
    </row>
    <row r="3395" customFormat="false" ht="15" hidden="false" customHeight="false" outlineLevel="0" collapsed="false">
      <c r="A3395" s="0" t="n">
        <v>3</v>
      </c>
      <c r="B3395" s="59" t="n">
        <v>46241</v>
      </c>
      <c r="C3395" s="0" t="n">
        <v>11</v>
      </c>
      <c r="D3395" s="0" t="s">
        <v>2126</v>
      </c>
      <c r="E3395" s="0" t="n">
        <v>1705</v>
      </c>
      <c r="F3395" s="0" t="s">
        <v>123</v>
      </c>
      <c r="I3395" s="0" t="n">
        <v>1968512</v>
      </c>
      <c r="J3395" s="0" t="n">
        <v>27643</v>
      </c>
      <c r="K3395" s="0" t="n">
        <v>7894900031713</v>
      </c>
      <c r="L3395" s="0" t="s">
        <v>2772</v>
      </c>
      <c r="N3395" s="0" t="n">
        <v>24</v>
      </c>
      <c r="O3395" s="60" t="n">
        <v>113.72</v>
      </c>
    </row>
    <row r="3396" customFormat="false" ht="15" hidden="false" customHeight="false" outlineLevel="0" collapsed="false">
      <c r="A3396" s="0" t="n">
        <v>3</v>
      </c>
      <c r="B3396" s="59" t="n">
        <v>46241</v>
      </c>
      <c r="C3396" s="0" t="n">
        <v>11</v>
      </c>
      <c r="D3396" s="0" t="s">
        <v>2126</v>
      </c>
      <c r="E3396" s="0" t="n">
        <v>1705</v>
      </c>
      <c r="F3396" s="0" t="s">
        <v>123</v>
      </c>
      <c r="I3396" s="0" t="n">
        <v>1968512</v>
      </c>
      <c r="J3396" s="0" t="n">
        <v>28739</v>
      </c>
      <c r="K3396" s="0" t="n">
        <v>7894900027044</v>
      </c>
      <c r="L3396" s="0" t="s">
        <v>2593</v>
      </c>
      <c r="N3396" s="0" t="n">
        <v>30</v>
      </c>
      <c r="O3396" s="60" t="n">
        <v>168.16</v>
      </c>
    </row>
    <row r="3397" customFormat="false" ht="15" hidden="false" customHeight="false" outlineLevel="0" collapsed="false">
      <c r="A3397" s="0" t="n">
        <v>3</v>
      </c>
      <c r="B3397" s="59" t="n">
        <v>46241</v>
      </c>
      <c r="C3397" s="0" t="n">
        <v>11</v>
      </c>
      <c r="D3397" s="0" t="s">
        <v>2126</v>
      </c>
      <c r="E3397" s="0" t="n">
        <v>1705</v>
      </c>
      <c r="F3397" s="0" t="s">
        <v>123</v>
      </c>
      <c r="I3397" s="0" t="n">
        <v>1968512</v>
      </c>
      <c r="J3397" s="0" t="n">
        <v>29826</v>
      </c>
      <c r="K3397" s="0" t="n">
        <v>7894900556032</v>
      </c>
      <c r="L3397" s="0" t="s">
        <v>2886</v>
      </c>
      <c r="N3397" s="0" t="n">
        <v>24</v>
      </c>
      <c r="O3397" s="60" t="n">
        <v>118.32</v>
      </c>
    </row>
    <row r="3398" customFormat="false" ht="15" hidden="false" customHeight="false" outlineLevel="0" collapsed="false">
      <c r="A3398" s="0" t="n">
        <v>3</v>
      </c>
      <c r="B3398" s="59" t="n">
        <v>46241</v>
      </c>
      <c r="C3398" s="0" t="n">
        <v>11</v>
      </c>
      <c r="D3398" s="0" t="s">
        <v>2126</v>
      </c>
      <c r="E3398" s="0" t="n">
        <v>1705</v>
      </c>
      <c r="F3398" s="0" t="s">
        <v>123</v>
      </c>
      <c r="I3398" s="0" t="n">
        <v>1968512</v>
      </c>
      <c r="J3398" s="0" t="n">
        <v>32086</v>
      </c>
      <c r="K3398" s="0" t="n">
        <v>7894900027037</v>
      </c>
      <c r="L3398" s="0" t="s">
        <v>3651</v>
      </c>
      <c r="N3398" s="0" t="n">
        <v>36</v>
      </c>
      <c r="O3398" s="60" t="n">
        <v>388.71</v>
      </c>
    </row>
    <row r="3399" customFormat="false" ht="15" hidden="false" customHeight="false" outlineLevel="0" collapsed="false">
      <c r="A3399" s="0" t="n">
        <v>3</v>
      </c>
      <c r="B3399" s="59" t="n">
        <v>46241</v>
      </c>
      <c r="C3399" s="0" t="n">
        <v>11</v>
      </c>
      <c r="D3399" s="0" t="s">
        <v>2126</v>
      </c>
      <c r="E3399" s="0" t="n">
        <v>1705</v>
      </c>
      <c r="F3399" s="0" t="s">
        <v>123</v>
      </c>
      <c r="I3399" s="0" t="n">
        <v>1968512</v>
      </c>
      <c r="J3399" s="0" t="n">
        <v>32339</v>
      </c>
      <c r="K3399" s="0" t="n">
        <v>7894900681000</v>
      </c>
      <c r="L3399" s="0" t="s">
        <v>2598</v>
      </c>
      <c r="N3399" s="0" t="n">
        <v>24</v>
      </c>
      <c r="O3399" s="60" t="n">
        <v>178.33</v>
      </c>
    </row>
    <row r="3400" customFormat="false" ht="15" hidden="false" customHeight="false" outlineLevel="0" collapsed="false">
      <c r="A3400" s="0" t="n">
        <v>3</v>
      </c>
      <c r="B3400" s="59" t="n">
        <v>46241</v>
      </c>
      <c r="C3400" s="0" t="n">
        <v>11</v>
      </c>
      <c r="D3400" s="0" t="s">
        <v>2126</v>
      </c>
      <c r="E3400" s="0" t="n">
        <v>1705</v>
      </c>
      <c r="F3400" s="0" t="s">
        <v>123</v>
      </c>
      <c r="I3400" s="0" t="n">
        <v>1968512</v>
      </c>
      <c r="J3400" s="0" t="n">
        <v>34629</v>
      </c>
      <c r="K3400" s="0" t="n">
        <v>7894900027020</v>
      </c>
      <c r="L3400" s="0" t="s">
        <v>2777</v>
      </c>
      <c r="N3400" s="0" t="n">
        <v>36</v>
      </c>
      <c r="O3400" s="60" t="n">
        <v>354.23</v>
      </c>
    </row>
    <row r="3401" customFormat="false" ht="15" hidden="false" customHeight="false" outlineLevel="0" collapsed="false">
      <c r="A3401" s="0" t="n">
        <v>3</v>
      </c>
      <c r="B3401" s="59" t="n">
        <v>46241</v>
      </c>
      <c r="C3401" s="0" t="n">
        <v>11</v>
      </c>
      <c r="D3401" s="0" t="s">
        <v>2126</v>
      </c>
      <c r="E3401" s="0" t="n">
        <v>1705</v>
      </c>
      <c r="F3401" s="0" t="s">
        <v>123</v>
      </c>
      <c r="I3401" s="0" t="n">
        <v>1968512</v>
      </c>
      <c r="J3401" s="0" t="n">
        <v>35357</v>
      </c>
      <c r="K3401" s="0" t="n">
        <v>7894900681017</v>
      </c>
      <c r="L3401" s="0" t="s">
        <v>3044</v>
      </c>
      <c r="N3401" s="0" t="n">
        <v>24</v>
      </c>
      <c r="O3401" s="60" t="n">
        <v>67.27</v>
      </c>
    </row>
    <row r="3402" customFormat="false" ht="15" hidden="false" customHeight="false" outlineLevel="0" collapsed="false">
      <c r="A3402" s="0" t="n">
        <v>3</v>
      </c>
      <c r="B3402" s="59" t="n">
        <v>46241</v>
      </c>
      <c r="C3402" s="0" t="n">
        <v>11</v>
      </c>
      <c r="D3402" s="0" t="s">
        <v>2126</v>
      </c>
      <c r="E3402" s="0" t="n">
        <v>1705</v>
      </c>
      <c r="F3402" s="0" t="s">
        <v>123</v>
      </c>
      <c r="I3402" s="0" t="n">
        <v>1968512</v>
      </c>
      <c r="J3402" s="0" t="n">
        <v>37279</v>
      </c>
      <c r="K3402" s="0" t="n">
        <v>7894900027013</v>
      </c>
      <c r="L3402" s="0" t="s">
        <v>2581</v>
      </c>
      <c r="N3402" s="0" t="n">
        <v>120</v>
      </c>
      <c r="O3402" s="60" t="n">
        <v>1048.9</v>
      </c>
    </row>
    <row r="3403" customFormat="false" ht="15" hidden="false" customHeight="false" outlineLevel="0" collapsed="false">
      <c r="A3403" s="0" t="n">
        <v>3</v>
      </c>
      <c r="B3403" s="59" t="n">
        <v>46241</v>
      </c>
      <c r="C3403" s="0" t="n">
        <v>11</v>
      </c>
      <c r="D3403" s="0" t="s">
        <v>2126</v>
      </c>
      <c r="E3403" s="0" t="n">
        <v>1705</v>
      </c>
      <c r="F3403" s="0" t="s">
        <v>123</v>
      </c>
      <c r="I3403" s="0" t="n">
        <v>1968512</v>
      </c>
      <c r="J3403" s="0" t="n">
        <v>77527</v>
      </c>
      <c r="K3403" s="0" t="n">
        <v>7897105250293</v>
      </c>
      <c r="L3403" s="0" t="s">
        <v>3652</v>
      </c>
      <c r="N3403" s="0" t="n">
        <v>6</v>
      </c>
      <c r="O3403" s="60" t="n">
        <v>15.39</v>
      </c>
    </row>
    <row r="3404" customFormat="false" ht="15" hidden="false" customHeight="false" outlineLevel="0" collapsed="false">
      <c r="A3404" s="0" t="n">
        <v>3</v>
      </c>
      <c r="B3404" s="59" t="n">
        <v>46241</v>
      </c>
      <c r="C3404" s="0" t="n">
        <v>22</v>
      </c>
      <c r="D3404" s="0" t="s">
        <v>2172</v>
      </c>
      <c r="E3404" s="0" t="n">
        <v>42</v>
      </c>
      <c r="F3404" s="0" t="s">
        <v>81</v>
      </c>
      <c r="I3404" s="0" t="n">
        <v>4471</v>
      </c>
      <c r="J3404" s="0" t="n">
        <v>100000</v>
      </c>
      <c r="K3404" s="0" t="n">
        <v>1</v>
      </c>
      <c r="L3404" s="0" t="s">
        <v>2173</v>
      </c>
      <c r="N3404" s="0" t="n">
        <v>2.618</v>
      </c>
      <c r="O3404" s="60" t="n">
        <v>56.99</v>
      </c>
    </row>
    <row r="3405" customFormat="false" ht="15" hidden="false" customHeight="false" outlineLevel="0" collapsed="false">
      <c r="A3405" s="0" t="n">
        <v>3</v>
      </c>
      <c r="B3405" s="59" t="n">
        <v>46241</v>
      </c>
      <c r="C3405" s="0" t="n">
        <v>22</v>
      </c>
      <c r="D3405" s="0" t="s">
        <v>2172</v>
      </c>
      <c r="E3405" s="0" t="n">
        <v>42</v>
      </c>
      <c r="F3405" s="0" t="s">
        <v>81</v>
      </c>
      <c r="I3405" s="0" t="n">
        <v>4471</v>
      </c>
      <c r="J3405" s="0" t="n">
        <v>100001</v>
      </c>
      <c r="K3405" s="0" t="n">
        <v>2</v>
      </c>
      <c r="L3405" s="0" t="s">
        <v>2174</v>
      </c>
      <c r="N3405" s="0" t="n">
        <v>7.73</v>
      </c>
      <c r="O3405" s="60" t="n">
        <v>179.89</v>
      </c>
    </row>
    <row r="3406" customFormat="false" ht="15" hidden="false" customHeight="false" outlineLevel="0" collapsed="false">
      <c r="A3406" s="0" t="n">
        <v>3</v>
      </c>
      <c r="B3406" s="59" t="n">
        <v>46241</v>
      </c>
      <c r="C3406" s="0" t="n">
        <v>22</v>
      </c>
      <c r="D3406" s="0" t="s">
        <v>2172</v>
      </c>
      <c r="E3406" s="0" t="n">
        <v>42</v>
      </c>
      <c r="F3406" s="0" t="s">
        <v>81</v>
      </c>
      <c r="I3406" s="0" t="n">
        <v>4471</v>
      </c>
      <c r="J3406" s="0" t="n">
        <v>100002</v>
      </c>
      <c r="K3406" s="0" t="n">
        <v>3</v>
      </c>
      <c r="L3406" s="0" t="s">
        <v>2175</v>
      </c>
      <c r="N3406" s="0" t="n">
        <v>16.78</v>
      </c>
      <c r="O3406" s="60" t="n">
        <v>403.09</v>
      </c>
    </row>
    <row r="3407" customFormat="false" ht="15" hidden="false" customHeight="false" outlineLevel="0" collapsed="false">
      <c r="A3407" s="0" t="n">
        <v>3</v>
      </c>
      <c r="B3407" s="59" t="n">
        <v>46241</v>
      </c>
      <c r="C3407" s="0" t="n">
        <v>22</v>
      </c>
      <c r="D3407" s="0" t="s">
        <v>2172</v>
      </c>
      <c r="E3407" s="0" t="n">
        <v>42</v>
      </c>
      <c r="F3407" s="0" t="s">
        <v>81</v>
      </c>
      <c r="I3407" s="0" t="n">
        <v>4471</v>
      </c>
      <c r="J3407" s="0" t="n">
        <v>100003</v>
      </c>
      <c r="K3407" s="0" t="n">
        <v>4</v>
      </c>
      <c r="L3407" s="0" t="s">
        <v>2176</v>
      </c>
      <c r="N3407" s="0" t="n">
        <v>14.665</v>
      </c>
      <c r="O3407" s="60" t="n">
        <v>385.32</v>
      </c>
    </row>
    <row r="3408" customFormat="false" ht="15" hidden="false" customHeight="false" outlineLevel="0" collapsed="false">
      <c r="A3408" s="0" t="n">
        <v>3</v>
      </c>
      <c r="B3408" s="59" t="n">
        <v>46241</v>
      </c>
      <c r="C3408" s="0" t="n">
        <v>22</v>
      </c>
      <c r="D3408" s="0" t="s">
        <v>2172</v>
      </c>
      <c r="E3408" s="0" t="n">
        <v>42</v>
      </c>
      <c r="F3408" s="0" t="s">
        <v>81</v>
      </c>
      <c r="I3408" s="0" t="n">
        <v>4471</v>
      </c>
      <c r="J3408" s="0" t="n">
        <v>100004</v>
      </c>
      <c r="K3408" s="0" t="n">
        <v>5</v>
      </c>
      <c r="L3408" s="0" t="s">
        <v>2411</v>
      </c>
      <c r="N3408" s="0" t="n">
        <v>1.61</v>
      </c>
      <c r="O3408" s="60" t="n">
        <v>27.79</v>
      </c>
    </row>
    <row r="3409" customFormat="false" ht="15" hidden="false" customHeight="false" outlineLevel="0" collapsed="false">
      <c r="A3409" s="0" t="n">
        <v>3</v>
      </c>
      <c r="B3409" s="59" t="n">
        <v>46241</v>
      </c>
      <c r="C3409" s="0" t="n">
        <v>22</v>
      </c>
      <c r="D3409" s="0" t="s">
        <v>2172</v>
      </c>
      <c r="E3409" s="0" t="n">
        <v>42</v>
      </c>
      <c r="F3409" s="0" t="s">
        <v>81</v>
      </c>
      <c r="I3409" s="0" t="n">
        <v>4471</v>
      </c>
      <c r="J3409" s="0" t="n">
        <v>100007</v>
      </c>
      <c r="K3409" s="0" t="n">
        <v>8</v>
      </c>
      <c r="L3409" s="0" t="s">
        <v>2177</v>
      </c>
      <c r="N3409" s="0" t="n">
        <v>5.156</v>
      </c>
      <c r="O3409" s="60" t="n">
        <v>131.6</v>
      </c>
    </row>
    <row r="3410" customFormat="false" ht="15" hidden="false" customHeight="false" outlineLevel="0" collapsed="false">
      <c r="A3410" s="0" t="n">
        <v>3</v>
      </c>
      <c r="B3410" s="59" t="n">
        <v>46241</v>
      </c>
      <c r="C3410" s="0" t="n">
        <v>22</v>
      </c>
      <c r="D3410" s="0" t="s">
        <v>2172</v>
      </c>
      <c r="E3410" s="0" t="n">
        <v>42</v>
      </c>
      <c r="F3410" s="0" t="s">
        <v>81</v>
      </c>
      <c r="I3410" s="0" t="n">
        <v>4471</v>
      </c>
      <c r="J3410" s="0" t="n">
        <v>100638</v>
      </c>
      <c r="K3410" s="0" t="n">
        <v>508</v>
      </c>
      <c r="L3410" s="0" t="s">
        <v>2178</v>
      </c>
      <c r="N3410" s="0" t="n">
        <v>1.892</v>
      </c>
      <c r="O3410" s="60" t="n">
        <v>2.83</v>
      </c>
    </row>
    <row r="3411" customFormat="false" ht="15" hidden="false" customHeight="false" outlineLevel="0" collapsed="false">
      <c r="A3411" s="0" t="n">
        <v>3</v>
      </c>
      <c r="B3411" s="59" t="n">
        <v>46241</v>
      </c>
      <c r="C3411" s="0" t="n">
        <v>22</v>
      </c>
      <c r="D3411" s="0" t="s">
        <v>2172</v>
      </c>
      <c r="E3411" s="0" t="n">
        <v>42</v>
      </c>
      <c r="F3411" s="0" t="s">
        <v>81</v>
      </c>
      <c r="I3411" s="0" t="n">
        <v>4471</v>
      </c>
      <c r="J3411" s="0" t="n">
        <v>100520</v>
      </c>
      <c r="K3411" s="0" t="n">
        <v>507</v>
      </c>
      <c r="L3411" s="0" t="s">
        <v>2179</v>
      </c>
      <c r="N3411" s="0" t="n">
        <v>3.154</v>
      </c>
      <c r="O3411" s="60" t="n">
        <v>7.08</v>
      </c>
    </row>
    <row r="3412" customFormat="false" ht="15" hidden="false" customHeight="false" outlineLevel="0" collapsed="false">
      <c r="A3412" s="0" t="n">
        <v>3</v>
      </c>
      <c r="B3412" s="59" t="n">
        <v>46241</v>
      </c>
      <c r="C3412" s="0" t="n">
        <v>22</v>
      </c>
      <c r="D3412" s="0" t="s">
        <v>2172</v>
      </c>
      <c r="E3412" s="0" t="n">
        <v>42</v>
      </c>
      <c r="F3412" s="0" t="s">
        <v>81</v>
      </c>
      <c r="I3412" s="0" t="n">
        <v>4471</v>
      </c>
      <c r="J3412" s="0" t="n">
        <v>110455</v>
      </c>
      <c r="K3412" s="0" t="n">
        <v>53212</v>
      </c>
      <c r="L3412" s="0" t="s">
        <v>2180</v>
      </c>
      <c r="N3412" s="0" t="n">
        <v>0.695</v>
      </c>
      <c r="O3412" s="60" t="n">
        <v>0.01</v>
      </c>
    </row>
    <row r="3413" customFormat="false" ht="15" hidden="false" customHeight="false" outlineLevel="0" collapsed="false">
      <c r="A3413" s="0" t="n">
        <v>3</v>
      </c>
      <c r="B3413" s="59" t="n">
        <v>46241</v>
      </c>
      <c r="C3413" s="0" t="n">
        <v>22</v>
      </c>
      <c r="D3413" s="0" t="s">
        <v>2172</v>
      </c>
      <c r="E3413" s="0" t="n">
        <v>42</v>
      </c>
      <c r="F3413" s="0" t="s">
        <v>81</v>
      </c>
      <c r="I3413" s="0" t="n">
        <v>4476</v>
      </c>
      <c r="J3413" s="0" t="n">
        <v>100000</v>
      </c>
      <c r="K3413" s="0" t="n">
        <v>1</v>
      </c>
      <c r="L3413" s="0" t="s">
        <v>2173</v>
      </c>
      <c r="N3413" s="0" t="n">
        <v>2.438</v>
      </c>
      <c r="O3413" s="60" t="n">
        <v>53.53</v>
      </c>
    </row>
    <row r="3414" customFormat="false" ht="15" hidden="false" customHeight="false" outlineLevel="0" collapsed="false">
      <c r="A3414" s="0" t="n">
        <v>3</v>
      </c>
      <c r="B3414" s="59" t="n">
        <v>46241</v>
      </c>
      <c r="C3414" s="0" t="n">
        <v>22</v>
      </c>
      <c r="D3414" s="0" t="s">
        <v>2172</v>
      </c>
      <c r="E3414" s="0" t="n">
        <v>42</v>
      </c>
      <c r="F3414" s="0" t="s">
        <v>81</v>
      </c>
      <c r="I3414" s="0" t="n">
        <v>4476</v>
      </c>
      <c r="J3414" s="0" t="n">
        <v>100001</v>
      </c>
      <c r="K3414" s="0" t="n">
        <v>2</v>
      </c>
      <c r="L3414" s="0" t="s">
        <v>2174</v>
      </c>
      <c r="N3414" s="0" t="n">
        <v>8.45</v>
      </c>
      <c r="O3414" s="60" t="n">
        <v>198.34</v>
      </c>
    </row>
    <row r="3415" customFormat="false" ht="15" hidden="false" customHeight="false" outlineLevel="0" collapsed="false">
      <c r="A3415" s="0" t="n">
        <v>3</v>
      </c>
      <c r="B3415" s="59" t="n">
        <v>46241</v>
      </c>
      <c r="C3415" s="0" t="n">
        <v>22</v>
      </c>
      <c r="D3415" s="0" t="s">
        <v>2172</v>
      </c>
      <c r="E3415" s="0" t="n">
        <v>42</v>
      </c>
      <c r="F3415" s="0" t="s">
        <v>81</v>
      </c>
      <c r="I3415" s="0" t="n">
        <v>4476</v>
      </c>
      <c r="J3415" s="0" t="n">
        <v>100002</v>
      </c>
      <c r="K3415" s="0" t="n">
        <v>3</v>
      </c>
      <c r="L3415" s="0" t="s">
        <v>2175</v>
      </c>
      <c r="N3415" s="0" t="n">
        <v>19.45</v>
      </c>
      <c r="O3415" s="60" t="n">
        <v>471.28</v>
      </c>
    </row>
    <row r="3416" customFormat="false" ht="15" hidden="false" customHeight="false" outlineLevel="0" collapsed="false">
      <c r="A3416" s="0" t="n">
        <v>3</v>
      </c>
      <c r="B3416" s="59" t="n">
        <v>46241</v>
      </c>
      <c r="C3416" s="0" t="n">
        <v>22</v>
      </c>
      <c r="D3416" s="0" t="s">
        <v>2172</v>
      </c>
      <c r="E3416" s="0" t="n">
        <v>42</v>
      </c>
      <c r="F3416" s="0" t="s">
        <v>81</v>
      </c>
      <c r="I3416" s="0" t="n">
        <v>4476</v>
      </c>
      <c r="J3416" s="0" t="n">
        <v>100003</v>
      </c>
      <c r="K3416" s="0" t="n">
        <v>4</v>
      </c>
      <c r="L3416" s="0" t="s">
        <v>2176</v>
      </c>
      <c r="N3416" s="0" t="n">
        <v>13.9</v>
      </c>
      <c r="O3416" s="60" t="n">
        <v>368.38</v>
      </c>
    </row>
    <row r="3417" customFormat="false" ht="15" hidden="false" customHeight="false" outlineLevel="0" collapsed="false">
      <c r="A3417" s="0" t="n">
        <v>3</v>
      </c>
      <c r="B3417" s="59" t="n">
        <v>46241</v>
      </c>
      <c r="C3417" s="0" t="n">
        <v>22</v>
      </c>
      <c r="D3417" s="0" t="s">
        <v>2172</v>
      </c>
      <c r="E3417" s="0" t="n">
        <v>42</v>
      </c>
      <c r="F3417" s="0" t="s">
        <v>81</v>
      </c>
      <c r="I3417" s="0" t="n">
        <v>4476</v>
      </c>
      <c r="J3417" s="0" t="n">
        <v>100004</v>
      </c>
      <c r="K3417" s="0" t="n">
        <v>5</v>
      </c>
      <c r="L3417" s="0" t="s">
        <v>2411</v>
      </c>
      <c r="N3417" s="0" t="n">
        <v>1.95</v>
      </c>
      <c r="O3417" s="60" t="n">
        <v>33.96</v>
      </c>
    </row>
    <row r="3418" customFormat="false" ht="15" hidden="false" customHeight="false" outlineLevel="0" collapsed="false">
      <c r="A3418" s="0" t="n">
        <v>3</v>
      </c>
      <c r="B3418" s="59" t="n">
        <v>46241</v>
      </c>
      <c r="C3418" s="0" t="n">
        <v>22</v>
      </c>
      <c r="D3418" s="0" t="s">
        <v>2172</v>
      </c>
      <c r="E3418" s="0" t="n">
        <v>42</v>
      </c>
      <c r="F3418" s="0" t="s">
        <v>81</v>
      </c>
      <c r="I3418" s="0" t="n">
        <v>4476</v>
      </c>
      <c r="J3418" s="0" t="n">
        <v>100006</v>
      </c>
      <c r="K3418" s="0" t="n">
        <v>7</v>
      </c>
      <c r="L3418" s="0" t="s">
        <v>2228</v>
      </c>
      <c r="N3418" s="0" t="n">
        <v>2.412</v>
      </c>
      <c r="O3418" s="60" t="n">
        <v>73.06</v>
      </c>
    </row>
    <row r="3419" customFormat="false" ht="15" hidden="false" customHeight="false" outlineLevel="0" collapsed="false">
      <c r="A3419" s="0" t="n">
        <v>3</v>
      </c>
      <c r="B3419" s="59" t="n">
        <v>46241</v>
      </c>
      <c r="C3419" s="0" t="n">
        <v>22</v>
      </c>
      <c r="D3419" s="0" t="s">
        <v>2172</v>
      </c>
      <c r="E3419" s="0" t="n">
        <v>42</v>
      </c>
      <c r="F3419" s="0" t="s">
        <v>81</v>
      </c>
      <c r="I3419" s="0" t="n">
        <v>4476</v>
      </c>
      <c r="J3419" s="0" t="n">
        <v>100006</v>
      </c>
      <c r="K3419" s="0" t="n">
        <v>7</v>
      </c>
      <c r="L3419" s="0" t="s">
        <v>2228</v>
      </c>
      <c r="N3419" s="0" t="n">
        <v>4.73</v>
      </c>
      <c r="O3419" s="60" t="n">
        <v>161.02</v>
      </c>
    </row>
    <row r="3420" customFormat="false" ht="15" hidden="false" customHeight="false" outlineLevel="0" collapsed="false">
      <c r="A3420" s="0" t="n">
        <v>3</v>
      </c>
      <c r="B3420" s="59" t="n">
        <v>46241</v>
      </c>
      <c r="C3420" s="0" t="n">
        <v>22</v>
      </c>
      <c r="D3420" s="0" t="s">
        <v>2172</v>
      </c>
      <c r="E3420" s="0" t="n">
        <v>42</v>
      </c>
      <c r="F3420" s="0" t="s">
        <v>81</v>
      </c>
      <c r="I3420" s="0" t="n">
        <v>4476</v>
      </c>
      <c r="J3420" s="0" t="n">
        <v>100007</v>
      </c>
      <c r="K3420" s="0" t="n">
        <v>8</v>
      </c>
      <c r="L3420" s="0" t="s">
        <v>2177</v>
      </c>
      <c r="N3420" s="0" t="n">
        <v>4.578</v>
      </c>
      <c r="O3420" s="60" t="n">
        <v>117.86</v>
      </c>
    </row>
    <row r="3421" customFormat="false" ht="15" hidden="false" customHeight="false" outlineLevel="0" collapsed="false">
      <c r="A3421" s="0" t="n">
        <v>3</v>
      </c>
      <c r="B3421" s="59" t="n">
        <v>46241</v>
      </c>
      <c r="C3421" s="0" t="n">
        <v>22</v>
      </c>
      <c r="D3421" s="0" t="s">
        <v>2172</v>
      </c>
      <c r="E3421" s="0" t="n">
        <v>42</v>
      </c>
      <c r="F3421" s="0" t="s">
        <v>81</v>
      </c>
      <c r="I3421" s="0" t="n">
        <v>4476</v>
      </c>
      <c r="J3421" s="0" t="n">
        <v>100007</v>
      </c>
      <c r="K3421" s="0" t="n">
        <v>8</v>
      </c>
      <c r="L3421" s="0" t="s">
        <v>2177</v>
      </c>
      <c r="N3421" s="0" t="n">
        <v>3.988</v>
      </c>
      <c r="O3421" s="60" t="n">
        <v>115.39</v>
      </c>
    </row>
    <row r="3422" customFormat="false" ht="15" hidden="false" customHeight="false" outlineLevel="0" collapsed="false">
      <c r="A3422" s="0" t="n">
        <v>3</v>
      </c>
      <c r="B3422" s="59" t="n">
        <v>46241</v>
      </c>
      <c r="C3422" s="0" t="n">
        <v>22</v>
      </c>
      <c r="D3422" s="0" t="s">
        <v>2172</v>
      </c>
      <c r="E3422" s="0" t="n">
        <v>42</v>
      </c>
      <c r="F3422" s="0" t="s">
        <v>81</v>
      </c>
      <c r="I3422" s="0" t="n">
        <v>4476</v>
      </c>
      <c r="J3422" s="0" t="n">
        <v>100008</v>
      </c>
      <c r="K3422" s="0" t="n">
        <v>9</v>
      </c>
      <c r="L3422" s="0" t="s">
        <v>2229</v>
      </c>
      <c r="N3422" s="0" t="n">
        <v>12.74</v>
      </c>
      <c r="O3422" s="60" t="n">
        <v>444.54</v>
      </c>
    </row>
    <row r="3423" customFormat="false" ht="15" hidden="false" customHeight="false" outlineLevel="0" collapsed="false">
      <c r="A3423" s="0" t="n">
        <v>3</v>
      </c>
      <c r="B3423" s="59" t="n">
        <v>46241</v>
      </c>
      <c r="C3423" s="0" t="n">
        <v>22</v>
      </c>
      <c r="D3423" s="0" t="s">
        <v>2172</v>
      </c>
      <c r="E3423" s="0" t="n">
        <v>42</v>
      </c>
      <c r="F3423" s="0" t="s">
        <v>81</v>
      </c>
      <c r="I3423" s="0" t="n">
        <v>4476</v>
      </c>
      <c r="J3423" s="0" t="n">
        <v>100010</v>
      </c>
      <c r="K3423" s="0" t="n">
        <v>11</v>
      </c>
      <c r="L3423" s="0" t="s">
        <v>2230</v>
      </c>
      <c r="N3423" s="0" t="n">
        <v>3.326</v>
      </c>
      <c r="O3423" s="60" t="n">
        <v>133.04</v>
      </c>
    </row>
    <row r="3424" customFormat="false" ht="15" hidden="false" customHeight="false" outlineLevel="0" collapsed="false">
      <c r="A3424" s="0" t="n">
        <v>3</v>
      </c>
      <c r="B3424" s="59" t="n">
        <v>46241</v>
      </c>
      <c r="C3424" s="0" t="n">
        <v>22</v>
      </c>
      <c r="D3424" s="0" t="s">
        <v>2172</v>
      </c>
      <c r="E3424" s="0" t="n">
        <v>42</v>
      </c>
      <c r="F3424" s="0" t="s">
        <v>81</v>
      </c>
      <c r="I3424" s="0" t="n">
        <v>4476</v>
      </c>
      <c r="J3424" s="0" t="n">
        <v>100011</v>
      </c>
      <c r="K3424" s="0" t="n">
        <v>12</v>
      </c>
      <c r="L3424" s="0" t="s">
        <v>2231</v>
      </c>
      <c r="N3424" s="0" t="n">
        <v>6.715</v>
      </c>
      <c r="O3424" s="60" t="n">
        <v>268.61</v>
      </c>
    </row>
    <row r="3425" customFormat="false" ht="15" hidden="false" customHeight="false" outlineLevel="0" collapsed="false">
      <c r="A3425" s="0" t="n">
        <v>3</v>
      </c>
      <c r="B3425" s="59" t="n">
        <v>46241</v>
      </c>
      <c r="C3425" s="0" t="n">
        <v>22</v>
      </c>
      <c r="D3425" s="0" t="s">
        <v>2172</v>
      </c>
      <c r="E3425" s="0" t="n">
        <v>42</v>
      </c>
      <c r="F3425" s="0" t="s">
        <v>81</v>
      </c>
      <c r="I3425" s="0" t="n">
        <v>4476</v>
      </c>
      <c r="J3425" s="0" t="n">
        <v>100012</v>
      </c>
      <c r="K3425" s="0" t="n">
        <v>13</v>
      </c>
      <c r="L3425" s="0" t="s">
        <v>2232</v>
      </c>
      <c r="N3425" s="0" t="n">
        <v>5.676</v>
      </c>
      <c r="O3425" s="60" t="n">
        <v>246.37</v>
      </c>
    </row>
    <row r="3426" customFormat="false" ht="15" hidden="false" customHeight="false" outlineLevel="0" collapsed="false">
      <c r="A3426" s="0" t="n">
        <v>3</v>
      </c>
      <c r="B3426" s="59" t="n">
        <v>46241</v>
      </c>
      <c r="C3426" s="0" t="n">
        <v>22</v>
      </c>
      <c r="D3426" s="0" t="s">
        <v>2172</v>
      </c>
      <c r="E3426" s="0" t="n">
        <v>42</v>
      </c>
      <c r="F3426" s="0" t="s">
        <v>81</v>
      </c>
      <c r="I3426" s="0" t="n">
        <v>4476</v>
      </c>
      <c r="J3426" s="0" t="n">
        <v>100013</v>
      </c>
      <c r="K3426" s="0" t="n">
        <v>14</v>
      </c>
      <c r="L3426" s="0" t="s">
        <v>2233</v>
      </c>
      <c r="N3426" s="0" t="n">
        <v>8.545</v>
      </c>
      <c r="O3426" s="60" t="n">
        <v>400</v>
      </c>
    </row>
    <row r="3427" customFormat="false" ht="15" hidden="false" customHeight="false" outlineLevel="0" collapsed="false">
      <c r="A3427" s="0" t="n">
        <v>3</v>
      </c>
      <c r="B3427" s="59" t="n">
        <v>46241</v>
      </c>
      <c r="C3427" s="0" t="n">
        <v>22</v>
      </c>
      <c r="D3427" s="0" t="s">
        <v>2172</v>
      </c>
      <c r="E3427" s="0" t="n">
        <v>42</v>
      </c>
      <c r="F3427" s="0" t="s">
        <v>81</v>
      </c>
      <c r="I3427" s="0" t="n">
        <v>4476</v>
      </c>
      <c r="J3427" s="0" t="n">
        <v>100014</v>
      </c>
      <c r="K3427" s="0" t="n">
        <v>15</v>
      </c>
      <c r="L3427" s="0" t="s">
        <v>2234</v>
      </c>
      <c r="N3427" s="0" t="n">
        <v>3.74</v>
      </c>
      <c r="O3427" s="60" t="n">
        <v>178.26</v>
      </c>
    </row>
    <row r="3428" customFormat="false" ht="15" hidden="false" customHeight="false" outlineLevel="0" collapsed="false">
      <c r="A3428" s="0" t="n">
        <v>3</v>
      </c>
      <c r="B3428" s="59" t="n">
        <v>46241</v>
      </c>
      <c r="C3428" s="0" t="n">
        <v>22</v>
      </c>
      <c r="D3428" s="0" t="s">
        <v>2172</v>
      </c>
      <c r="E3428" s="0" t="n">
        <v>42</v>
      </c>
      <c r="F3428" s="0" t="s">
        <v>81</v>
      </c>
      <c r="I3428" s="0" t="n">
        <v>4476</v>
      </c>
      <c r="J3428" s="0" t="n">
        <v>100015</v>
      </c>
      <c r="K3428" s="0" t="n">
        <v>16</v>
      </c>
      <c r="L3428" s="0" t="s">
        <v>2235</v>
      </c>
      <c r="N3428" s="0" t="n">
        <v>1.404</v>
      </c>
      <c r="O3428" s="60" t="n">
        <v>60.94</v>
      </c>
    </row>
    <row r="3429" customFormat="false" ht="15" hidden="false" customHeight="false" outlineLevel="0" collapsed="false">
      <c r="A3429" s="0" t="n">
        <v>3</v>
      </c>
      <c r="B3429" s="59" t="n">
        <v>46241</v>
      </c>
      <c r="C3429" s="0" t="n">
        <v>22</v>
      </c>
      <c r="D3429" s="0" t="s">
        <v>2172</v>
      </c>
      <c r="E3429" s="0" t="n">
        <v>42</v>
      </c>
      <c r="F3429" s="0" t="s">
        <v>81</v>
      </c>
      <c r="I3429" s="0" t="n">
        <v>4476</v>
      </c>
      <c r="J3429" s="0" t="n">
        <v>100016</v>
      </c>
      <c r="K3429" s="0" t="n">
        <v>17</v>
      </c>
      <c r="L3429" s="0" t="s">
        <v>2236</v>
      </c>
      <c r="N3429" s="0" t="n">
        <v>2.422</v>
      </c>
      <c r="O3429" s="60" t="n">
        <v>113.38</v>
      </c>
    </row>
    <row r="3430" customFormat="false" ht="15" hidden="false" customHeight="false" outlineLevel="0" collapsed="false">
      <c r="A3430" s="0" t="n">
        <v>3</v>
      </c>
      <c r="B3430" s="59" t="n">
        <v>46241</v>
      </c>
      <c r="C3430" s="0" t="n">
        <v>22</v>
      </c>
      <c r="D3430" s="0" t="s">
        <v>2172</v>
      </c>
      <c r="E3430" s="0" t="n">
        <v>42</v>
      </c>
      <c r="F3430" s="0" t="s">
        <v>81</v>
      </c>
      <c r="I3430" s="0" t="n">
        <v>4476</v>
      </c>
      <c r="J3430" s="0" t="n">
        <v>100017</v>
      </c>
      <c r="K3430" s="0" t="n">
        <v>18</v>
      </c>
      <c r="L3430" s="0" t="s">
        <v>2237</v>
      </c>
      <c r="N3430" s="0" t="n">
        <v>1.468</v>
      </c>
      <c r="O3430" s="60" t="n">
        <v>81.22</v>
      </c>
    </row>
    <row r="3431" customFormat="false" ht="15" hidden="false" customHeight="false" outlineLevel="0" collapsed="false">
      <c r="A3431" s="0" t="n">
        <v>3</v>
      </c>
      <c r="B3431" s="59" t="n">
        <v>46241</v>
      </c>
      <c r="C3431" s="0" t="n">
        <v>22</v>
      </c>
      <c r="D3431" s="0" t="s">
        <v>2172</v>
      </c>
      <c r="E3431" s="0" t="n">
        <v>42</v>
      </c>
      <c r="F3431" s="0" t="s">
        <v>81</v>
      </c>
      <c r="I3431" s="0" t="n">
        <v>4476</v>
      </c>
      <c r="J3431" s="0" t="n">
        <v>100020</v>
      </c>
      <c r="K3431" s="0" t="n">
        <v>21</v>
      </c>
      <c r="L3431" s="0" t="s">
        <v>2337</v>
      </c>
      <c r="N3431" s="0" t="n">
        <v>1.972</v>
      </c>
      <c r="O3431" s="60" t="n">
        <v>68.81</v>
      </c>
    </row>
    <row r="3432" customFormat="false" ht="15" hidden="false" customHeight="false" outlineLevel="0" collapsed="false">
      <c r="A3432" s="0" t="n">
        <v>3</v>
      </c>
      <c r="B3432" s="59" t="n">
        <v>46241</v>
      </c>
      <c r="C3432" s="0" t="n">
        <v>22</v>
      </c>
      <c r="D3432" s="0" t="s">
        <v>2172</v>
      </c>
      <c r="E3432" s="0" t="n">
        <v>42</v>
      </c>
      <c r="F3432" s="0" t="s">
        <v>81</v>
      </c>
      <c r="I3432" s="0" t="n">
        <v>4476</v>
      </c>
      <c r="J3432" s="0" t="n">
        <v>100057</v>
      </c>
      <c r="K3432" s="0" t="n">
        <v>58</v>
      </c>
      <c r="L3432" s="0" t="s">
        <v>3604</v>
      </c>
      <c r="N3432" s="0" t="n">
        <v>1.646</v>
      </c>
      <c r="O3432" s="60" t="n">
        <v>58.84</v>
      </c>
    </row>
    <row r="3433" customFormat="false" ht="15" hidden="false" customHeight="false" outlineLevel="0" collapsed="false">
      <c r="A3433" s="0" t="n">
        <v>3</v>
      </c>
      <c r="B3433" s="59" t="n">
        <v>46241</v>
      </c>
      <c r="C3433" s="0" t="n">
        <v>22</v>
      </c>
      <c r="D3433" s="0" t="s">
        <v>2172</v>
      </c>
      <c r="E3433" s="0" t="n">
        <v>42</v>
      </c>
      <c r="F3433" s="0" t="s">
        <v>81</v>
      </c>
      <c r="I3433" s="0" t="n">
        <v>4476</v>
      </c>
      <c r="J3433" s="0" t="n">
        <v>100638</v>
      </c>
      <c r="K3433" s="0" t="n">
        <v>508</v>
      </c>
      <c r="L3433" s="0" t="s">
        <v>2178</v>
      </c>
      <c r="N3433" s="0" t="n">
        <v>2.042</v>
      </c>
      <c r="O3433" s="60" t="n">
        <v>3.46</v>
      </c>
    </row>
    <row r="3434" customFormat="false" ht="15" hidden="false" customHeight="false" outlineLevel="0" collapsed="false">
      <c r="A3434" s="0" t="n">
        <v>3</v>
      </c>
      <c r="B3434" s="59" t="n">
        <v>46241</v>
      </c>
      <c r="C3434" s="0" t="n">
        <v>22</v>
      </c>
      <c r="D3434" s="0" t="s">
        <v>2172</v>
      </c>
      <c r="E3434" s="0" t="n">
        <v>42</v>
      </c>
      <c r="F3434" s="0" t="s">
        <v>81</v>
      </c>
      <c r="I3434" s="0" t="n">
        <v>4476</v>
      </c>
      <c r="J3434" s="0" t="n">
        <v>100638</v>
      </c>
      <c r="K3434" s="0" t="n">
        <v>508</v>
      </c>
      <c r="L3434" s="0" t="s">
        <v>2178</v>
      </c>
      <c r="N3434" s="0" t="n">
        <v>2.682</v>
      </c>
      <c r="O3434" s="60" t="n">
        <v>4.04</v>
      </c>
    </row>
    <row r="3435" customFormat="false" ht="15" hidden="false" customHeight="false" outlineLevel="0" collapsed="false">
      <c r="A3435" s="0" t="n">
        <v>3</v>
      </c>
      <c r="B3435" s="59" t="n">
        <v>46241</v>
      </c>
      <c r="C3435" s="0" t="n">
        <v>22</v>
      </c>
      <c r="D3435" s="0" t="s">
        <v>2172</v>
      </c>
      <c r="E3435" s="0" t="n">
        <v>42</v>
      </c>
      <c r="F3435" s="0" t="s">
        <v>81</v>
      </c>
      <c r="I3435" s="0" t="n">
        <v>4476</v>
      </c>
      <c r="J3435" s="0" t="n">
        <v>100520</v>
      </c>
      <c r="K3435" s="0" t="n">
        <v>507</v>
      </c>
      <c r="L3435" s="0" t="s">
        <v>2179</v>
      </c>
      <c r="N3435" s="0" t="n">
        <v>12.78</v>
      </c>
      <c r="O3435" s="60" t="n">
        <v>32.53</v>
      </c>
    </row>
    <row r="3436" customFormat="false" ht="15" hidden="false" customHeight="false" outlineLevel="0" collapsed="false">
      <c r="A3436" s="0" t="n">
        <v>3</v>
      </c>
      <c r="B3436" s="59" t="n">
        <v>46241</v>
      </c>
      <c r="C3436" s="0" t="n">
        <v>22</v>
      </c>
      <c r="D3436" s="0" t="s">
        <v>2172</v>
      </c>
      <c r="E3436" s="0" t="n">
        <v>42</v>
      </c>
      <c r="F3436" s="0" t="s">
        <v>81</v>
      </c>
      <c r="I3436" s="0" t="n">
        <v>4476</v>
      </c>
      <c r="J3436" s="0" t="n">
        <v>100520</v>
      </c>
      <c r="K3436" s="0" t="n">
        <v>507</v>
      </c>
      <c r="L3436" s="0" t="s">
        <v>2179</v>
      </c>
      <c r="N3436" s="0" t="n">
        <v>3.684</v>
      </c>
      <c r="O3436" s="60" t="n">
        <v>8.34</v>
      </c>
    </row>
    <row r="3437" customFormat="false" ht="15" hidden="false" customHeight="false" outlineLevel="0" collapsed="false">
      <c r="A3437" s="0" t="n">
        <v>3</v>
      </c>
      <c r="B3437" s="59" t="n">
        <v>46241</v>
      </c>
      <c r="C3437" s="0" t="n">
        <v>22</v>
      </c>
      <c r="D3437" s="0" t="s">
        <v>2172</v>
      </c>
      <c r="E3437" s="0" t="n">
        <v>42</v>
      </c>
      <c r="F3437" s="0" t="s">
        <v>81</v>
      </c>
      <c r="I3437" s="0" t="n">
        <v>4476</v>
      </c>
      <c r="J3437" s="0" t="n">
        <v>110455</v>
      </c>
      <c r="K3437" s="0" t="n">
        <v>53212</v>
      </c>
      <c r="L3437" s="0" t="s">
        <v>2180</v>
      </c>
      <c r="N3437" s="0" t="n">
        <v>0.856</v>
      </c>
      <c r="O3437" s="60" t="n">
        <v>0.01</v>
      </c>
    </row>
    <row r="3438" customFormat="false" ht="15" hidden="false" customHeight="false" outlineLevel="0" collapsed="false">
      <c r="A3438" s="0" t="n">
        <v>3</v>
      </c>
      <c r="B3438" s="59" t="n">
        <v>46241</v>
      </c>
      <c r="C3438" s="0" t="n">
        <v>22</v>
      </c>
      <c r="D3438" s="0" t="s">
        <v>2172</v>
      </c>
      <c r="E3438" s="0" t="n">
        <v>42</v>
      </c>
      <c r="F3438" s="0" t="s">
        <v>81</v>
      </c>
      <c r="I3438" s="0" t="n">
        <v>4476</v>
      </c>
      <c r="J3438" s="0" t="n">
        <v>110455</v>
      </c>
      <c r="K3438" s="0" t="n">
        <v>53212</v>
      </c>
      <c r="L3438" s="0" t="s">
        <v>2180</v>
      </c>
      <c r="N3438" s="0" t="n">
        <v>0.756</v>
      </c>
      <c r="O3438" s="60" t="n">
        <v>0</v>
      </c>
    </row>
    <row r="3439" customFormat="false" ht="15" hidden="false" customHeight="false" outlineLevel="0" collapsed="false">
      <c r="A3439" s="0" t="n">
        <v>3</v>
      </c>
      <c r="B3439" s="59" t="n">
        <v>46241</v>
      </c>
      <c r="C3439" s="0" t="n">
        <v>100</v>
      </c>
      <c r="D3439" s="0" t="s">
        <v>2181</v>
      </c>
      <c r="E3439" s="0" t="n">
        <v>42</v>
      </c>
      <c r="F3439" s="0" t="s">
        <v>81</v>
      </c>
      <c r="I3439" s="0" t="n">
        <v>1513501</v>
      </c>
      <c r="J3439" s="0" t="n">
        <v>100000</v>
      </c>
      <c r="K3439" s="0" t="n">
        <v>1</v>
      </c>
      <c r="L3439" s="0" t="s">
        <v>2173</v>
      </c>
      <c r="N3439" s="0" t="n">
        <v>2.618</v>
      </c>
      <c r="O3439" s="60" t="n">
        <v>56.99</v>
      </c>
    </row>
    <row r="3440" customFormat="false" ht="15" hidden="false" customHeight="false" outlineLevel="0" collapsed="false">
      <c r="A3440" s="0" t="n">
        <v>3</v>
      </c>
      <c r="B3440" s="59" t="n">
        <v>46241</v>
      </c>
      <c r="C3440" s="0" t="n">
        <v>100</v>
      </c>
      <c r="D3440" s="0" t="s">
        <v>2181</v>
      </c>
      <c r="E3440" s="0" t="n">
        <v>42</v>
      </c>
      <c r="F3440" s="0" t="s">
        <v>81</v>
      </c>
      <c r="I3440" s="0" t="n">
        <v>1513501</v>
      </c>
      <c r="J3440" s="0" t="n">
        <v>100001</v>
      </c>
      <c r="K3440" s="0" t="n">
        <v>2</v>
      </c>
      <c r="L3440" s="0" t="s">
        <v>2174</v>
      </c>
      <c r="N3440" s="0" t="n">
        <v>7.73</v>
      </c>
      <c r="O3440" s="60" t="n">
        <v>179.89</v>
      </c>
    </row>
    <row r="3441" customFormat="false" ht="15" hidden="false" customHeight="false" outlineLevel="0" collapsed="false">
      <c r="A3441" s="0" t="n">
        <v>3</v>
      </c>
      <c r="B3441" s="59" t="n">
        <v>46241</v>
      </c>
      <c r="C3441" s="0" t="n">
        <v>100</v>
      </c>
      <c r="D3441" s="0" t="s">
        <v>2181</v>
      </c>
      <c r="E3441" s="0" t="n">
        <v>42</v>
      </c>
      <c r="F3441" s="0" t="s">
        <v>81</v>
      </c>
      <c r="I3441" s="0" t="n">
        <v>1513501</v>
      </c>
      <c r="J3441" s="0" t="n">
        <v>100002</v>
      </c>
      <c r="K3441" s="0" t="n">
        <v>3</v>
      </c>
      <c r="L3441" s="0" t="s">
        <v>2175</v>
      </c>
      <c r="N3441" s="0" t="n">
        <v>16.78</v>
      </c>
      <c r="O3441" s="60" t="n">
        <v>403.09</v>
      </c>
    </row>
    <row r="3442" customFormat="false" ht="15" hidden="false" customHeight="false" outlineLevel="0" collapsed="false">
      <c r="A3442" s="0" t="n">
        <v>3</v>
      </c>
      <c r="B3442" s="59" t="n">
        <v>46241</v>
      </c>
      <c r="C3442" s="0" t="n">
        <v>100</v>
      </c>
      <c r="D3442" s="0" t="s">
        <v>2181</v>
      </c>
      <c r="E3442" s="0" t="n">
        <v>42</v>
      </c>
      <c r="F3442" s="0" t="s">
        <v>81</v>
      </c>
      <c r="I3442" s="0" t="n">
        <v>1513501</v>
      </c>
      <c r="J3442" s="0" t="n">
        <v>100003</v>
      </c>
      <c r="K3442" s="0" t="n">
        <v>4</v>
      </c>
      <c r="L3442" s="0" t="s">
        <v>2176</v>
      </c>
      <c r="N3442" s="0" t="n">
        <v>14.665</v>
      </c>
      <c r="O3442" s="60" t="n">
        <v>385.32</v>
      </c>
    </row>
    <row r="3443" customFormat="false" ht="15" hidden="false" customHeight="false" outlineLevel="0" collapsed="false">
      <c r="A3443" s="0" t="n">
        <v>3</v>
      </c>
      <c r="B3443" s="59" t="n">
        <v>46241</v>
      </c>
      <c r="C3443" s="0" t="n">
        <v>100</v>
      </c>
      <c r="D3443" s="0" t="s">
        <v>2181</v>
      </c>
      <c r="E3443" s="0" t="n">
        <v>42</v>
      </c>
      <c r="F3443" s="0" t="s">
        <v>81</v>
      </c>
      <c r="I3443" s="0" t="n">
        <v>1513501</v>
      </c>
      <c r="J3443" s="0" t="n">
        <v>100004</v>
      </c>
      <c r="K3443" s="0" t="n">
        <v>5</v>
      </c>
      <c r="L3443" s="0" t="s">
        <v>2411</v>
      </c>
      <c r="N3443" s="0" t="n">
        <v>1.61</v>
      </c>
      <c r="O3443" s="60" t="n">
        <v>27.79</v>
      </c>
    </row>
    <row r="3444" customFormat="false" ht="15" hidden="false" customHeight="false" outlineLevel="0" collapsed="false">
      <c r="A3444" s="0" t="n">
        <v>3</v>
      </c>
      <c r="B3444" s="59" t="n">
        <v>46241</v>
      </c>
      <c r="C3444" s="0" t="n">
        <v>100</v>
      </c>
      <c r="D3444" s="0" t="s">
        <v>2181</v>
      </c>
      <c r="E3444" s="0" t="n">
        <v>42</v>
      </c>
      <c r="F3444" s="0" t="s">
        <v>81</v>
      </c>
      <c r="I3444" s="0" t="n">
        <v>1513501</v>
      </c>
      <c r="J3444" s="0" t="n">
        <v>100007</v>
      </c>
      <c r="K3444" s="0" t="n">
        <v>8</v>
      </c>
      <c r="L3444" s="0" t="s">
        <v>2177</v>
      </c>
      <c r="N3444" s="0" t="n">
        <v>5.156</v>
      </c>
      <c r="O3444" s="60" t="n">
        <v>131.6</v>
      </c>
    </row>
    <row r="3445" customFormat="false" ht="15" hidden="false" customHeight="false" outlineLevel="0" collapsed="false">
      <c r="A3445" s="0" t="n">
        <v>3</v>
      </c>
      <c r="B3445" s="59" t="n">
        <v>46241</v>
      </c>
      <c r="C3445" s="0" t="n">
        <v>100</v>
      </c>
      <c r="D3445" s="0" t="s">
        <v>2181</v>
      </c>
      <c r="E3445" s="0" t="n">
        <v>42</v>
      </c>
      <c r="F3445" s="0" t="s">
        <v>81</v>
      </c>
      <c r="I3445" s="0" t="n">
        <v>1513501</v>
      </c>
      <c r="J3445" s="0" t="n">
        <v>100638</v>
      </c>
      <c r="K3445" s="0" t="n">
        <v>508</v>
      </c>
      <c r="L3445" s="0" t="s">
        <v>2178</v>
      </c>
      <c r="N3445" s="0" t="n">
        <v>1.892</v>
      </c>
      <c r="O3445" s="60" t="n">
        <v>2.83</v>
      </c>
    </row>
    <row r="3446" customFormat="false" ht="15" hidden="false" customHeight="false" outlineLevel="0" collapsed="false">
      <c r="A3446" s="0" t="n">
        <v>3</v>
      </c>
      <c r="B3446" s="59" t="n">
        <v>46241</v>
      </c>
      <c r="C3446" s="0" t="n">
        <v>100</v>
      </c>
      <c r="D3446" s="0" t="s">
        <v>2181</v>
      </c>
      <c r="E3446" s="0" t="n">
        <v>42</v>
      </c>
      <c r="F3446" s="0" t="s">
        <v>81</v>
      </c>
      <c r="I3446" s="0" t="n">
        <v>1513501</v>
      </c>
      <c r="J3446" s="0" t="n">
        <v>100520</v>
      </c>
      <c r="K3446" s="0" t="n">
        <v>507</v>
      </c>
      <c r="L3446" s="0" t="s">
        <v>2179</v>
      </c>
      <c r="N3446" s="0" t="n">
        <v>3.154</v>
      </c>
      <c r="O3446" s="60" t="n">
        <v>7.08</v>
      </c>
    </row>
    <row r="3447" customFormat="false" ht="15" hidden="false" customHeight="false" outlineLevel="0" collapsed="false">
      <c r="A3447" s="0" t="n">
        <v>3</v>
      </c>
      <c r="B3447" s="59" t="n">
        <v>46241</v>
      </c>
      <c r="C3447" s="0" t="n">
        <v>100</v>
      </c>
      <c r="D3447" s="0" t="s">
        <v>2181</v>
      </c>
      <c r="E3447" s="0" t="n">
        <v>42</v>
      </c>
      <c r="F3447" s="0" t="s">
        <v>81</v>
      </c>
      <c r="I3447" s="0" t="n">
        <v>1513501</v>
      </c>
      <c r="J3447" s="0" t="n">
        <v>110455</v>
      </c>
      <c r="K3447" s="0" t="n">
        <v>53212</v>
      </c>
      <c r="L3447" s="0" t="s">
        <v>2180</v>
      </c>
      <c r="N3447" s="0" t="n">
        <v>0.695</v>
      </c>
      <c r="O3447" s="60" t="n">
        <v>0.01</v>
      </c>
    </row>
    <row r="3448" customFormat="false" ht="15" hidden="false" customHeight="false" outlineLevel="0" collapsed="false">
      <c r="A3448" s="0" t="n">
        <v>3</v>
      </c>
      <c r="B3448" s="59" t="n">
        <v>46241</v>
      </c>
      <c r="C3448" s="0" t="n">
        <v>100</v>
      </c>
      <c r="D3448" s="0" t="s">
        <v>2181</v>
      </c>
      <c r="E3448" s="0" t="n">
        <v>42</v>
      </c>
      <c r="F3448" s="0" t="s">
        <v>81</v>
      </c>
      <c r="I3448" s="0" t="n">
        <v>1514577</v>
      </c>
      <c r="J3448" s="0" t="n">
        <v>100000</v>
      </c>
      <c r="K3448" s="0" t="n">
        <v>1</v>
      </c>
      <c r="L3448" s="0" t="s">
        <v>2173</v>
      </c>
      <c r="N3448" s="0" t="n">
        <v>2.438</v>
      </c>
      <c r="O3448" s="60" t="n">
        <v>53.53</v>
      </c>
    </row>
    <row r="3449" customFormat="false" ht="15" hidden="false" customHeight="false" outlineLevel="0" collapsed="false">
      <c r="A3449" s="0" t="n">
        <v>3</v>
      </c>
      <c r="B3449" s="59" t="n">
        <v>46241</v>
      </c>
      <c r="C3449" s="0" t="n">
        <v>100</v>
      </c>
      <c r="D3449" s="0" t="s">
        <v>2181</v>
      </c>
      <c r="E3449" s="0" t="n">
        <v>42</v>
      </c>
      <c r="F3449" s="0" t="s">
        <v>81</v>
      </c>
      <c r="I3449" s="0" t="n">
        <v>1514577</v>
      </c>
      <c r="J3449" s="0" t="n">
        <v>100001</v>
      </c>
      <c r="K3449" s="0" t="n">
        <v>2</v>
      </c>
      <c r="L3449" s="0" t="s">
        <v>2174</v>
      </c>
      <c r="N3449" s="0" t="n">
        <v>8.45</v>
      </c>
      <c r="O3449" s="60" t="n">
        <v>198.34</v>
      </c>
    </row>
    <row r="3450" customFormat="false" ht="15" hidden="false" customHeight="false" outlineLevel="0" collapsed="false">
      <c r="A3450" s="0" t="n">
        <v>3</v>
      </c>
      <c r="B3450" s="59" t="n">
        <v>46241</v>
      </c>
      <c r="C3450" s="0" t="n">
        <v>100</v>
      </c>
      <c r="D3450" s="0" t="s">
        <v>2181</v>
      </c>
      <c r="E3450" s="0" t="n">
        <v>42</v>
      </c>
      <c r="F3450" s="0" t="s">
        <v>81</v>
      </c>
      <c r="I3450" s="0" t="n">
        <v>1514577</v>
      </c>
      <c r="J3450" s="0" t="n">
        <v>100002</v>
      </c>
      <c r="K3450" s="0" t="n">
        <v>3</v>
      </c>
      <c r="L3450" s="0" t="s">
        <v>2175</v>
      </c>
      <c r="N3450" s="0" t="n">
        <v>19.45</v>
      </c>
      <c r="O3450" s="60" t="n">
        <v>471.28</v>
      </c>
    </row>
    <row r="3451" customFormat="false" ht="15" hidden="false" customHeight="false" outlineLevel="0" collapsed="false">
      <c r="A3451" s="0" t="n">
        <v>3</v>
      </c>
      <c r="B3451" s="59" t="n">
        <v>46241</v>
      </c>
      <c r="C3451" s="0" t="n">
        <v>100</v>
      </c>
      <c r="D3451" s="0" t="s">
        <v>2181</v>
      </c>
      <c r="E3451" s="0" t="n">
        <v>42</v>
      </c>
      <c r="F3451" s="0" t="s">
        <v>81</v>
      </c>
      <c r="I3451" s="0" t="n">
        <v>1514577</v>
      </c>
      <c r="J3451" s="0" t="n">
        <v>100003</v>
      </c>
      <c r="K3451" s="0" t="n">
        <v>4</v>
      </c>
      <c r="L3451" s="0" t="s">
        <v>2176</v>
      </c>
      <c r="N3451" s="0" t="n">
        <v>13.9</v>
      </c>
      <c r="O3451" s="60" t="n">
        <v>368.38</v>
      </c>
    </row>
    <row r="3452" customFormat="false" ht="15" hidden="false" customHeight="false" outlineLevel="0" collapsed="false">
      <c r="A3452" s="0" t="n">
        <v>3</v>
      </c>
      <c r="B3452" s="59" t="n">
        <v>46241</v>
      </c>
      <c r="C3452" s="0" t="n">
        <v>100</v>
      </c>
      <c r="D3452" s="0" t="s">
        <v>2181</v>
      </c>
      <c r="E3452" s="0" t="n">
        <v>42</v>
      </c>
      <c r="F3452" s="0" t="s">
        <v>81</v>
      </c>
      <c r="I3452" s="0" t="n">
        <v>1514577</v>
      </c>
      <c r="J3452" s="0" t="n">
        <v>100004</v>
      </c>
      <c r="K3452" s="0" t="n">
        <v>5</v>
      </c>
      <c r="L3452" s="0" t="s">
        <v>2411</v>
      </c>
      <c r="N3452" s="0" t="n">
        <v>1.95</v>
      </c>
      <c r="O3452" s="60" t="n">
        <v>33.96</v>
      </c>
    </row>
    <row r="3453" customFormat="false" ht="15" hidden="false" customHeight="false" outlineLevel="0" collapsed="false">
      <c r="A3453" s="0" t="n">
        <v>3</v>
      </c>
      <c r="B3453" s="59" t="n">
        <v>46241</v>
      </c>
      <c r="C3453" s="0" t="n">
        <v>100</v>
      </c>
      <c r="D3453" s="0" t="s">
        <v>2181</v>
      </c>
      <c r="E3453" s="0" t="n">
        <v>42</v>
      </c>
      <c r="F3453" s="0" t="s">
        <v>81</v>
      </c>
      <c r="I3453" s="0" t="n">
        <v>1514577</v>
      </c>
      <c r="J3453" s="0" t="n">
        <v>100006</v>
      </c>
      <c r="K3453" s="0" t="n">
        <v>7</v>
      </c>
      <c r="L3453" s="0" t="s">
        <v>2228</v>
      </c>
      <c r="N3453" s="0" t="n">
        <v>2.412</v>
      </c>
      <c r="O3453" s="60" t="n">
        <v>73.06</v>
      </c>
    </row>
    <row r="3454" customFormat="false" ht="15" hidden="false" customHeight="false" outlineLevel="0" collapsed="false">
      <c r="A3454" s="0" t="n">
        <v>3</v>
      </c>
      <c r="B3454" s="59" t="n">
        <v>46241</v>
      </c>
      <c r="C3454" s="0" t="n">
        <v>100</v>
      </c>
      <c r="D3454" s="0" t="s">
        <v>2181</v>
      </c>
      <c r="E3454" s="0" t="n">
        <v>42</v>
      </c>
      <c r="F3454" s="0" t="s">
        <v>81</v>
      </c>
      <c r="I3454" s="0" t="n">
        <v>1514577</v>
      </c>
      <c r="J3454" s="0" t="n">
        <v>100007</v>
      </c>
      <c r="K3454" s="0" t="n">
        <v>8</v>
      </c>
      <c r="L3454" s="0" t="s">
        <v>2177</v>
      </c>
      <c r="N3454" s="0" t="n">
        <v>4.578</v>
      </c>
      <c r="O3454" s="60" t="n">
        <v>117.86</v>
      </c>
    </row>
    <row r="3455" customFormat="false" ht="15" hidden="false" customHeight="false" outlineLevel="0" collapsed="false">
      <c r="A3455" s="0" t="n">
        <v>3</v>
      </c>
      <c r="B3455" s="59" t="n">
        <v>46241</v>
      </c>
      <c r="C3455" s="0" t="n">
        <v>100</v>
      </c>
      <c r="D3455" s="0" t="s">
        <v>2181</v>
      </c>
      <c r="E3455" s="0" t="n">
        <v>42</v>
      </c>
      <c r="F3455" s="0" t="s">
        <v>81</v>
      </c>
      <c r="I3455" s="0" t="n">
        <v>1514577</v>
      </c>
      <c r="J3455" s="0" t="n">
        <v>100638</v>
      </c>
      <c r="K3455" s="0" t="n">
        <v>508</v>
      </c>
      <c r="L3455" s="0" t="s">
        <v>2178</v>
      </c>
      <c r="N3455" s="0" t="n">
        <v>2.682</v>
      </c>
      <c r="O3455" s="60" t="n">
        <v>4.04</v>
      </c>
    </row>
    <row r="3456" customFormat="false" ht="15" hidden="false" customHeight="false" outlineLevel="0" collapsed="false">
      <c r="A3456" s="0" t="n">
        <v>3</v>
      </c>
      <c r="B3456" s="59" t="n">
        <v>46241</v>
      </c>
      <c r="C3456" s="0" t="n">
        <v>100</v>
      </c>
      <c r="D3456" s="0" t="s">
        <v>2181</v>
      </c>
      <c r="E3456" s="0" t="n">
        <v>42</v>
      </c>
      <c r="F3456" s="0" t="s">
        <v>81</v>
      </c>
      <c r="I3456" s="0" t="n">
        <v>1514577</v>
      </c>
      <c r="J3456" s="0" t="n">
        <v>100520</v>
      </c>
      <c r="K3456" s="0" t="n">
        <v>507</v>
      </c>
      <c r="L3456" s="0" t="s">
        <v>2179</v>
      </c>
      <c r="N3456" s="0" t="n">
        <v>3.684</v>
      </c>
      <c r="O3456" s="60" t="n">
        <v>8.34</v>
      </c>
    </row>
    <row r="3457" customFormat="false" ht="15" hidden="false" customHeight="false" outlineLevel="0" collapsed="false">
      <c r="A3457" s="0" t="n">
        <v>3</v>
      </c>
      <c r="B3457" s="59" t="n">
        <v>46241</v>
      </c>
      <c r="C3457" s="0" t="n">
        <v>100</v>
      </c>
      <c r="D3457" s="0" t="s">
        <v>2181</v>
      </c>
      <c r="E3457" s="0" t="n">
        <v>42</v>
      </c>
      <c r="F3457" s="0" t="s">
        <v>81</v>
      </c>
      <c r="I3457" s="0" t="n">
        <v>1514577</v>
      </c>
      <c r="J3457" s="0" t="n">
        <v>110455</v>
      </c>
      <c r="K3457" s="0" t="n">
        <v>53212</v>
      </c>
      <c r="L3457" s="0" t="s">
        <v>2180</v>
      </c>
      <c r="N3457" s="0" t="n">
        <v>0.856</v>
      </c>
      <c r="O3457" s="60" t="n">
        <v>0.01</v>
      </c>
    </row>
    <row r="3458" customFormat="false" ht="15" hidden="false" customHeight="false" outlineLevel="0" collapsed="false">
      <c r="A3458" s="0" t="n">
        <v>3</v>
      </c>
      <c r="B3458" s="59" t="n">
        <v>46241</v>
      </c>
      <c r="C3458" s="0" t="n">
        <v>100</v>
      </c>
      <c r="D3458" s="0" t="s">
        <v>2181</v>
      </c>
      <c r="E3458" s="0" t="n">
        <v>42</v>
      </c>
      <c r="F3458" s="0" t="s">
        <v>81</v>
      </c>
      <c r="I3458" s="0" t="n">
        <v>1514580</v>
      </c>
      <c r="J3458" s="0" t="n">
        <v>100006</v>
      </c>
      <c r="K3458" s="0" t="n">
        <v>7</v>
      </c>
      <c r="L3458" s="0" t="s">
        <v>2228</v>
      </c>
      <c r="N3458" s="0" t="n">
        <v>4.73</v>
      </c>
      <c r="O3458" s="60" t="n">
        <v>161.02</v>
      </c>
    </row>
    <row r="3459" customFormat="false" ht="15" hidden="false" customHeight="false" outlineLevel="0" collapsed="false">
      <c r="A3459" s="0" t="n">
        <v>3</v>
      </c>
      <c r="B3459" s="59" t="n">
        <v>46241</v>
      </c>
      <c r="C3459" s="0" t="n">
        <v>100</v>
      </c>
      <c r="D3459" s="0" t="s">
        <v>2181</v>
      </c>
      <c r="E3459" s="0" t="n">
        <v>42</v>
      </c>
      <c r="F3459" s="0" t="s">
        <v>81</v>
      </c>
      <c r="I3459" s="0" t="n">
        <v>1514580</v>
      </c>
      <c r="J3459" s="0" t="n">
        <v>100007</v>
      </c>
      <c r="K3459" s="0" t="n">
        <v>8</v>
      </c>
      <c r="L3459" s="0" t="s">
        <v>2177</v>
      </c>
      <c r="N3459" s="0" t="n">
        <v>3.988</v>
      </c>
      <c r="O3459" s="60" t="n">
        <v>115.39</v>
      </c>
    </row>
    <row r="3460" customFormat="false" ht="15" hidden="false" customHeight="false" outlineLevel="0" collapsed="false">
      <c r="A3460" s="0" t="n">
        <v>3</v>
      </c>
      <c r="B3460" s="59" t="n">
        <v>46241</v>
      </c>
      <c r="C3460" s="0" t="n">
        <v>100</v>
      </c>
      <c r="D3460" s="0" t="s">
        <v>2181</v>
      </c>
      <c r="E3460" s="0" t="n">
        <v>42</v>
      </c>
      <c r="F3460" s="0" t="s">
        <v>81</v>
      </c>
      <c r="I3460" s="0" t="n">
        <v>1514580</v>
      </c>
      <c r="J3460" s="0" t="n">
        <v>100008</v>
      </c>
      <c r="K3460" s="0" t="n">
        <v>9</v>
      </c>
      <c r="L3460" s="0" t="s">
        <v>2229</v>
      </c>
      <c r="N3460" s="0" t="n">
        <v>12.74</v>
      </c>
      <c r="O3460" s="60" t="n">
        <v>444.54</v>
      </c>
    </row>
    <row r="3461" customFormat="false" ht="15" hidden="false" customHeight="false" outlineLevel="0" collapsed="false">
      <c r="A3461" s="0" t="n">
        <v>3</v>
      </c>
      <c r="B3461" s="59" t="n">
        <v>46241</v>
      </c>
      <c r="C3461" s="0" t="n">
        <v>100</v>
      </c>
      <c r="D3461" s="0" t="s">
        <v>2181</v>
      </c>
      <c r="E3461" s="0" t="n">
        <v>42</v>
      </c>
      <c r="F3461" s="0" t="s">
        <v>81</v>
      </c>
      <c r="I3461" s="0" t="n">
        <v>1514580</v>
      </c>
      <c r="J3461" s="0" t="n">
        <v>100010</v>
      </c>
      <c r="K3461" s="0" t="n">
        <v>11</v>
      </c>
      <c r="L3461" s="0" t="s">
        <v>2230</v>
      </c>
      <c r="N3461" s="0" t="n">
        <v>3.326</v>
      </c>
      <c r="O3461" s="60" t="n">
        <v>133.04</v>
      </c>
    </row>
    <row r="3462" customFormat="false" ht="15" hidden="false" customHeight="false" outlineLevel="0" collapsed="false">
      <c r="A3462" s="0" t="n">
        <v>3</v>
      </c>
      <c r="B3462" s="59" t="n">
        <v>46241</v>
      </c>
      <c r="C3462" s="0" t="n">
        <v>100</v>
      </c>
      <c r="D3462" s="0" t="s">
        <v>2181</v>
      </c>
      <c r="E3462" s="0" t="n">
        <v>42</v>
      </c>
      <c r="F3462" s="0" t="s">
        <v>81</v>
      </c>
      <c r="I3462" s="0" t="n">
        <v>1514580</v>
      </c>
      <c r="J3462" s="0" t="n">
        <v>100011</v>
      </c>
      <c r="K3462" s="0" t="n">
        <v>12</v>
      </c>
      <c r="L3462" s="0" t="s">
        <v>2231</v>
      </c>
      <c r="N3462" s="0" t="n">
        <v>6.715</v>
      </c>
      <c r="O3462" s="60" t="n">
        <v>268.61</v>
      </c>
    </row>
    <row r="3463" customFormat="false" ht="15" hidden="false" customHeight="false" outlineLevel="0" collapsed="false">
      <c r="A3463" s="0" t="n">
        <v>3</v>
      </c>
      <c r="B3463" s="59" t="n">
        <v>46241</v>
      </c>
      <c r="C3463" s="0" t="n">
        <v>100</v>
      </c>
      <c r="D3463" s="0" t="s">
        <v>2181</v>
      </c>
      <c r="E3463" s="0" t="n">
        <v>42</v>
      </c>
      <c r="F3463" s="0" t="s">
        <v>81</v>
      </c>
      <c r="I3463" s="0" t="n">
        <v>1514580</v>
      </c>
      <c r="J3463" s="0" t="n">
        <v>100012</v>
      </c>
      <c r="K3463" s="0" t="n">
        <v>13</v>
      </c>
      <c r="L3463" s="0" t="s">
        <v>2232</v>
      </c>
      <c r="N3463" s="0" t="n">
        <v>5.676</v>
      </c>
      <c r="O3463" s="60" t="n">
        <v>246.37</v>
      </c>
    </row>
    <row r="3464" customFormat="false" ht="15" hidden="false" customHeight="false" outlineLevel="0" collapsed="false">
      <c r="A3464" s="0" t="n">
        <v>3</v>
      </c>
      <c r="B3464" s="59" t="n">
        <v>46241</v>
      </c>
      <c r="C3464" s="0" t="n">
        <v>100</v>
      </c>
      <c r="D3464" s="0" t="s">
        <v>2181</v>
      </c>
      <c r="E3464" s="0" t="n">
        <v>42</v>
      </c>
      <c r="F3464" s="0" t="s">
        <v>81</v>
      </c>
      <c r="I3464" s="0" t="n">
        <v>1514580</v>
      </c>
      <c r="J3464" s="0" t="n">
        <v>100013</v>
      </c>
      <c r="K3464" s="0" t="n">
        <v>14</v>
      </c>
      <c r="L3464" s="0" t="s">
        <v>2233</v>
      </c>
      <c r="N3464" s="0" t="n">
        <v>8.545</v>
      </c>
      <c r="O3464" s="60" t="n">
        <v>400</v>
      </c>
    </row>
    <row r="3465" customFormat="false" ht="15" hidden="false" customHeight="false" outlineLevel="0" collapsed="false">
      <c r="A3465" s="0" t="n">
        <v>3</v>
      </c>
      <c r="B3465" s="59" t="n">
        <v>46241</v>
      </c>
      <c r="C3465" s="0" t="n">
        <v>100</v>
      </c>
      <c r="D3465" s="0" t="s">
        <v>2181</v>
      </c>
      <c r="E3465" s="0" t="n">
        <v>42</v>
      </c>
      <c r="F3465" s="0" t="s">
        <v>81</v>
      </c>
      <c r="I3465" s="0" t="n">
        <v>1514580</v>
      </c>
      <c r="J3465" s="0" t="n">
        <v>100014</v>
      </c>
      <c r="K3465" s="0" t="n">
        <v>15</v>
      </c>
      <c r="L3465" s="0" t="s">
        <v>2234</v>
      </c>
      <c r="N3465" s="0" t="n">
        <v>3.74</v>
      </c>
      <c r="O3465" s="60" t="n">
        <v>178.26</v>
      </c>
    </row>
    <row r="3466" customFormat="false" ht="15" hidden="false" customHeight="false" outlineLevel="0" collapsed="false">
      <c r="A3466" s="0" t="n">
        <v>3</v>
      </c>
      <c r="B3466" s="59" t="n">
        <v>46241</v>
      </c>
      <c r="C3466" s="0" t="n">
        <v>100</v>
      </c>
      <c r="D3466" s="0" t="s">
        <v>2181</v>
      </c>
      <c r="E3466" s="0" t="n">
        <v>42</v>
      </c>
      <c r="F3466" s="0" t="s">
        <v>81</v>
      </c>
      <c r="I3466" s="0" t="n">
        <v>1514580</v>
      </c>
      <c r="J3466" s="0" t="n">
        <v>100015</v>
      </c>
      <c r="K3466" s="0" t="n">
        <v>16</v>
      </c>
      <c r="L3466" s="0" t="s">
        <v>2235</v>
      </c>
      <c r="N3466" s="0" t="n">
        <v>1.404</v>
      </c>
      <c r="O3466" s="60" t="n">
        <v>60.94</v>
      </c>
    </row>
    <row r="3467" customFormat="false" ht="15" hidden="false" customHeight="false" outlineLevel="0" collapsed="false">
      <c r="A3467" s="0" t="n">
        <v>3</v>
      </c>
      <c r="B3467" s="59" t="n">
        <v>46241</v>
      </c>
      <c r="C3467" s="0" t="n">
        <v>100</v>
      </c>
      <c r="D3467" s="0" t="s">
        <v>2181</v>
      </c>
      <c r="E3467" s="0" t="n">
        <v>42</v>
      </c>
      <c r="F3467" s="0" t="s">
        <v>81</v>
      </c>
      <c r="I3467" s="0" t="n">
        <v>1514580</v>
      </c>
      <c r="J3467" s="0" t="n">
        <v>100016</v>
      </c>
      <c r="K3467" s="0" t="n">
        <v>17</v>
      </c>
      <c r="L3467" s="0" t="s">
        <v>2236</v>
      </c>
      <c r="N3467" s="0" t="n">
        <v>2.422</v>
      </c>
      <c r="O3467" s="60" t="n">
        <v>113.38</v>
      </c>
    </row>
    <row r="3468" customFormat="false" ht="15" hidden="false" customHeight="false" outlineLevel="0" collapsed="false">
      <c r="A3468" s="0" t="n">
        <v>3</v>
      </c>
      <c r="B3468" s="59" t="n">
        <v>46241</v>
      </c>
      <c r="C3468" s="0" t="n">
        <v>100</v>
      </c>
      <c r="D3468" s="0" t="s">
        <v>2181</v>
      </c>
      <c r="E3468" s="0" t="n">
        <v>42</v>
      </c>
      <c r="F3468" s="0" t="s">
        <v>81</v>
      </c>
      <c r="I3468" s="0" t="n">
        <v>1514580</v>
      </c>
      <c r="J3468" s="0" t="n">
        <v>100017</v>
      </c>
      <c r="K3468" s="0" t="n">
        <v>18</v>
      </c>
      <c r="L3468" s="0" t="s">
        <v>2237</v>
      </c>
      <c r="N3468" s="0" t="n">
        <v>1.468</v>
      </c>
      <c r="O3468" s="60" t="n">
        <v>81.22</v>
      </c>
    </row>
    <row r="3469" customFormat="false" ht="15" hidden="false" customHeight="false" outlineLevel="0" collapsed="false">
      <c r="A3469" s="0" t="n">
        <v>3</v>
      </c>
      <c r="B3469" s="59" t="n">
        <v>46241</v>
      </c>
      <c r="C3469" s="0" t="n">
        <v>100</v>
      </c>
      <c r="D3469" s="0" t="s">
        <v>2181</v>
      </c>
      <c r="E3469" s="0" t="n">
        <v>42</v>
      </c>
      <c r="F3469" s="0" t="s">
        <v>81</v>
      </c>
      <c r="I3469" s="0" t="n">
        <v>1514580</v>
      </c>
      <c r="J3469" s="0" t="n">
        <v>100020</v>
      </c>
      <c r="K3469" s="0" t="n">
        <v>21</v>
      </c>
      <c r="L3469" s="0" t="s">
        <v>2337</v>
      </c>
      <c r="N3469" s="0" t="n">
        <v>1.972</v>
      </c>
      <c r="O3469" s="60" t="n">
        <v>68.81</v>
      </c>
    </row>
    <row r="3470" customFormat="false" ht="15" hidden="false" customHeight="false" outlineLevel="0" collapsed="false">
      <c r="A3470" s="0" t="n">
        <v>3</v>
      </c>
      <c r="B3470" s="59" t="n">
        <v>46241</v>
      </c>
      <c r="C3470" s="0" t="n">
        <v>100</v>
      </c>
      <c r="D3470" s="0" t="s">
        <v>2181</v>
      </c>
      <c r="E3470" s="0" t="n">
        <v>42</v>
      </c>
      <c r="F3470" s="0" t="s">
        <v>81</v>
      </c>
      <c r="I3470" s="0" t="n">
        <v>1514580</v>
      </c>
      <c r="J3470" s="0" t="n">
        <v>100057</v>
      </c>
      <c r="K3470" s="0" t="n">
        <v>58</v>
      </c>
      <c r="L3470" s="0" t="s">
        <v>3604</v>
      </c>
      <c r="N3470" s="0" t="n">
        <v>1.646</v>
      </c>
      <c r="O3470" s="60" t="n">
        <v>58.84</v>
      </c>
    </row>
    <row r="3471" customFormat="false" ht="15" hidden="false" customHeight="false" outlineLevel="0" collapsed="false">
      <c r="A3471" s="0" t="n">
        <v>3</v>
      </c>
      <c r="B3471" s="59" t="n">
        <v>46241</v>
      </c>
      <c r="C3471" s="0" t="n">
        <v>100</v>
      </c>
      <c r="D3471" s="0" t="s">
        <v>2181</v>
      </c>
      <c r="E3471" s="0" t="n">
        <v>42</v>
      </c>
      <c r="F3471" s="0" t="s">
        <v>81</v>
      </c>
      <c r="I3471" s="0" t="n">
        <v>1514580</v>
      </c>
      <c r="J3471" s="0" t="n">
        <v>100638</v>
      </c>
      <c r="K3471" s="0" t="n">
        <v>508</v>
      </c>
      <c r="L3471" s="0" t="s">
        <v>2178</v>
      </c>
      <c r="N3471" s="0" t="n">
        <v>2.042</v>
      </c>
      <c r="O3471" s="60" t="n">
        <v>3.46</v>
      </c>
    </row>
    <row r="3472" customFormat="false" ht="15" hidden="false" customHeight="false" outlineLevel="0" collapsed="false">
      <c r="A3472" s="0" t="n">
        <v>3</v>
      </c>
      <c r="B3472" s="59" t="n">
        <v>46241</v>
      </c>
      <c r="C3472" s="0" t="n">
        <v>100</v>
      </c>
      <c r="D3472" s="0" t="s">
        <v>2181</v>
      </c>
      <c r="E3472" s="0" t="n">
        <v>42</v>
      </c>
      <c r="F3472" s="0" t="s">
        <v>81</v>
      </c>
      <c r="I3472" s="0" t="n">
        <v>1514580</v>
      </c>
      <c r="J3472" s="0" t="n">
        <v>100520</v>
      </c>
      <c r="K3472" s="0" t="n">
        <v>507</v>
      </c>
      <c r="L3472" s="0" t="s">
        <v>2179</v>
      </c>
      <c r="N3472" s="0" t="n">
        <v>12.78</v>
      </c>
      <c r="O3472" s="60" t="n">
        <v>32.53</v>
      </c>
    </row>
    <row r="3473" customFormat="false" ht="15" hidden="false" customHeight="false" outlineLevel="0" collapsed="false">
      <c r="A3473" s="0" t="n">
        <v>3</v>
      </c>
      <c r="B3473" s="59" t="n">
        <v>46241</v>
      </c>
      <c r="C3473" s="0" t="n">
        <v>100</v>
      </c>
      <c r="D3473" s="0" t="s">
        <v>2181</v>
      </c>
      <c r="E3473" s="0" t="n">
        <v>42</v>
      </c>
      <c r="F3473" s="0" t="s">
        <v>81</v>
      </c>
      <c r="I3473" s="0" t="n">
        <v>1514580</v>
      </c>
      <c r="J3473" s="0" t="n">
        <v>110455</v>
      </c>
      <c r="K3473" s="0" t="n">
        <v>53212</v>
      </c>
      <c r="L3473" s="0" t="s">
        <v>2180</v>
      </c>
      <c r="N3473" s="0" t="n">
        <v>0.756</v>
      </c>
      <c r="O3473" s="60" t="n">
        <v>0</v>
      </c>
    </row>
    <row r="3474" customFormat="false" ht="15" hidden="false" customHeight="false" outlineLevel="0" collapsed="false">
      <c r="A3474" s="0" t="n">
        <v>3</v>
      </c>
      <c r="B3474" s="59" t="n">
        <v>46241</v>
      </c>
      <c r="C3474" s="0" t="n">
        <v>107</v>
      </c>
      <c r="D3474" s="0" t="s">
        <v>2244</v>
      </c>
      <c r="E3474" s="0" t="n">
        <v>1672</v>
      </c>
      <c r="F3474" s="0" t="s">
        <v>68</v>
      </c>
      <c r="I3474" s="0" t="n">
        <v>1413402</v>
      </c>
      <c r="J3474" s="0" t="n">
        <v>13763</v>
      </c>
      <c r="K3474" s="0" t="n">
        <v>7898938236652</v>
      </c>
      <c r="L3474" s="0" t="s">
        <v>3653</v>
      </c>
      <c r="N3474" s="0" t="n">
        <v>2</v>
      </c>
      <c r="O3474" s="60" t="n">
        <v>27.6</v>
      </c>
    </row>
    <row r="3475" customFormat="false" ht="15" hidden="false" customHeight="false" outlineLevel="0" collapsed="false">
      <c r="A3475" s="0" t="n">
        <v>3</v>
      </c>
      <c r="B3475" s="59" t="n">
        <v>46241</v>
      </c>
      <c r="C3475" s="0" t="n">
        <v>107</v>
      </c>
      <c r="D3475" s="0" t="s">
        <v>2244</v>
      </c>
      <c r="E3475" s="0" t="n">
        <v>1672</v>
      </c>
      <c r="F3475" s="0" t="s">
        <v>68</v>
      </c>
      <c r="I3475" s="0" t="n">
        <v>1413402</v>
      </c>
      <c r="J3475" s="0" t="n">
        <v>13798</v>
      </c>
      <c r="K3475" s="0" t="n">
        <v>7896520025974</v>
      </c>
      <c r="L3475" s="0" t="s">
        <v>2947</v>
      </c>
      <c r="N3475" s="0" t="n">
        <v>1</v>
      </c>
      <c r="O3475" s="60" t="n">
        <v>19.7</v>
      </c>
    </row>
    <row r="3476" customFormat="false" ht="15" hidden="false" customHeight="false" outlineLevel="0" collapsed="false">
      <c r="A3476" s="0" t="n">
        <v>3</v>
      </c>
      <c r="B3476" s="59" t="n">
        <v>46241</v>
      </c>
      <c r="C3476" s="0" t="n">
        <v>107</v>
      </c>
      <c r="D3476" s="0" t="s">
        <v>2244</v>
      </c>
      <c r="E3476" s="0" t="n">
        <v>1672</v>
      </c>
      <c r="F3476" s="0" t="s">
        <v>68</v>
      </c>
      <c r="I3476" s="0" t="n">
        <v>1413402</v>
      </c>
      <c r="J3476" s="0" t="n">
        <v>14974</v>
      </c>
      <c r="K3476" s="0" t="n">
        <v>7896579380123</v>
      </c>
      <c r="L3476" s="0" t="s">
        <v>3558</v>
      </c>
      <c r="N3476" s="0" t="n">
        <v>2</v>
      </c>
      <c r="O3476" s="60" t="n">
        <v>6.6</v>
      </c>
    </row>
    <row r="3477" customFormat="false" ht="15" hidden="false" customHeight="false" outlineLevel="0" collapsed="false">
      <c r="A3477" s="0" t="n">
        <v>3</v>
      </c>
      <c r="B3477" s="59" t="n">
        <v>46241</v>
      </c>
      <c r="C3477" s="0" t="n">
        <v>107</v>
      </c>
      <c r="D3477" s="0" t="s">
        <v>2244</v>
      </c>
      <c r="E3477" s="0" t="n">
        <v>1672</v>
      </c>
      <c r="F3477" s="0" t="s">
        <v>68</v>
      </c>
      <c r="I3477" s="0" t="n">
        <v>1413402</v>
      </c>
      <c r="J3477" s="0" t="n">
        <v>35008</v>
      </c>
      <c r="K3477" s="0" t="n">
        <v>7896579350256</v>
      </c>
      <c r="L3477" s="0" t="s">
        <v>2962</v>
      </c>
      <c r="N3477" s="0" t="n">
        <v>1</v>
      </c>
      <c r="O3477" s="60" t="n">
        <v>5</v>
      </c>
    </row>
    <row r="3478" customFormat="false" ht="15" hidden="false" customHeight="false" outlineLevel="0" collapsed="false">
      <c r="A3478" s="0" t="n">
        <v>3</v>
      </c>
      <c r="B3478" s="59" t="n">
        <v>46241</v>
      </c>
      <c r="C3478" s="0" t="n">
        <v>107</v>
      </c>
      <c r="D3478" s="0" t="s">
        <v>2244</v>
      </c>
      <c r="E3478" s="0" t="n">
        <v>1672</v>
      </c>
      <c r="F3478" s="0" t="s">
        <v>68</v>
      </c>
      <c r="I3478" s="0" t="n">
        <v>1413402</v>
      </c>
      <c r="J3478" s="0" t="n">
        <v>37044</v>
      </c>
      <c r="K3478" s="0" t="n">
        <v>7896579320211</v>
      </c>
      <c r="L3478" s="0" t="s">
        <v>3654</v>
      </c>
      <c r="N3478" s="0" t="n">
        <v>1</v>
      </c>
      <c r="O3478" s="60" t="n">
        <v>13.8</v>
      </c>
    </row>
    <row r="3479" customFormat="false" ht="15" hidden="false" customHeight="false" outlineLevel="0" collapsed="false">
      <c r="A3479" s="0" t="n">
        <v>3</v>
      </c>
      <c r="B3479" s="59" t="n">
        <v>46241</v>
      </c>
      <c r="C3479" s="0" t="n">
        <v>107</v>
      </c>
      <c r="D3479" s="0" t="s">
        <v>2244</v>
      </c>
      <c r="E3479" s="0" t="n">
        <v>1672</v>
      </c>
      <c r="F3479" s="0" t="s">
        <v>68</v>
      </c>
      <c r="I3479" s="0" t="n">
        <v>1413402</v>
      </c>
      <c r="J3479" s="0" t="n">
        <v>37157</v>
      </c>
      <c r="K3479" s="0" t="n">
        <v>7896579310403</v>
      </c>
      <c r="L3479" s="0" t="s">
        <v>2966</v>
      </c>
      <c r="N3479" s="0" t="n">
        <v>1</v>
      </c>
      <c r="O3479" s="60" t="n">
        <v>5</v>
      </c>
    </row>
    <row r="3480" customFormat="false" ht="15" hidden="false" customHeight="false" outlineLevel="0" collapsed="false">
      <c r="A3480" s="0" t="n">
        <v>3</v>
      </c>
      <c r="B3480" s="59" t="n">
        <v>46241</v>
      </c>
      <c r="C3480" s="0" t="n">
        <v>107</v>
      </c>
      <c r="D3480" s="0" t="s">
        <v>2244</v>
      </c>
      <c r="E3480" s="0" t="n">
        <v>1672</v>
      </c>
      <c r="F3480" s="0" t="s">
        <v>68</v>
      </c>
      <c r="I3480" s="0" t="n">
        <v>1413402</v>
      </c>
      <c r="J3480" s="0" t="n">
        <v>38539</v>
      </c>
      <c r="K3480" s="0" t="n">
        <v>7896579320235</v>
      </c>
      <c r="L3480" s="0" t="s">
        <v>2968</v>
      </c>
      <c r="N3480" s="0" t="n">
        <v>1</v>
      </c>
      <c r="O3480" s="60" t="n">
        <v>4.5</v>
      </c>
    </row>
    <row r="3481" customFormat="false" ht="15" hidden="false" customHeight="false" outlineLevel="0" collapsed="false">
      <c r="A3481" s="0" t="n">
        <v>3</v>
      </c>
      <c r="B3481" s="59" t="n">
        <v>46241</v>
      </c>
      <c r="C3481" s="0" t="n">
        <v>107</v>
      </c>
      <c r="D3481" s="0" t="s">
        <v>2244</v>
      </c>
      <c r="E3481" s="0" t="n">
        <v>1672</v>
      </c>
      <c r="F3481" s="0" t="s">
        <v>68</v>
      </c>
      <c r="I3481" s="0" t="n">
        <v>1413402</v>
      </c>
      <c r="J3481" s="0" t="n">
        <v>39156</v>
      </c>
      <c r="K3481" s="0" t="n">
        <v>7896579320266</v>
      </c>
      <c r="L3481" s="0" t="s">
        <v>3655</v>
      </c>
      <c r="N3481" s="0" t="n">
        <v>1</v>
      </c>
      <c r="O3481" s="60" t="n">
        <v>13.8</v>
      </c>
    </row>
    <row r="3482" customFormat="false" ht="15" hidden="false" customHeight="false" outlineLevel="0" collapsed="false">
      <c r="A3482" s="0" t="n">
        <v>3</v>
      </c>
      <c r="B3482" s="59" t="n">
        <v>46241</v>
      </c>
      <c r="C3482" s="0" t="n">
        <v>107</v>
      </c>
      <c r="D3482" s="0" t="s">
        <v>2244</v>
      </c>
      <c r="E3482" s="0" t="n">
        <v>1672</v>
      </c>
      <c r="F3482" s="0" t="s">
        <v>68</v>
      </c>
      <c r="I3482" s="0" t="n">
        <v>1413402</v>
      </c>
      <c r="J3482" s="0" t="n">
        <v>58707</v>
      </c>
      <c r="K3482" s="0" t="n">
        <v>7896579360064</v>
      </c>
      <c r="L3482" s="0" t="s">
        <v>3656</v>
      </c>
      <c r="N3482" s="0" t="n">
        <v>1</v>
      </c>
      <c r="O3482" s="60" t="n">
        <v>9.7</v>
      </c>
    </row>
    <row r="3483" customFormat="false" ht="15" hidden="false" customHeight="false" outlineLevel="0" collapsed="false">
      <c r="A3483" s="0" t="n">
        <v>3</v>
      </c>
      <c r="B3483" s="59" t="n">
        <v>46241</v>
      </c>
      <c r="C3483" s="0" t="n">
        <v>171</v>
      </c>
      <c r="D3483" s="0" t="s">
        <v>2182</v>
      </c>
      <c r="E3483" s="0" t="n">
        <v>1659</v>
      </c>
      <c r="F3483" s="0" t="s">
        <v>253</v>
      </c>
      <c r="I3483" s="0" t="n">
        <v>889383</v>
      </c>
      <c r="J3483" s="0" t="n">
        <v>27930</v>
      </c>
      <c r="K3483" s="0" t="n">
        <v>7890875676287</v>
      </c>
      <c r="L3483" s="0" t="s">
        <v>3628</v>
      </c>
      <c r="N3483" s="0" t="n">
        <v>6</v>
      </c>
      <c r="O3483" s="60" t="n">
        <v>67.26</v>
      </c>
    </row>
    <row r="3484" customFormat="false" ht="15" hidden="false" customHeight="false" outlineLevel="0" collapsed="false">
      <c r="A3484" s="0" t="n">
        <v>3</v>
      </c>
      <c r="B3484" s="59" t="n">
        <v>46241</v>
      </c>
      <c r="C3484" s="0" t="n">
        <v>171</v>
      </c>
      <c r="D3484" s="0" t="s">
        <v>2182</v>
      </c>
      <c r="E3484" s="0" t="n">
        <v>1659</v>
      </c>
      <c r="F3484" s="0" t="s">
        <v>253</v>
      </c>
      <c r="I3484" s="0" t="n">
        <v>889383</v>
      </c>
      <c r="J3484" s="0" t="n">
        <v>78957</v>
      </c>
      <c r="K3484" s="0" t="n">
        <v>7900204464420</v>
      </c>
      <c r="L3484" s="0" t="s">
        <v>3635</v>
      </c>
      <c r="N3484" s="0" t="n">
        <v>1</v>
      </c>
      <c r="O3484" s="60" t="n">
        <v>36.83</v>
      </c>
    </row>
    <row r="3485" customFormat="false" ht="15" hidden="false" customHeight="false" outlineLevel="0" collapsed="false">
      <c r="A3485" s="0" t="n">
        <v>3</v>
      </c>
      <c r="B3485" s="59" t="n">
        <v>46242</v>
      </c>
      <c r="C3485" s="0" t="n">
        <v>1</v>
      </c>
      <c r="D3485" s="0" t="s">
        <v>2118</v>
      </c>
      <c r="E3485" s="0" t="n">
        <v>10043</v>
      </c>
      <c r="F3485" s="0" t="s">
        <v>113</v>
      </c>
      <c r="I3485" s="0" t="n">
        <v>846</v>
      </c>
      <c r="J3485" s="0" t="n">
        <v>52096</v>
      </c>
      <c r="K3485" s="0" t="n">
        <v>144315</v>
      </c>
      <c r="L3485" s="0" t="s">
        <v>2415</v>
      </c>
      <c r="N3485" s="0" t="n">
        <v>120</v>
      </c>
      <c r="O3485" s="60" t="n">
        <v>180</v>
      </c>
    </row>
    <row r="3486" customFormat="false" ht="15" hidden="false" customHeight="false" outlineLevel="0" collapsed="false">
      <c r="A3486" s="0" t="n">
        <v>3</v>
      </c>
      <c r="B3486" s="59" t="n">
        <v>46242</v>
      </c>
      <c r="C3486" s="0" t="n">
        <v>6</v>
      </c>
      <c r="D3486" s="0" t="s">
        <v>2125</v>
      </c>
      <c r="E3486" s="0" t="n">
        <v>42</v>
      </c>
      <c r="F3486" s="0" t="s">
        <v>81</v>
      </c>
      <c r="I3486" s="0" t="n">
        <v>4477</v>
      </c>
      <c r="J3486" s="0" t="n">
        <v>109791</v>
      </c>
      <c r="K3486" s="0" t="n">
        <v>9667</v>
      </c>
      <c r="L3486" s="0" t="s">
        <v>2123</v>
      </c>
      <c r="N3486" s="0" t="n">
        <v>10</v>
      </c>
      <c r="O3486" s="60" t="n">
        <v>25</v>
      </c>
    </row>
    <row r="3487" customFormat="false" ht="15" hidden="false" customHeight="false" outlineLevel="0" collapsed="false">
      <c r="A3487" s="0" t="n">
        <v>3</v>
      </c>
      <c r="B3487" s="59" t="n">
        <v>46242</v>
      </c>
      <c r="C3487" s="0" t="n">
        <v>6</v>
      </c>
      <c r="D3487" s="0" t="s">
        <v>2125</v>
      </c>
      <c r="E3487" s="0" t="n">
        <v>42</v>
      </c>
      <c r="F3487" s="0" t="s">
        <v>81</v>
      </c>
      <c r="I3487" s="0" t="n">
        <v>4477</v>
      </c>
      <c r="J3487" s="0" t="n">
        <v>37359</v>
      </c>
      <c r="K3487" s="0" t="n">
        <v>55526</v>
      </c>
      <c r="L3487" s="0" t="s">
        <v>2194</v>
      </c>
      <c r="N3487" s="0" t="n">
        <v>5</v>
      </c>
      <c r="O3487" s="60" t="n">
        <v>20</v>
      </c>
    </row>
    <row r="3488" customFormat="false" ht="15" hidden="false" customHeight="false" outlineLevel="0" collapsed="false">
      <c r="A3488" s="0" t="n">
        <v>3</v>
      </c>
      <c r="B3488" s="59" t="n">
        <v>46242</v>
      </c>
      <c r="C3488" s="0" t="n">
        <v>6</v>
      </c>
      <c r="D3488" s="0" t="s">
        <v>2125</v>
      </c>
      <c r="E3488" s="0" t="n">
        <v>42</v>
      </c>
      <c r="F3488" s="0" t="s">
        <v>81</v>
      </c>
      <c r="I3488" s="0" t="n">
        <v>4477</v>
      </c>
      <c r="J3488" s="0" t="n">
        <v>37361</v>
      </c>
      <c r="K3488" s="0" t="n">
        <v>2240817</v>
      </c>
      <c r="L3488" s="0" t="s">
        <v>2124</v>
      </c>
      <c r="N3488" s="0" t="n">
        <v>100</v>
      </c>
      <c r="O3488" s="60" t="n">
        <v>200</v>
      </c>
    </row>
    <row r="3489" customFormat="false" ht="15" hidden="false" customHeight="false" outlineLevel="0" collapsed="false">
      <c r="A3489" s="0" t="n">
        <v>3</v>
      </c>
      <c r="B3489" s="59" t="n">
        <v>46242</v>
      </c>
      <c r="C3489" s="0" t="n">
        <v>6</v>
      </c>
      <c r="D3489" s="0" t="s">
        <v>2125</v>
      </c>
      <c r="E3489" s="0" t="n">
        <v>42</v>
      </c>
      <c r="F3489" s="0" t="s">
        <v>81</v>
      </c>
      <c r="I3489" s="0" t="n">
        <v>4478</v>
      </c>
      <c r="J3489" s="0" t="n">
        <v>100103</v>
      </c>
      <c r="K3489" s="0" t="n">
        <v>104</v>
      </c>
      <c r="L3489" s="0" t="s">
        <v>2193</v>
      </c>
      <c r="N3489" s="0" t="n">
        <v>40</v>
      </c>
      <c r="O3489" s="60" t="n">
        <v>250</v>
      </c>
    </row>
    <row r="3490" customFormat="false" ht="15" hidden="false" customHeight="false" outlineLevel="0" collapsed="false">
      <c r="A3490" s="0" t="n">
        <v>3</v>
      </c>
      <c r="B3490" s="59" t="n">
        <v>46242</v>
      </c>
      <c r="C3490" s="0" t="n">
        <v>6</v>
      </c>
      <c r="D3490" s="0" t="s">
        <v>2125</v>
      </c>
      <c r="E3490" s="0" t="n">
        <v>42</v>
      </c>
      <c r="F3490" s="0" t="s">
        <v>81</v>
      </c>
      <c r="I3490" s="0" t="n">
        <v>4479</v>
      </c>
      <c r="J3490" s="0" t="n">
        <v>80308</v>
      </c>
      <c r="K3490" s="0" t="n">
        <v>1250</v>
      </c>
      <c r="L3490" s="0" t="s">
        <v>3657</v>
      </c>
      <c r="N3490" s="0" t="n">
        <v>30</v>
      </c>
      <c r="O3490" s="60" t="n">
        <v>90</v>
      </c>
    </row>
    <row r="3491" customFormat="false" ht="15" hidden="false" customHeight="false" outlineLevel="0" collapsed="false">
      <c r="A3491" s="0" t="n">
        <v>3</v>
      </c>
      <c r="B3491" s="59" t="n">
        <v>46242</v>
      </c>
      <c r="C3491" s="0" t="n">
        <v>11</v>
      </c>
      <c r="D3491" s="0" t="s">
        <v>2126</v>
      </c>
      <c r="E3491" s="0" t="n">
        <v>1378</v>
      </c>
      <c r="F3491" s="0" t="s">
        <v>121</v>
      </c>
      <c r="I3491" s="0" t="n">
        <v>18584</v>
      </c>
      <c r="J3491" s="0" t="n">
        <v>74063</v>
      </c>
      <c r="K3491" s="0" t="n">
        <v>42882264262</v>
      </c>
      <c r="L3491" s="0" t="s">
        <v>2298</v>
      </c>
      <c r="N3491" s="0" t="n">
        <v>5</v>
      </c>
      <c r="O3491" s="60" t="n">
        <v>22.5</v>
      </c>
    </row>
    <row r="3492" customFormat="false" ht="15" hidden="false" customHeight="false" outlineLevel="0" collapsed="false">
      <c r="A3492" s="0" t="n">
        <v>3</v>
      </c>
      <c r="B3492" s="59" t="n">
        <v>46242</v>
      </c>
      <c r="C3492" s="0" t="n">
        <v>11</v>
      </c>
      <c r="D3492" s="0" t="s">
        <v>2126</v>
      </c>
      <c r="E3492" s="0" t="n">
        <v>1378</v>
      </c>
      <c r="F3492" s="0" t="s">
        <v>121</v>
      </c>
      <c r="I3492" s="0" t="n">
        <v>18584</v>
      </c>
      <c r="J3492" s="0" t="n">
        <v>74064</v>
      </c>
      <c r="K3492" s="0" t="n">
        <v>42882264279</v>
      </c>
      <c r="L3492" s="0" t="s">
        <v>2299</v>
      </c>
      <c r="N3492" s="0" t="n">
        <v>3</v>
      </c>
      <c r="O3492" s="60" t="n">
        <v>14.4</v>
      </c>
    </row>
    <row r="3493" customFormat="false" ht="15" hidden="false" customHeight="false" outlineLevel="0" collapsed="false">
      <c r="A3493" s="0" t="n">
        <v>3</v>
      </c>
      <c r="B3493" s="59" t="n">
        <v>46242</v>
      </c>
      <c r="C3493" s="0" t="n">
        <v>11</v>
      </c>
      <c r="D3493" s="0" t="s">
        <v>2126</v>
      </c>
      <c r="E3493" s="0" t="n">
        <v>1378</v>
      </c>
      <c r="F3493" s="0" t="s">
        <v>121</v>
      </c>
      <c r="I3493" s="0" t="n">
        <v>18584</v>
      </c>
      <c r="J3493" s="0" t="n">
        <v>74065</v>
      </c>
      <c r="K3493" s="0" t="n">
        <v>602883558090</v>
      </c>
      <c r="L3493" s="0" t="s">
        <v>2300</v>
      </c>
      <c r="N3493" s="0" t="n">
        <v>4</v>
      </c>
      <c r="O3493" s="60" t="n">
        <v>31.2</v>
      </c>
    </row>
    <row r="3494" customFormat="false" ht="15" hidden="false" customHeight="false" outlineLevel="0" collapsed="false">
      <c r="A3494" s="0" t="n">
        <v>3</v>
      </c>
      <c r="B3494" s="59" t="n">
        <v>46242</v>
      </c>
      <c r="C3494" s="0" t="n">
        <v>11</v>
      </c>
      <c r="D3494" s="0" t="s">
        <v>2126</v>
      </c>
      <c r="E3494" s="0" t="n">
        <v>1378</v>
      </c>
      <c r="F3494" s="0" t="s">
        <v>121</v>
      </c>
      <c r="I3494" s="0" t="n">
        <v>18584</v>
      </c>
      <c r="J3494" s="0" t="n">
        <v>77994</v>
      </c>
      <c r="K3494" s="0" t="n">
        <v>780117</v>
      </c>
      <c r="L3494" s="0" t="s">
        <v>2301</v>
      </c>
      <c r="N3494" s="0" t="n">
        <v>30</v>
      </c>
      <c r="O3494" s="60" t="n">
        <v>174</v>
      </c>
    </row>
    <row r="3495" customFormat="false" ht="15" hidden="false" customHeight="false" outlineLevel="0" collapsed="false">
      <c r="A3495" s="0" t="n">
        <v>3</v>
      </c>
      <c r="B3495" s="59" t="n">
        <v>46242</v>
      </c>
      <c r="C3495" s="0" t="n">
        <v>11</v>
      </c>
      <c r="D3495" s="0" t="s">
        <v>2126</v>
      </c>
      <c r="E3495" s="0" t="n">
        <v>1675</v>
      </c>
      <c r="F3495" s="0" t="s">
        <v>164</v>
      </c>
      <c r="I3495" s="0" t="n">
        <v>506838</v>
      </c>
      <c r="J3495" s="0" t="n">
        <v>100454</v>
      </c>
      <c r="K3495" s="0" t="n">
        <v>7896806700069</v>
      </c>
      <c r="L3495" s="0" t="s">
        <v>3658</v>
      </c>
      <c r="N3495" s="0" t="n">
        <v>48</v>
      </c>
      <c r="O3495" s="60" t="n">
        <v>175.68</v>
      </c>
    </row>
    <row r="3496" customFormat="false" ht="15" hidden="false" customHeight="false" outlineLevel="0" collapsed="false">
      <c r="A3496" s="0" t="n">
        <v>3</v>
      </c>
      <c r="B3496" s="59" t="n">
        <v>46242</v>
      </c>
      <c r="C3496" s="0" t="n">
        <v>11</v>
      </c>
      <c r="D3496" s="0" t="s">
        <v>2126</v>
      </c>
      <c r="E3496" s="0" t="n">
        <v>1675</v>
      </c>
      <c r="F3496" s="0" t="s">
        <v>164</v>
      </c>
      <c r="I3496" s="0" t="n">
        <v>506838</v>
      </c>
      <c r="J3496" s="0" t="n">
        <v>101300</v>
      </c>
      <c r="K3496" s="0" t="n">
        <v>7891024134610</v>
      </c>
      <c r="L3496" s="0" t="s">
        <v>3659</v>
      </c>
      <c r="N3496" s="0" t="n">
        <v>12</v>
      </c>
      <c r="O3496" s="60" t="n">
        <v>92.04</v>
      </c>
    </row>
    <row r="3497" customFormat="false" ht="15" hidden="false" customHeight="false" outlineLevel="0" collapsed="false">
      <c r="A3497" s="0" t="n">
        <v>3</v>
      </c>
      <c r="B3497" s="59" t="n">
        <v>46242</v>
      </c>
      <c r="C3497" s="0" t="n">
        <v>11</v>
      </c>
      <c r="D3497" s="0" t="s">
        <v>2126</v>
      </c>
      <c r="E3497" s="0" t="n">
        <v>1675</v>
      </c>
      <c r="F3497" s="0" t="s">
        <v>164</v>
      </c>
      <c r="I3497" s="0" t="n">
        <v>506838</v>
      </c>
      <c r="J3497" s="0" t="n">
        <v>101302</v>
      </c>
      <c r="K3497" s="0" t="n">
        <v>7891024132128</v>
      </c>
      <c r="L3497" s="0" t="s">
        <v>3660</v>
      </c>
      <c r="N3497" s="0" t="n">
        <v>24</v>
      </c>
      <c r="O3497" s="60" t="n">
        <v>120.48</v>
      </c>
    </row>
    <row r="3498" customFormat="false" ht="15" hidden="false" customHeight="false" outlineLevel="0" collapsed="false">
      <c r="A3498" s="0" t="n">
        <v>3</v>
      </c>
      <c r="B3498" s="59" t="n">
        <v>46242</v>
      </c>
      <c r="C3498" s="0" t="n">
        <v>11</v>
      </c>
      <c r="D3498" s="0" t="s">
        <v>2126</v>
      </c>
      <c r="E3498" s="0" t="n">
        <v>1675</v>
      </c>
      <c r="F3498" s="0" t="s">
        <v>164</v>
      </c>
      <c r="I3498" s="0" t="n">
        <v>506838</v>
      </c>
      <c r="J3498" s="0" t="n">
        <v>101303</v>
      </c>
      <c r="K3498" s="0" t="n">
        <v>7891024132005</v>
      </c>
      <c r="L3498" s="0" t="s">
        <v>3661</v>
      </c>
      <c r="N3498" s="0" t="n">
        <v>24</v>
      </c>
      <c r="O3498" s="60" t="n">
        <v>120.48</v>
      </c>
    </row>
    <row r="3499" customFormat="false" ht="15" hidden="false" customHeight="false" outlineLevel="0" collapsed="false">
      <c r="A3499" s="0" t="n">
        <v>3</v>
      </c>
      <c r="B3499" s="59" t="n">
        <v>46242</v>
      </c>
      <c r="C3499" s="0" t="n">
        <v>11</v>
      </c>
      <c r="D3499" s="0" t="s">
        <v>2126</v>
      </c>
      <c r="E3499" s="0" t="n">
        <v>1675</v>
      </c>
      <c r="F3499" s="0" t="s">
        <v>164</v>
      </c>
      <c r="I3499" s="0" t="n">
        <v>506838</v>
      </c>
      <c r="J3499" s="0" t="n">
        <v>101338</v>
      </c>
      <c r="K3499" s="0" t="n">
        <v>7891528038025</v>
      </c>
      <c r="L3499" s="0" t="s">
        <v>3662</v>
      </c>
      <c r="N3499" s="0" t="n">
        <v>24</v>
      </c>
      <c r="O3499" s="60" t="n">
        <v>64.8</v>
      </c>
    </row>
    <row r="3500" customFormat="false" ht="15" hidden="false" customHeight="false" outlineLevel="0" collapsed="false">
      <c r="A3500" s="0" t="n">
        <v>3</v>
      </c>
      <c r="B3500" s="59" t="n">
        <v>46242</v>
      </c>
      <c r="C3500" s="0" t="n">
        <v>11</v>
      </c>
      <c r="D3500" s="0" t="s">
        <v>2126</v>
      </c>
      <c r="E3500" s="0" t="n">
        <v>1675</v>
      </c>
      <c r="F3500" s="0" t="s">
        <v>164</v>
      </c>
      <c r="I3500" s="0" t="n">
        <v>506838</v>
      </c>
      <c r="J3500" s="0" t="n">
        <v>104031</v>
      </c>
      <c r="K3500" s="0" t="n">
        <v>7891024134702</v>
      </c>
      <c r="L3500" s="0" t="s">
        <v>3663</v>
      </c>
      <c r="N3500" s="0" t="n">
        <v>24</v>
      </c>
      <c r="O3500" s="60" t="n">
        <v>109.68</v>
      </c>
    </row>
    <row r="3501" customFormat="false" ht="15" hidden="false" customHeight="false" outlineLevel="0" collapsed="false">
      <c r="A3501" s="0" t="n">
        <v>3</v>
      </c>
      <c r="B3501" s="59" t="n">
        <v>46242</v>
      </c>
      <c r="C3501" s="0" t="n">
        <v>11</v>
      </c>
      <c r="D3501" s="0" t="s">
        <v>2126</v>
      </c>
      <c r="E3501" s="0" t="n">
        <v>1675</v>
      </c>
      <c r="F3501" s="0" t="s">
        <v>164</v>
      </c>
      <c r="I3501" s="0" t="n">
        <v>506838</v>
      </c>
      <c r="J3501" s="0" t="n">
        <v>104345</v>
      </c>
      <c r="K3501" s="0" t="n">
        <v>7891024132906</v>
      </c>
      <c r="L3501" s="0" t="s">
        <v>3664</v>
      </c>
      <c r="N3501" s="0" t="n">
        <v>36</v>
      </c>
      <c r="O3501" s="60" t="n">
        <v>107.64</v>
      </c>
    </row>
    <row r="3502" customFormat="false" ht="15" hidden="false" customHeight="false" outlineLevel="0" collapsed="false">
      <c r="A3502" s="0" t="n">
        <v>3</v>
      </c>
      <c r="B3502" s="59" t="n">
        <v>46242</v>
      </c>
      <c r="C3502" s="0" t="n">
        <v>11</v>
      </c>
      <c r="D3502" s="0" t="s">
        <v>2126</v>
      </c>
      <c r="E3502" s="0" t="n">
        <v>1675</v>
      </c>
      <c r="F3502" s="0" t="s">
        <v>164</v>
      </c>
      <c r="I3502" s="0" t="n">
        <v>506838</v>
      </c>
      <c r="J3502" s="0" t="n">
        <v>12480</v>
      </c>
      <c r="K3502" s="0" t="n">
        <v>7891024132371</v>
      </c>
      <c r="L3502" s="0" t="s">
        <v>3665</v>
      </c>
      <c r="N3502" s="0" t="n">
        <v>12</v>
      </c>
      <c r="O3502" s="60" t="n">
        <v>103.2</v>
      </c>
    </row>
    <row r="3503" customFormat="false" ht="15" hidden="false" customHeight="false" outlineLevel="0" collapsed="false">
      <c r="A3503" s="0" t="n">
        <v>3</v>
      </c>
      <c r="B3503" s="59" t="n">
        <v>46242</v>
      </c>
      <c r="C3503" s="0" t="n">
        <v>11</v>
      </c>
      <c r="D3503" s="0" t="s">
        <v>2126</v>
      </c>
      <c r="E3503" s="0" t="n">
        <v>1675</v>
      </c>
      <c r="F3503" s="0" t="s">
        <v>164</v>
      </c>
      <c r="I3503" s="0" t="n">
        <v>506838</v>
      </c>
      <c r="J3503" s="0" t="n">
        <v>77163</v>
      </c>
      <c r="K3503" s="0" t="n">
        <v>7908785482659</v>
      </c>
      <c r="L3503" s="0" t="s">
        <v>3666</v>
      </c>
      <c r="N3503" s="0" t="n">
        <v>1</v>
      </c>
      <c r="O3503" s="60" t="n">
        <v>7.62</v>
      </c>
    </row>
    <row r="3504" customFormat="false" ht="15" hidden="false" customHeight="false" outlineLevel="0" collapsed="false">
      <c r="A3504" s="0" t="n">
        <v>3</v>
      </c>
      <c r="B3504" s="59" t="n">
        <v>46242</v>
      </c>
      <c r="C3504" s="0" t="n">
        <v>171</v>
      </c>
      <c r="D3504" s="0" t="s">
        <v>2182</v>
      </c>
      <c r="E3504" s="0" t="n">
        <v>1675</v>
      </c>
      <c r="F3504" s="0" t="s">
        <v>164</v>
      </c>
      <c r="I3504" s="0" t="n">
        <v>506844</v>
      </c>
      <c r="J3504" s="0" t="n">
        <v>100407</v>
      </c>
      <c r="K3504" s="0" t="n">
        <v>7897161360059</v>
      </c>
      <c r="L3504" s="0" t="s">
        <v>3667</v>
      </c>
      <c r="N3504" s="0" t="n">
        <v>24</v>
      </c>
      <c r="O3504" s="60" t="n">
        <v>74.88</v>
      </c>
    </row>
    <row r="3505" customFormat="false" ht="15" hidden="false" customHeight="false" outlineLevel="0" collapsed="false">
      <c r="A3505" s="0" t="n">
        <v>3</v>
      </c>
      <c r="B3505" s="59" t="n">
        <v>46244</v>
      </c>
      <c r="C3505" s="0" t="n">
        <v>6</v>
      </c>
      <c r="D3505" s="0" t="s">
        <v>2125</v>
      </c>
      <c r="E3505" s="0" t="n">
        <v>42</v>
      </c>
      <c r="F3505" s="0" t="s">
        <v>81</v>
      </c>
      <c r="I3505" s="0" t="n">
        <v>4480</v>
      </c>
      <c r="J3505" s="0" t="n">
        <v>109791</v>
      </c>
      <c r="K3505" s="0" t="n">
        <v>9667</v>
      </c>
      <c r="L3505" s="0" t="s">
        <v>2123</v>
      </c>
      <c r="N3505" s="0" t="n">
        <v>7</v>
      </c>
      <c r="O3505" s="60" t="n">
        <v>42</v>
      </c>
    </row>
    <row r="3506" customFormat="false" ht="15" hidden="false" customHeight="false" outlineLevel="0" collapsed="false">
      <c r="A3506" s="0" t="n">
        <v>3</v>
      </c>
      <c r="B3506" s="59" t="n">
        <v>46244</v>
      </c>
      <c r="C3506" s="0" t="n">
        <v>6</v>
      </c>
      <c r="D3506" s="0" t="s">
        <v>2125</v>
      </c>
      <c r="E3506" s="0" t="n">
        <v>42</v>
      </c>
      <c r="F3506" s="0" t="s">
        <v>81</v>
      </c>
      <c r="I3506" s="0" t="n">
        <v>4480</v>
      </c>
      <c r="J3506" s="0" t="n">
        <v>37359</v>
      </c>
      <c r="K3506" s="0" t="n">
        <v>55526</v>
      </c>
      <c r="L3506" s="0" t="s">
        <v>2194</v>
      </c>
      <c r="N3506" s="0" t="n">
        <v>13</v>
      </c>
      <c r="O3506" s="60" t="n">
        <v>32</v>
      </c>
    </row>
    <row r="3507" customFormat="false" ht="15" hidden="false" customHeight="false" outlineLevel="0" collapsed="false">
      <c r="A3507" s="0" t="n">
        <v>3</v>
      </c>
      <c r="B3507" s="59" t="n">
        <v>46244</v>
      </c>
      <c r="C3507" s="0" t="n">
        <v>6</v>
      </c>
      <c r="D3507" s="0" t="s">
        <v>2125</v>
      </c>
      <c r="E3507" s="0" t="n">
        <v>42</v>
      </c>
      <c r="F3507" s="0" t="s">
        <v>81</v>
      </c>
      <c r="I3507" s="0" t="n">
        <v>4480</v>
      </c>
      <c r="J3507" s="0" t="n">
        <v>37361</v>
      </c>
      <c r="K3507" s="0" t="n">
        <v>2240817</v>
      </c>
      <c r="L3507" s="0" t="s">
        <v>2124</v>
      </c>
      <c r="N3507" s="0" t="n">
        <v>50</v>
      </c>
      <c r="O3507" s="60" t="n">
        <v>100</v>
      </c>
    </row>
    <row r="3508" customFormat="false" ht="15" hidden="false" customHeight="false" outlineLevel="0" collapsed="false">
      <c r="A3508" s="0" t="n">
        <v>3</v>
      </c>
      <c r="B3508" s="59" t="n">
        <v>46244</v>
      </c>
      <c r="C3508" s="0" t="n">
        <v>6</v>
      </c>
      <c r="D3508" s="0" t="s">
        <v>2125</v>
      </c>
      <c r="E3508" s="0" t="n">
        <v>42</v>
      </c>
      <c r="F3508" s="0" t="s">
        <v>81</v>
      </c>
      <c r="I3508" s="0" t="n">
        <v>4481</v>
      </c>
      <c r="J3508" s="0" t="n">
        <v>100103</v>
      </c>
      <c r="K3508" s="0" t="n">
        <v>104</v>
      </c>
      <c r="L3508" s="0" t="s">
        <v>2193</v>
      </c>
      <c r="N3508" s="0" t="n">
        <v>20</v>
      </c>
      <c r="O3508" s="60" t="n">
        <v>125</v>
      </c>
    </row>
    <row r="3509" customFormat="false" ht="15" hidden="false" customHeight="false" outlineLevel="0" collapsed="false">
      <c r="A3509" s="0" t="n">
        <v>3</v>
      </c>
      <c r="B3509" s="59" t="n">
        <v>46244</v>
      </c>
      <c r="C3509" s="0" t="n">
        <v>11</v>
      </c>
      <c r="D3509" s="0" t="s">
        <v>2126</v>
      </c>
      <c r="E3509" s="0" t="n">
        <v>10096</v>
      </c>
      <c r="F3509" s="0" t="s">
        <v>1235</v>
      </c>
      <c r="I3509" s="0" t="n">
        <v>136</v>
      </c>
      <c r="J3509" s="0" t="n">
        <v>61580</v>
      </c>
      <c r="K3509" s="0" t="n">
        <v>2258157</v>
      </c>
      <c r="L3509" s="0" t="s">
        <v>3008</v>
      </c>
      <c r="N3509" s="0" t="n">
        <v>20</v>
      </c>
      <c r="O3509" s="60" t="n">
        <v>240</v>
      </c>
    </row>
    <row r="3510" customFormat="false" ht="15" hidden="false" customHeight="false" outlineLevel="0" collapsed="false">
      <c r="A3510" s="0" t="n">
        <v>3</v>
      </c>
      <c r="B3510" s="59" t="n">
        <v>46244</v>
      </c>
      <c r="C3510" s="0" t="n">
        <v>11</v>
      </c>
      <c r="D3510" s="0" t="s">
        <v>2126</v>
      </c>
      <c r="E3510" s="0" t="n">
        <v>642</v>
      </c>
      <c r="F3510" s="0" t="s">
        <v>136</v>
      </c>
      <c r="I3510" s="0" t="n">
        <v>580</v>
      </c>
      <c r="J3510" s="0" t="n">
        <v>71766</v>
      </c>
      <c r="K3510" s="0" t="n">
        <v>779180</v>
      </c>
      <c r="L3510" s="0" t="s">
        <v>2340</v>
      </c>
      <c r="N3510" s="0" t="n">
        <v>25</v>
      </c>
      <c r="O3510" s="60" t="n">
        <v>300</v>
      </c>
    </row>
    <row r="3511" customFormat="false" ht="15" hidden="false" customHeight="false" outlineLevel="0" collapsed="false">
      <c r="A3511" s="0" t="n">
        <v>3</v>
      </c>
      <c r="B3511" s="59" t="n">
        <v>46244</v>
      </c>
      <c r="C3511" s="0" t="n">
        <v>11</v>
      </c>
      <c r="D3511" s="0" t="s">
        <v>2126</v>
      </c>
      <c r="E3511" s="0" t="n">
        <v>1723</v>
      </c>
      <c r="F3511" s="0" t="s">
        <v>77</v>
      </c>
      <c r="I3511" s="0" t="n">
        <v>174636</v>
      </c>
      <c r="J3511" s="0" t="n">
        <v>29079</v>
      </c>
      <c r="K3511" s="0" t="n">
        <v>55515</v>
      </c>
      <c r="L3511" s="0" t="s">
        <v>2213</v>
      </c>
      <c r="N3511" s="0" t="n">
        <v>66.55</v>
      </c>
      <c r="O3511" s="60" t="n">
        <v>2129.6</v>
      </c>
    </row>
    <row r="3512" customFormat="false" ht="15" hidden="false" customHeight="false" outlineLevel="0" collapsed="false">
      <c r="A3512" s="0" t="n">
        <v>3</v>
      </c>
      <c r="B3512" s="59" t="n">
        <v>46244</v>
      </c>
      <c r="C3512" s="0" t="n">
        <v>11</v>
      </c>
      <c r="D3512" s="0" t="s">
        <v>2126</v>
      </c>
      <c r="E3512" s="0" t="n">
        <v>1723</v>
      </c>
      <c r="F3512" s="0" t="s">
        <v>77</v>
      </c>
      <c r="I3512" s="0" t="n">
        <v>174636</v>
      </c>
      <c r="J3512" s="0" t="n">
        <v>29080</v>
      </c>
      <c r="K3512" s="0" t="n">
        <v>55516</v>
      </c>
      <c r="L3512" s="0" t="s">
        <v>2137</v>
      </c>
      <c r="N3512" s="0" t="n">
        <v>52.5</v>
      </c>
      <c r="O3512" s="60" t="n">
        <v>1155</v>
      </c>
    </row>
    <row r="3513" customFormat="false" ht="15" hidden="false" customHeight="false" outlineLevel="0" collapsed="false">
      <c r="A3513" s="0" t="n">
        <v>3</v>
      </c>
      <c r="B3513" s="59" t="n">
        <v>46244</v>
      </c>
      <c r="C3513" s="0" t="n">
        <v>22</v>
      </c>
      <c r="D3513" s="0" t="s">
        <v>2172</v>
      </c>
      <c r="E3513" s="0" t="n">
        <v>42</v>
      </c>
      <c r="F3513" s="0" t="s">
        <v>81</v>
      </c>
      <c r="I3513" s="0" t="n">
        <v>4483</v>
      </c>
      <c r="J3513" s="0" t="n">
        <v>100000</v>
      </c>
      <c r="K3513" s="0" t="n">
        <v>1</v>
      </c>
      <c r="L3513" s="0" t="s">
        <v>2173</v>
      </c>
      <c r="N3513" s="0" t="n">
        <v>1.926</v>
      </c>
      <c r="O3513" s="60" t="n">
        <v>41.39</v>
      </c>
    </row>
    <row r="3514" customFormat="false" ht="15" hidden="false" customHeight="false" outlineLevel="0" collapsed="false">
      <c r="A3514" s="0" t="n">
        <v>3</v>
      </c>
      <c r="B3514" s="59" t="n">
        <v>46244</v>
      </c>
      <c r="C3514" s="0" t="n">
        <v>22</v>
      </c>
      <c r="D3514" s="0" t="s">
        <v>2172</v>
      </c>
      <c r="E3514" s="0" t="n">
        <v>42</v>
      </c>
      <c r="F3514" s="0" t="s">
        <v>81</v>
      </c>
      <c r="I3514" s="0" t="n">
        <v>4483</v>
      </c>
      <c r="J3514" s="0" t="n">
        <v>100001</v>
      </c>
      <c r="K3514" s="0" t="n">
        <v>2</v>
      </c>
      <c r="L3514" s="0" t="s">
        <v>2174</v>
      </c>
      <c r="N3514" s="0" t="n">
        <v>11.795</v>
      </c>
      <c r="O3514" s="60" t="n">
        <v>270.94</v>
      </c>
    </row>
    <row r="3515" customFormat="false" ht="15" hidden="false" customHeight="false" outlineLevel="0" collapsed="false">
      <c r="A3515" s="0" t="n">
        <v>3</v>
      </c>
      <c r="B3515" s="59" t="n">
        <v>46244</v>
      </c>
      <c r="C3515" s="0" t="n">
        <v>22</v>
      </c>
      <c r="D3515" s="0" t="s">
        <v>2172</v>
      </c>
      <c r="E3515" s="0" t="n">
        <v>42</v>
      </c>
      <c r="F3515" s="0" t="s">
        <v>81</v>
      </c>
      <c r="I3515" s="0" t="n">
        <v>4483</v>
      </c>
      <c r="J3515" s="0" t="n">
        <v>100002</v>
      </c>
      <c r="K3515" s="0" t="n">
        <v>3</v>
      </c>
      <c r="L3515" s="0" t="s">
        <v>2175</v>
      </c>
      <c r="N3515" s="0" t="n">
        <v>15.59</v>
      </c>
      <c r="O3515" s="60" t="n">
        <v>369.67</v>
      </c>
    </row>
    <row r="3516" customFormat="false" ht="15" hidden="false" customHeight="false" outlineLevel="0" collapsed="false">
      <c r="A3516" s="0" t="n">
        <v>3</v>
      </c>
      <c r="B3516" s="59" t="n">
        <v>46244</v>
      </c>
      <c r="C3516" s="0" t="n">
        <v>22</v>
      </c>
      <c r="D3516" s="0" t="s">
        <v>2172</v>
      </c>
      <c r="E3516" s="0" t="n">
        <v>42</v>
      </c>
      <c r="F3516" s="0" t="s">
        <v>81</v>
      </c>
      <c r="I3516" s="0" t="n">
        <v>4483</v>
      </c>
      <c r="J3516" s="0" t="n">
        <v>100003</v>
      </c>
      <c r="K3516" s="0" t="n">
        <v>4</v>
      </c>
      <c r="L3516" s="0" t="s">
        <v>2176</v>
      </c>
      <c r="N3516" s="0" t="n">
        <v>14.466</v>
      </c>
      <c r="O3516" s="60" t="n">
        <v>375.18</v>
      </c>
    </row>
    <row r="3517" customFormat="false" ht="15" hidden="false" customHeight="false" outlineLevel="0" collapsed="false">
      <c r="A3517" s="0" t="n">
        <v>3</v>
      </c>
      <c r="B3517" s="59" t="n">
        <v>46244</v>
      </c>
      <c r="C3517" s="0" t="n">
        <v>22</v>
      </c>
      <c r="D3517" s="0" t="s">
        <v>2172</v>
      </c>
      <c r="E3517" s="0" t="n">
        <v>42</v>
      </c>
      <c r="F3517" s="0" t="s">
        <v>81</v>
      </c>
      <c r="I3517" s="0" t="n">
        <v>4483</v>
      </c>
      <c r="J3517" s="0" t="n">
        <v>100006</v>
      </c>
      <c r="K3517" s="0" t="n">
        <v>7</v>
      </c>
      <c r="L3517" s="0" t="s">
        <v>2228</v>
      </c>
      <c r="N3517" s="0" t="n">
        <v>6.56</v>
      </c>
      <c r="O3517" s="60" t="n">
        <v>215.1</v>
      </c>
    </row>
    <row r="3518" customFormat="false" ht="15" hidden="false" customHeight="false" outlineLevel="0" collapsed="false">
      <c r="A3518" s="0" t="n">
        <v>3</v>
      </c>
      <c r="B3518" s="59" t="n">
        <v>46244</v>
      </c>
      <c r="C3518" s="0" t="n">
        <v>22</v>
      </c>
      <c r="D3518" s="0" t="s">
        <v>2172</v>
      </c>
      <c r="E3518" s="0" t="n">
        <v>42</v>
      </c>
      <c r="F3518" s="0" t="s">
        <v>81</v>
      </c>
      <c r="I3518" s="0" t="n">
        <v>4483</v>
      </c>
      <c r="J3518" s="0" t="n">
        <v>100007</v>
      </c>
      <c r="K3518" s="0" t="n">
        <v>8</v>
      </c>
      <c r="L3518" s="0" t="s">
        <v>2177</v>
      </c>
      <c r="N3518" s="0" t="n">
        <v>3.57</v>
      </c>
      <c r="O3518" s="60" t="n">
        <v>89.94</v>
      </c>
    </row>
    <row r="3519" customFormat="false" ht="15" hidden="false" customHeight="false" outlineLevel="0" collapsed="false">
      <c r="A3519" s="0" t="n">
        <v>3</v>
      </c>
      <c r="B3519" s="59" t="n">
        <v>46244</v>
      </c>
      <c r="C3519" s="0" t="n">
        <v>22</v>
      </c>
      <c r="D3519" s="0" t="s">
        <v>2172</v>
      </c>
      <c r="E3519" s="0" t="n">
        <v>42</v>
      </c>
      <c r="F3519" s="0" t="s">
        <v>81</v>
      </c>
      <c r="I3519" s="0" t="n">
        <v>4483</v>
      </c>
      <c r="J3519" s="0" t="n">
        <v>100008</v>
      </c>
      <c r="K3519" s="0" t="n">
        <v>9</v>
      </c>
      <c r="L3519" s="0" t="s">
        <v>2229</v>
      </c>
      <c r="N3519" s="0" t="n">
        <v>12.575</v>
      </c>
      <c r="O3519" s="60" t="n">
        <v>422.64</v>
      </c>
    </row>
    <row r="3520" customFormat="false" ht="15" hidden="false" customHeight="false" outlineLevel="0" collapsed="false">
      <c r="A3520" s="0" t="n">
        <v>3</v>
      </c>
      <c r="B3520" s="59" t="n">
        <v>46244</v>
      </c>
      <c r="C3520" s="0" t="n">
        <v>22</v>
      </c>
      <c r="D3520" s="0" t="s">
        <v>2172</v>
      </c>
      <c r="E3520" s="0" t="n">
        <v>42</v>
      </c>
      <c r="F3520" s="0" t="s">
        <v>81</v>
      </c>
      <c r="I3520" s="0" t="n">
        <v>4483</v>
      </c>
      <c r="J3520" s="0" t="n">
        <v>100010</v>
      </c>
      <c r="K3520" s="0" t="n">
        <v>11</v>
      </c>
      <c r="L3520" s="0" t="s">
        <v>2230</v>
      </c>
      <c r="N3520" s="0" t="n">
        <v>2.794</v>
      </c>
      <c r="O3520" s="60" t="n">
        <v>107.65</v>
      </c>
    </row>
    <row r="3521" customFormat="false" ht="15" hidden="false" customHeight="false" outlineLevel="0" collapsed="false">
      <c r="A3521" s="0" t="n">
        <v>3</v>
      </c>
      <c r="B3521" s="59" t="n">
        <v>46244</v>
      </c>
      <c r="C3521" s="0" t="n">
        <v>22</v>
      </c>
      <c r="D3521" s="0" t="s">
        <v>2172</v>
      </c>
      <c r="E3521" s="0" t="n">
        <v>42</v>
      </c>
      <c r="F3521" s="0" t="s">
        <v>81</v>
      </c>
      <c r="I3521" s="0" t="n">
        <v>4483</v>
      </c>
      <c r="J3521" s="0" t="n">
        <v>100011</v>
      </c>
      <c r="K3521" s="0" t="n">
        <v>12</v>
      </c>
      <c r="L3521" s="0" t="s">
        <v>2231</v>
      </c>
      <c r="N3521" s="0" t="n">
        <v>5.748</v>
      </c>
      <c r="O3521" s="60" t="n">
        <v>221.47</v>
      </c>
    </row>
    <row r="3522" customFormat="false" ht="15" hidden="false" customHeight="false" outlineLevel="0" collapsed="false">
      <c r="A3522" s="0" t="n">
        <v>3</v>
      </c>
      <c r="B3522" s="59" t="n">
        <v>46244</v>
      </c>
      <c r="C3522" s="0" t="n">
        <v>22</v>
      </c>
      <c r="D3522" s="0" t="s">
        <v>2172</v>
      </c>
      <c r="E3522" s="0" t="n">
        <v>42</v>
      </c>
      <c r="F3522" s="0" t="s">
        <v>81</v>
      </c>
      <c r="I3522" s="0" t="n">
        <v>4483</v>
      </c>
      <c r="J3522" s="0" t="n">
        <v>100012</v>
      </c>
      <c r="K3522" s="0" t="n">
        <v>13</v>
      </c>
      <c r="L3522" s="0" t="s">
        <v>2232</v>
      </c>
      <c r="N3522" s="0" t="n">
        <v>5.954</v>
      </c>
      <c r="O3522" s="60" t="n">
        <v>248.93</v>
      </c>
    </row>
    <row r="3523" customFormat="false" ht="15" hidden="false" customHeight="false" outlineLevel="0" collapsed="false">
      <c r="A3523" s="0" t="n">
        <v>3</v>
      </c>
      <c r="B3523" s="59" t="n">
        <v>46244</v>
      </c>
      <c r="C3523" s="0" t="n">
        <v>22</v>
      </c>
      <c r="D3523" s="0" t="s">
        <v>2172</v>
      </c>
      <c r="E3523" s="0" t="n">
        <v>42</v>
      </c>
      <c r="F3523" s="0" t="s">
        <v>81</v>
      </c>
      <c r="I3523" s="0" t="n">
        <v>4483</v>
      </c>
      <c r="J3523" s="0" t="n">
        <v>100013</v>
      </c>
      <c r="K3523" s="0" t="n">
        <v>14</v>
      </c>
      <c r="L3523" s="0" t="s">
        <v>2233</v>
      </c>
      <c r="N3523" s="0" t="n">
        <v>9.635</v>
      </c>
      <c r="O3523" s="60" t="n">
        <v>434.43</v>
      </c>
    </row>
    <row r="3524" customFormat="false" ht="15" hidden="false" customHeight="false" outlineLevel="0" collapsed="false">
      <c r="A3524" s="0" t="n">
        <v>3</v>
      </c>
      <c r="B3524" s="59" t="n">
        <v>46244</v>
      </c>
      <c r="C3524" s="0" t="n">
        <v>22</v>
      </c>
      <c r="D3524" s="0" t="s">
        <v>2172</v>
      </c>
      <c r="E3524" s="0" t="n">
        <v>42</v>
      </c>
      <c r="F3524" s="0" t="s">
        <v>81</v>
      </c>
      <c r="I3524" s="0" t="n">
        <v>4483</v>
      </c>
      <c r="J3524" s="0" t="n">
        <v>100014</v>
      </c>
      <c r="K3524" s="0" t="n">
        <v>15</v>
      </c>
      <c r="L3524" s="0" t="s">
        <v>2234</v>
      </c>
      <c r="N3524" s="0" t="n">
        <v>3.81</v>
      </c>
      <c r="O3524" s="60" t="n">
        <v>174.91</v>
      </c>
    </row>
    <row r="3525" customFormat="false" ht="15" hidden="false" customHeight="false" outlineLevel="0" collapsed="false">
      <c r="A3525" s="0" t="n">
        <v>3</v>
      </c>
      <c r="B3525" s="59" t="n">
        <v>46244</v>
      </c>
      <c r="C3525" s="0" t="n">
        <v>22</v>
      </c>
      <c r="D3525" s="0" t="s">
        <v>2172</v>
      </c>
      <c r="E3525" s="0" t="n">
        <v>42</v>
      </c>
      <c r="F3525" s="0" t="s">
        <v>81</v>
      </c>
      <c r="I3525" s="0" t="n">
        <v>4483</v>
      </c>
      <c r="J3525" s="0" t="n">
        <v>100015</v>
      </c>
      <c r="K3525" s="0" t="n">
        <v>16</v>
      </c>
      <c r="L3525" s="0" t="s">
        <v>2235</v>
      </c>
      <c r="N3525" s="0" t="n">
        <v>1.236</v>
      </c>
      <c r="O3525" s="60" t="n">
        <v>51.68</v>
      </c>
    </row>
    <row r="3526" customFormat="false" ht="15" hidden="false" customHeight="false" outlineLevel="0" collapsed="false">
      <c r="A3526" s="0" t="n">
        <v>3</v>
      </c>
      <c r="B3526" s="59" t="n">
        <v>46244</v>
      </c>
      <c r="C3526" s="0" t="n">
        <v>22</v>
      </c>
      <c r="D3526" s="0" t="s">
        <v>2172</v>
      </c>
      <c r="E3526" s="0" t="n">
        <v>42</v>
      </c>
      <c r="F3526" s="0" t="s">
        <v>81</v>
      </c>
      <c r="I3526" s="0" t="n">
        <v>4483</v>
      </c>
      <c r="J3526" s="0" t="n">
        <v>100016</v>
      </c>
      <c r="K3526" s="0" t="n">
        <v>17</v>
      </c>
      <c r="L3526" s="0" t="s">
        <v>2236</v>
      </c>
      <c r="N3526" s="0" t="n">
        <v>1.722</v>
      </c>
      <c r="O3526" s="60" t="n">
        <v>77.64</v>
      </c>
    </row>
    <row r="3527" customFormat="false" ht="15" hidden="false" customHeight="false" outlineLevel="0" collapsed="false">
      <c r="A3527" s="0" t="n">
        <v>3</v>
      </c>
      <c r="B3527" s="59" t="n">
        <v>46244</v>
      </c>
      <c r="C3527" s="0" t="n">
        <v>22</v>
      </c>
      <c r="D3527" s="0" t="s">
        <v>2172</v>
      </c>
      <c r="E3527" s="0" t="n">
        <v>42</v>
      </c>
      <c r="F3527" s="0" t="s">
        <v>81</v>
      </c>
      <c r="I3527" s="0" t="n">
        <v>4483</v>
      </c>
      <c r="J3527" s="0" t="n">
        <v>100017</v>
      </c>
      <c r="K3527" s="0" t="n">
        <v>18</v>
      </c>
      <c r="L3527" s="0" t="s">
        <v>2237</v>
      </c>
      <c r="N3527" s="0" t="n">
        <v>1.728</v>
      </c>
      <c r="O3527" s="60" t="n">
        <v>92.08</v>
      </c>
    </row>
    <row r="3528" customFormat="false" ht="15" hidden="false" customHeight="false" outlineLevel="0" collapsed="false">
      <c r="A3528" s="0" t="n">
        <v>3</v>
      </c>
      <c r="B3528" s="59" t="n">
        <v>46244</v>
      </c>
      <c r="C3528" s="0" t="n">
        <v>22</v>
      </c>
      <c r="D3528" s="0" t="s">
        <v>2172</v>
      </c>
      <c r="E3528" s="0" t="n">
        <v>42</v>
      </c>
      <c r="F3528" s="0" t="s">
        <v>81</v>
      </c>
      <c r="I3528" s="0" t="n">
        <v>4483</v>
      </c>
      <c r="J3528" s="0" t="n">
        <v>100053</v>
      </c>
      <c r="K3528" s="0" t="n">
        <v>54</v>
      </c>
      <c r="L3528" s="0" t="s">
        <v>2238</v>
      </c>
      <c r="N3528" s="0" t="n">
        <v>1.456</v>
      </c>
      <c r="O3528" s="60" t="n">
        <v>53.71</v>
      </c>
    </row>
    <row r="3529" customFormat="false" ht="15" hidden="false" customHeight="false" outlineLevel="0" collapsed="false">
      <c r="A3529" s="0" t="n">
        <v>3</v>
      </c>
      <c r="B3529" s="59" t="n">
        <v>46244</v>
      </c>
      <c r="C3529" s="0" t="n">
        <v>22</v>
      </c>
      <c r="D3529" s="0" t="s">
        <v>2172</v>
      </c>
      <c r="E3529" s="0" t="n">
        <v>42</v>
      </c>
      <c r="F3529" s="0" t="s">
        <v>81</v>
      </c>
      <c r="I3529" s="0" t="n">
        <v>4483</v>
      </c>
      <c r="J3529" s="0" t="n">
        <v>100638</v>
      </c>
      <c r="K3529" s="0" t="n">
        <v>508</v>
      </c>
      <c r="L3529" s="0" t="s">
        <v>2178</v>
      </c>
      <c r="N3529" s="0" t="n">
        <v>1.616</v>
      </c>
      <c r="O3529" s="60" t="n">
        <v>2.64</v>
      </c>
    </row>
    <row r="3530" customFormat="false" ht="15" hidden="false" customHeight="false" outlineLevel="0" collapsed="false">
      <c r="A3530" s="0" t="n">
        <v>3</v>
      </c>
      <c r="B3530" s="59" t="n">
        <v>46244</v>
      </c>
      <c r="C3530" s="0" t="n">
        <v>22</v>
      </c>
      <c r="D3530" s="0" t="s">
        <v>2172</v>
      </c>
      <c r="E3530" s="0" t="n">
        <v>42</v>
      </c>
      <c r="F3530" s="0" t="s">
        <v>81</v>
      </c>
      <c r="I3530" s="0" t="n">
        <v>4483</v>
      </c>
      <c r="J3530" s="0" t="n">
        <v>100638</v>
      </c>
      <c r="K3530" s="0" t="n">
        <v>508</v>
      </c>
      <c r="L3530" s="0" t="s">
        <v>2178</v>
      </c>
      <c r="N3530" s="0" t="n">
        <v>2.302</v>
      </c>
      <c r="O3530" s="60" t="n">
        <v>3.4</v>
      </c>
    </row>
    <row r="3531" customFormat="false" ht="15" hidden="false" customHeight="false" outlineLevel="0" collapsed="false">
      <c r="A3531" s="0" t="n">
        <v>3</v>
      </c>
      <c r="B3531" s="59" t="n">
        <v>46244</v>
      </c>
      <c r="C3531" s="0" t="n">
        <v>22</v>
      </c>
      <c r="D3531" s="0" t="s">
        <v>2172</v>
      </c>
      <c r="E3531" s="0" t="n">
        <v>42</v>
      </c>
      <c r="F3531" s="0" t="s">
        <v>81</v>
      </c>
      <c r="I3531" s="0" t="n">
        <v>4483</v>
      </c>
      <c r="J3531" s="0" t="n">
        <v>100520</v>
      </c>
      <c r="K3531" s="0" t="n">
        <v>507</v>
      </c>
      <c r="L3531" s="0" t="s">
        <v>2179</v>
      </c>
      <c r="N3531" s="0" t="n">
        <v>10.893</v>
      </c>
      <c r="O3531" s="60" t="n">
        <v>26.71</v>
      </c>
    </row>
    <row r="3532" customFormat="false" ht="15" hidden="false" customHeight="false" outlineLevel="0" collapsed="false">
      <c r="A3532" s="0" t="n">
        <v>3</v>
      </c>
      <c r="B3532" s="59" t="n">
        <v>46244</v>
      </c>
      <c r="C3532" s="0" t="n">
        <v>22</v>
      </c>
      <c r="D3532" s="0" t="s">
        <v>2172</v>
      </c>
      <c r="E3532" s="0" t="n">
        <v>42</v>
      </c>
      <c r="F3532" s="0" t="s">
        <v>81</v>
      </c>
      <c r="I3532" s="0" t="n">
        <v>4483</v>
      </c>
      <c r="J3532" s="0" t="n">
        <v>100520</v>
      </c>
      <c r="K3532" s="0" t="n">
        <v>507</v>
      </c>
      <c r="L3532" s="0" t="s">
        <v>2179</v>
      </c>
      <c r="N3532" s="0" t="n">
        <v>2.024</v>
      </c>
      <c r="O3532" s="60" t="n">
        <v>4.49</v>
      </c>
    </row>
    <row r="3533" customFormat="false" ht="15" hidden="false" customHeight="false" outlineLevel="0" collapsed="false">
      <c r="A3533" s="0" t="n">
        <v>3</v>
      </c>
      <c r="B3533" s="59" t="n">
        <v>46244</v>
      </c>
      <c r="C3533" s="0" t="n">
        <v>22</v>
      </c>
      <c r="D3533" s="0" t="s">
        <v>2172</v>
      </c>
      <c r="E3533" s="0" t="n">
        <v>42</v>
      </c>
      <c r="F3533" s="0" t="s">
        <v>81</v>
      </c>
      <c r="I3533" s="0" t="n">
        <v>4483</v>
      </c>
      <c r="J3533" s="0" t="n">
        <v>110455</v>
      </c>
      <c r="K3533" s="0" t="n">
        <v>53212</v>
      </c>
      <c r="L3533" s="0" t="s">
        <v>2180</v>
      </c>
      <c r="N3533" s="0" t="n">
        <v>0.827</v>
      </c>
      <c r="O3533" s="60" t="n">
        <v>0</v>
      </c>
    </row>
    <row r="3534" customFormat="false" ht="15" hidden="false" customHeight="false" outlineLevel="0" collapsed="false">
      <c r="A3534" s="0" t="n">
        <v>3</v>
      </c>
      <c r="B3534" s="59" t="n">
        <v>46244</v>
      </c>
      <c r="C3534" s="0" t="n">
        <v>22</v>
      </c>
      <c r="D3534" s="0" t="s">
        <v>2172</v>
      </c>
      <c r="E3534" s="0" t="n">
        <v>42</v>
      </c>
      <c r="F3534" s="0" t="s">
        <v>81</v>
      </c>
      <c r="I3534" s="0" t="n">
        <v>4483</v>
      </c>
      <c r="J3534" s="0" t="n">
        <v>110455</v>
      </c>
      <c r="K3534" s="0" t="n">
        <v>53212</v>
      </c>
      <c r="L3534" s="0" t="s">
        <v>2180</v>
      </c>
      <c r="N3534" s="0" t="n">
        <v>0.823</v>
      </c>
      <c r="O3534" s="60" t="n">
        <v>0.01</v>
      </c>
    </row>
    <row r="3535" customFormat="false" ht="15" hidden="false" customHeight="false" outlineLevel="0" collapsed="false">
      <c r="A3535" s="0" t="n">
        <v>3</v>
      </c>
      <c r="B3535" s="59" t="n">
        <v>46244</v>
      </c>
      <c r="C3535" s="0" t="n">
        <v>100</v>
      </c>
      <c r="D3535" s="0" t="s">
        <v>2181</v>
      </c>
      <c r="E3535" s="0" t="n">
        <v>42</v>
      </c>
      <c r="F3535" s="0" t="s">
        <v>81</v>
      </c>
      <c r="I3535" s="0" t="n">
        <v>1530229</v>
      </c>
      <c r="J3535" s="0" t="n">
        <v>100000</v>
      </c>
      <c r="K3535" s="0" t="n">
        <v>1</v>
      </c>
      <c r="L3535" s="0" t="s">
        <v>2173</v>
      </c>
      <c r="N3535" s="0" t="n">
        <v>1.926</v>
      </c>
      <c r="O3535" s="60" t="n">
        <v>41.39</v>
      </c>
    </row>
    <row r="3536" customFormat="false" ht="15" hidden="false" customHeight="false" outlineLevel="0" collapsed="false">
      <c r="A3536" s="0" t="n">
        <v>3</v>
      </c>
      <c r="B3536" s="59" t="n">
        <v>46244</v>
      </c>
      <c r="C3536" s="0" t="n">
        <v>100</v>
      </c>
      <c r="D3536" s="0" t="s">
        <v>2181</v>
      </c>
      <c r="E3536" s="0" t="n">
        <v>42</v>
      </c>
      <c r="F3536" s="0" t="s">
        <v>81</v>
      </c>
      <c r="I3536" s="0" t="n">
        <v>1530229</v>
      </c>
      <c r="J3536" s="0" t="n">
        <v>100001</v>
      </c>
      <c r="K3536" s="0" t="n">
        <v>2</v>
      </c>
      <c r="L3536" s="0" t="s">
        <v>2174</v>
      </c>
      <c r="N3536" s="0" t="n">
        <v>11.795</v>
      </c>
      <c r="O3536" s="60" t="n">
        <v>270.94</v>
      </c>
    </row>
    <row r="3537" customFormat="false" ht="15" hidden="false" customHeight="false" outlineLevel="0" collapsed="false">
      <c r="A3537" s="0" t="n">
        <v>3</v>
      </c>
      <c r="B3537" s="59" t="n">
        <v>46244</v>
      </c>
      <c r="C3537" s="0" t="n">
        <v>100</v>
      </c>
      <c r="D3537" s="0" t="s">
        <v>2181</v>
      </c>
      <c r="E3537" s="0" t="n">
        <v>42</v>
      </c>
      <c r="F3537" s="0" t="s">
        <v>81</v>
      </c>
      <c r="I3537" s="0" t="n">
        <v>1530229</v>
      </c>
      <c r="J3537" s="0" t="n">
        <v>100002</v>
      </c>
      <c r="K3537" s="0" t="n">
        <v>3</v>
      </c>
      <c r="L3537" s="0" t="s">
        <v>2175</v>
      </c>
      <c r="N3537" s="0" t="n">
        <v>15.59</v>
      </c>
      <c r="O3537" s="60" t="n">
        <v>369.67</v>
      </c>
    </row>
    <row r="3538" customFormat="false" ht="15" hidden="false" customHeight="false" outlineLevel="0" collapsed="false">
      <c r="A3538" s="0" t="n">
        <v>3</v>
      </c>
      <c r="B3538" s="59" t="n">
        <v>46244</v>
      </c>
      <c r="C3538" s="0" t="n">
        <v>100</v>
      </c>
      <c r="D3538" s="0" t="s">
        <v>2181</v>
      </c>
      <c r="E3538" s="0" t="n">
        <v>42</v>
      </c>
      <c r="F3538" s="0" t="s">
        <v>81</v>
      </c>
      <c r="I3538" s="0" t="n">
        <v>1530229</v>
      </c>
      <c r="J3538" s="0" t="n">
        <v>100003</v>
      </c>
      <c r="K3538" s="0" t="n">
        <v>4</v>
      </c>
      <c r="L3538" s="0" t="s">
        <v>2176</v>
      </c>
      <c r="N3538" s="0" t="n">
        <v>14.466</v>
      </c>
      <c r="O3538" s="60" t="n">
        <v>375.18</v>
      </c>
    </row>
    <row r="3539" customFormat="false" ht="15" hidden="false" customHeight="false" outlineLevel="0" collapsed="false">
      <c r="A3539" s="0" t="n">
        <v>3</v>
      </c>
      <c r="B3539" s="59" t="n">
        <v>46244</v>
      </c>
      <c r="C3539" s="0" t="n">
        <v>100</v>
      </c>
      <c r="D3539" s="0" t="s">
        <v>2181</v>
      </c>
      <c r="E3539" s="0" t="n">
        <v>42</v>
      </c>
      <c r="F3539" s="0" t="s">
        <v>81</v>
      </c>
      <c r="I3539" s="0" t="n">
        <v>1530229</v>
      </c>
      <c r="J3539" s="0" t="n">
        <v>100007</v>
      </c>
      <c r="K3539" s="0" t="n">
        <v>8</v>
      </c>
      <c r="L3539" s="0" t="s">
        <v>2177</v>
      </c>
      <c r="N3539" s="0" t="n">
        <v>3.57</v>
      </c>
      <c r="O3539" s="60" t="n">
        <v>89.94</v>
      </c>
    </row>
    <row r="3540" customFormat="false" ht="15" hidden="false" customHeight="false" outlineLevel="0" collapsed="false">
      <c r="A3540" s="0" t="n">
        <v>3</v>
      </c>
      <c r="B3540" s="59" t="n">
        <v>46244</v>
      </c>
      <c r="C3540" s="0" t="n">
        <v>100</v>
      </c>
      <c r="D3540" s="0" t="s">
        <v>2181</v>
      </c>
      <c r="E3540" s="0" t="n">
        <v>42</v>
      </c>
      <c r="F3540" s="0" t="s">
        <v>81</v>
      </c>
      <c r="I3540" s="0" t="n">
        <v>1530229</v>
      </c>
      <c r="J3540" s="0" t="n">
        <v>100638</v>
      </c>
      <c r="K3540" s="0" t="n">
        <v>508</v>
      </c>
      <c r="L3540" s="0" t="s">
        <v>2178</v>
      </c>
      <c r="N3540" s="0" t="n">
        <v>2.302</v>
      </c>
      <c r="O3540" s="60" t="n">
        <v>3.4</v>
      </c>
    </row>
    <row r="3541" customFormat="false" ht="15" hidden="false" customHeight="false" outlineLevel="0" collapsed="false">
      <c r="A3541" s="0" t="n">
        <v>3</v>
      </c>
      <c r="B3541" s="59" t="n">
        <v>46244</v>
      </c>
      <c r="C3541" s="0" t="n">
        <v>100</v>
      </c>
      <c r="D3541" s="0" t="s">
        <v>2181</v>
      </c>
      <c r="E3541" s="0" t="n">
        <v>42</v>
      </c>
      <c r="F3541" s="0" t="s">
        <v>81</v>
      </c>
      <c r="I3541" s="0" t="n">
        <v>1530229</v>
      </c>
      <c r="J3541" s="0" t="n">
        <v>100520</v>
      </c>
      <c r="K3541" s="0" t="n">
        <v>507</v>
      </c>
      <c r="L3541" s="0" t="s">
        <v>2179</v>
      </c>
      <c r="N3541" s="0" t="n">
        <v>2.024</v>
      </c>
      <c r="O3541" s="60" t="n">
        <v>4.49</v>
      </c>
    </row>
    <row r="3542" customFormat="false" ht="15" hidden="false" customHeight="false" outlineLevel="0" collapsed="false">
      <c r="A3542" s="0" t="n">
        <v>3</v>
      </c>
      <c r="B3542" s="59" t="n">
        <v>46244</v>
      </c>
      <c r="C3542" s="0" t="n">
        <v>100</v>
      </c>
      <c r="D3542" s="0" t="s">
        <v>2181</v>
      </c>
      <c r="E3542" s="0" t="n">
        <v>42</v>
      </c>
      <c r="F3542" s="0" t="s">
        <v>81</v>
      </c>
      <c r="I3542" s="0" t="n">
        <v>1530229</v>
      </c>
      <c r="J3542" s="0" t="n">
        <v>110455</v>
      </c>
      <c r="K3542" s="0" t="n">
        <v>53212</v>
      </c>
      <c r="L3542" s="0" t="s">
        <v>2180</v>
      </c>
      <c r="N3542" s="0" t="n">
        <v>0.827</v>
      </c>
      <c r="O3542" s="60" t="n">
        <v>0</v>
      </c>
    </row>
    <row r="3543" customFormat="false" ht="15" hidden="false" customHeight="false" outlineLevel="0" collapsed="false">
      <c r="A3543" s="0" t="n">
        <v>3</v>
      </c>
      <c r="B3543" s="59" t="n">
        <v>46244</v>
      </c>
      <c r="C3543" s="0" t="n">
        <v>100</v>
      </c>
      <c r="D3543" s="0" t="s">
        <v>2181</v>
      </c>
      <c r="E3543" s="0" t="n">
        <v>42</v>
      </c>
      <c r="F3543" s="0" t="s">
        <v>81</v>
      </c>
      <c r="I3543" s="0" t="n">
        <v>1530233</v>
      </c>
      <c r="J3543" s="0" t="n">
        <v>100006</v>
      </c>
      <c r="K3543" s="0" t="n">
        <v>7</v>
      </c>
      <c r="L3543" s="0" t="s">
        <v>2228</v>
      </c>
      <c r="N3543" s="0" t="n">
        <v>6.56</v>
      </c>
      <c r="O3543" s="60" t="n">
        <v>215.1</v>
      </c>
    </row>
    <row r="3544" customFormat="false" ht="15" hidden="false" customHeight="false" outlineLevel="0" collapsed="false">
      <c r="A3544" s="0" t="n">
        <v>3</v>
      </c>
      <c r="B3544" s="59" t="n">
        <v>46244</v>
      </c>
      <c r="C3544" s="0" t="n">
        <v>100</v>
      </c>
      <c r="D3544" s="0" t="s">
        <v>2181</v>
      </c>
      <c r="E3544" s="0" t="n">
        <v>42</v>
      </c>
      <c r="F3544" s="0" t="s">
        <v>81</v>
      </c>
      <c r="I3544" s="0" t="n">
        <v>1530233</v>
      </c>
      <c r="J3544" s="0" t="n">
        <v>100008</v>
      </c>
      <c r="K3544" s="0" t="n">
        <v>9</v>
      </c>
      <c r="L3544" s="0" t="s">
        <v>2229</v>
      </c>
      <c r="N3544" s="0" t="n">
        <v>12.575</v>
      </c>
      <c r="O3544" s="60" t="n">
        <v>422.64</v>
      </c>
    </row>
    <row r="3545" customFormat="false" ht="15" hidden="false" customHeight="false" outlineLevel="0" collapsed="false">
      <c r="A3545" s="0" t="n">
        <v>3</v>
      </c>
      <c r="B3545" s="59" t="n">
        <v>46244</v>
      </c>
      <c r="C3545" s="0" t="n">
        <v>100</v>
      </c>
      <c r="D3545" s="0" t="s">
        <v>2181</v>
      </c>
      <c r="E3545" s="0" t="n">
        <v>42</v>
      </c>
      <c r="F3545" s="0" t="s">
        <v>81</v>
      </c>
      <c r="I3545" s="0" t="n">
        <v>1530233</v>
      </c>
      <c r="J3545" s="0" t="n">
        <v>100010</v>
      </c>
      <c r="K3545" s="0" t="n">
        <v>11</v>
      </c>
      <c r="L3545" s="0" t="s">
        <v>2230</v>
      </c>
      <c r="N3545" s="0" t="n">
        <v>2.794</v>
      </c>
      <c r="O3545" s="60" t="n">
        <v>107.65</v>
      </c>
    </row>
    <row r="3546" customFormat="false" ht="15" hidden="false" customHeight="false" outlineLevel="0" collapsed="false">
      <c r="A3546" s="0" t="n">
        <v>3</v>
      </c>
      <c r="B3546" s="59" t="n">
        <v>46244</v>
      </c>
      <c r="C3546" s="0" t="n">
        <v>100</v>
      </c>
      <c r="D3546" s="0" t="s">
        <v>2181</v>
      </c>
      <c r="E3546" s="0" t="n">
        <v>42</v>
      </c>
      <c r="F3546" s="0" t="s">
        <v>81</v>
      </c>
      <c r="I3546" s="0" t="n">
        <v>1530233</v>
      </c>
      <c r="J3546" s="0" t="n">
        <v>100011</v>
      </c>
      <c r="K3546" s="0" t="n">
        <v>12</v>
      </c>
      <c r="L3546" s="0" t="s">
        <v>2231</v>
      </c>
      <c r="N3546" s="0" t="n">
        <v>5.748</v>
      </c>
      <c r="O3546" s="60" t="n">
        <v>221.47</v>
      </c>
    </row>
    <row r="3547" customFormat="false" ht="15" hidden="false" customHeight="false" outlineLevel="0" collapsed="false">
      <c r="A3547" s="0" t="n">
        <v>3</v>
      </c>
      <c r="B3547" s="59" t="n">
        <v>46244</v>
      </c>
      <c r="C3547" s="0" t="n">
        <v>100</v>
      </c>
      <c r="D3547" s="0" t="s">
        <v>2181</v>
      </c>
      <c r="E3547" s="0" t="n">
        <v>42</v>
      </c>
      <c r="F3547" s="0" t="s">
        <v>81</v>
      </c>
      <c r="I3547" s="0" t="n">
        <v>1530233</v>
      </c>
      <c r="J3547" s="0" t="n">
        <v>100012</v>
      </c>
      <c r="K3547" s="0" t="n">
        <v>13</v>
      </c>
      <c r="L3547" s="0" t="s">
        <v>2232</v>
      </c>
      <c r="N3547" s="0" t="n">
        <v>5.954</v>
      </c>
      <c r="O3547" s="60" t="n">
        <v>248.93</v>
      </c>
    </row>
    <row r="3548" customFormat="false" ht="15" hidden="false" customHeight="false" outlineLevel="0" collapsed="false">
      <c r="A3548" s="0" t="n">
        <v>3</v>
      </c>
      <c r="B3548" s="59" t="n">
        <v>46244</v>
      </c>
      <c r="C3548" s="0" t="n">
        <v>100</v>
      </c>
      <c r="D3548" s="0" t="s">
        <v>2181</v>
      </c>
      <c r="E3548" s="0" t="n">
        <v>42</v>
      </c>
      <c r="F3548" s="0" t="s">
        <v>81</v>
      </c>
      <c r="I3548" s="0" t="n">
        <v>1530233</v>
      </c>
      <c r="J3548" s="0" t="n">
        <v>100013</v>
      </c>
      <c r="K3548" s="0" t="n">
        <v>14</v>
      </c>
      <c r="L3548" s="0" t="s">
        <v>2233</v>
      </c>
      <c r="N3548" s="0" t="n">
        <v>9.635</v>
      </c>
      <c r="O3548" s="60" t="n">
        <v>434.43</v>
      </c>
    </row>
    <row r="3549" customFormat="false" ht="15" hidden="false" customHeight="false" outlineLevel="0" collapsed="false">
      <c r="A3549" s="0" t="n">
        <v>3</v>
      </c>
      <c r="B3549" s="59" t="n">
        <v>46244</v>
      </c>
      <c r="C3549" s="0" t="n">
        <v>100</v>
      </c>
      <c r="D3549" s="0" t="s">
        <v>2181</v>
      </c>
      <c r="E3549" s="0" t="n">
        <v>42</v>
      </c>
      <c r="F3549" s="0" t="s">
        <v>81</v>
      </c>
      <c r="I3549" s="0" t="n">
        <v>1530233</v>
      </c>
      <c r="J3549" s="0" t="n">
        <v>100014</v>
      </c>
      <c r="K3549" s="0" t="n">
        <v>15</v>
      </c>
      <c r="L3549" s="0" t="s">
        <v>2234</v>
      </c>
      <c r="N3549" s="0" t="n">
        <v>3.81</v>
      </c>
      <c r="O3549" s="60" t="n">
        <v>174.91</v>
      </c>
    </row>
    <row r="3550" customFormat="false" ht="15" hidden="false" customHeight="false" outlineLevel="0" collapsed="false">
      <c r="A3550" s="0" t="n">
        <v>3</v>
      </c>
      <c r="B3550" s="59" t="n">
        <v>46244</v>
      </c>
      <c r="C3550" s="0" t="n">
        <v>100</v>
      </c>
      <c r="D3550" s="0" t="s">
        <v>2181</v>
      </c>
      <c r="E3550" s="0" t="n">
        <v>42</v>
      </c>
      <c r="F3550" s="0" t="s">
        <v>81</v>
      </c>
      <c r="I3550" s="0" t="n">
        <v>1530233</v>
      </c>
      <c r="J3550" s="0" t="n">
        <v>100015</v>
      </c>
      <c r="K3550" s="0" t="n">
        <v>16</v>
      </c>
      <c r="L3550" s="0" t="s">
        <v>2235</v>
      </c>
      <c r="N3550" s="0" t="n">
        <v>1.236</v>
      </c>
      <c r="O3550" s="60" t="n">
        <v>51.68</v>
      </c>
    </row>
    <row r="3551" customFormat="false" ht="15" hidden="false" customHeight="false" outlineLevel="0" collapsed="false">
      <c r="A3551" s="0" t="n">
        <v>3</v>
      </c>
      <c r="B3551" s="59" t="n">
        <v>46244</v>
      </c>
      <c r="C3551" s="0" t="n">
        <v>100</v>
      </c>
      <c r="D3551" s="0" t="s">
        <v>2181</v>
      </c>
      <c r="E3551" s="0" t="n">
        <v>42</v>
      </c>
      <c r="F3551" s="0" t="s">
        <v>81</v>
      </c>
      <c r="I3551" s="0" t="n">
        <v>1530233</v>
      </c>
      <c r="J3551" s="0" t="n">
        <v>100016</v>
      </c>
      <c r="K3551" s="0" t="n">
        <v>17</v>
      </c>
      <c r="L3551" s="0" t="s">
        <v>2236</v>
      </c>
      <c r="N3551" s="0" t="n">
        <v>1.722</v>
      </c>
      <c r="O3551" s="60" t="n">
        <v>77.64</v>
      </c>
    </row>
    <row r="3552" customFormat="false" ht="15" hidden="false" customHeight="false" outlineLevel="0" collapsed="false">
      <c r="A3552" s="0" t="n">
        <v>3</v>
      </c>
      <c r="B3552" s="59" t="n">
        <v>46244</v>
      </c>
      <c r="C3552" s="0" t="n">
        <v>100</v>
      </c>
      <c r="D3552" s="0" t="s">
        <v>2181</v>
      </c>
      <c r="E3552" s="0" t="n">
        <v>42</v>
      </c>
      <c r="F3552" s="0" t="s">
        <v>81</v>
      </c>
      <c r="I3552" s="0" t="n">
        <v>1530233</v>
      </c>
      <c r="J3552" s="0" t="n">
        <v>100017</v>
      </c>
      <c r="K3552" s="0" t="n">
        <v>18</v>
      </c>
      <c r="L3552" s="0" t="s">
        <v>2237</v>
      </c>
      <c r="N3552" s="0" t="n">
        <v>1.728</v>
      </c>
      <c r="O3552" s="60" t="n">
        <v>92.08</v>
      </c>
    </row>
    <row r="3553" customFormat="false" ht="15" hidden="false" customHeight="false" outlineLevel="0" collapsed="false">
      <c r="A3553" s="0" t="n">
        <v>3</v>
      </c>
      <c r="B3553" s="59" t="n">
        <v>46244</v>
      </c>
      <c r="C3553" s="0" t="n">
        <v>100</v>
      </c>
      <c r="D3553" s="0" t="s">
        <v>2181</v>
      </c>
      <c r="E3553" s="0" t="n">
        <v>42</v>
      </c>
      <c r="F3553" s="0" t="s">
        <v>81</v>
      </c>
      <c r="I3553" s="0" t="n">
        <v>1530233</v>
      </c>
      <c r="J3553" s="0" t="n">
        <v>100053</v>
      </c>
      <c r="K3553" s="0" t="n">
        <v>54</v>
      </c>
      <c r="L3553" s="0" t="s">
        <v>2238</v>
      </c>
      <c r="N3553" s="0" t="n">
        <v>1.456</v>
      </c>
      <c r="O3553" s="60" t="n">
        <v>53.71</v>
      </c>
    </row>
    <row r="3554" customFormat="false" ht="15" hidden="false" customHeight="false" outlineLevel="0" collapsed="false">
      <c r="A3554" s="0" t="n">
        <v>3</v>
      </c>
      <c r="B3554" s="59" t="n">
        <v>46244</v>
      </c>
      <c r="C3554" s="0" t="n">
        <v>100</v>
      </c>
      <c r="D3554" s="0" t="s">
        <v>2181</v>
      </c>
      <c r="E3554" s="0" t="n">
        <v>42</v>
      </c>
      <c r="F3554" s="0" t="s">
        <v>81</v>
      </c>
      <c r="I3554" s="0" t="n">
        <v>1530233</v>
      </c>
      <c r="J3554" s="0" t="n">
        <v>100638</v>
      </c>
      <c r="K3554" s="0" t="n">
        <v>508</v>
      </c>
      <c r="L3554" s="0" t="s">
        <v>2178</v>
      </c>
      <c r="N3554" s="0" t="n">
        <v>1.616</v>
      </c>
      <c r="O3554" s="60" t="n">
        <v>2.64</v>
      </c>
    </row>
    <row r="3555" customFormat="false" ht="15" hidden="false" customHeight="false" outlineLevel="0" collapsed="false">
      <c r="A3555" s="0" t="n">
        <v>3</v>
      </c>
      <c r="B3555" s="59" t="n">
        <v>46244</v>
      </c>
      <c r="C3555" s="0" t="n">
        <v>100</v>
      </c>
      <c r="D3555" s="0" t="s">
        <v>2181</v>
      </c>
      <c r="E3555" s="0" t="n">
        <v>42</v>
      </c>
      <c r="F3555" s="0" t="s">
        <v>81</v>
      </c>
      <c r="I3555" s="0" t="n">
        <v>1530233</v>
      </c>
      <c r="J3555" s="0" t="n">
        <v>100520</v>
      </c>
      <c r="K3555" s="0" t="n">
        <v>507</v>
      </c>
      <c r="L3555" s="0" t="s">
        <v>2179</v>
      </c>
      <c r="N3555" s="0" t="n">
        <v>10.893</v>
      </c>
      <c r="O3555" s="60" t="n">
        <v>26.71</v>
      </c>
    </row>
    <row r="3556" customFormat="false" ht="15" hidden="false" customHeight="false" outlineLevel="0" collapsed="false">
      <c r="A3556" s="0" t="n">
        <v>3</v>
      </c>
      <c r="B3556" s="59" t="n">
        <v>46244</v>
      </c>
      <c r="C3556" s="0" t="n">
        <v>100</v>
      </c>
      <c r="D3556" s="0" t="s">
        <v>2181</v>
      </c>
      <c r="E3556" s="0" t="n">
        <v>42</v>
      </c>
      <c r="F3556" s="0" t="s">
        <v>81</v>
      </c>
      <c r="I3556" s="0" t="n">
        <v>1530233</v>
      </c>
      <c r="J3556" s="0" t="n">
        <v>110455</v>
      </c>
      <c r="K3556" s="0" t="n">
        <v>53212</v>
      </c>
      <c r="L3556" s="0" t="s">
        <v>2180</v>
      </c>
      <c r="N3556" s="0" t="n">
        <v>0.823</v>
      </c>
      <c r="O3556" s="60" t="n">
        <v>0.01</v>
      </c>
    </row>
    <row r="3557" customFormat="false" ht="15" hidden="false" customHeight="false" outlineLevel="0" collapsed="false">
      <c r="A3557" s="0" t="n">
        <v>3</v>
      </c>
      <c r="B3557" s="59" t="n">
        <v>46245</v>
      </c>
      <c r="C3557" s="0" t="n">
        <v>6</v>
      </c>
      <c r="D3557" s="0" t="s">
        <v>2125</v>
      </c>
      <c r="E3557" s="0" t="n">
        <v>42</v>
      </c>
      <c r="F3557" s="0" t="s">
        <v>81</v>
      </c>
      <c r="I3557" s="0" t="n">
        <v>4486</v>
      </c>
      <c r="J3557" s="0" t="n">
        <v>109791</v>
      </c>
      <c r="K3557" s="0" t="n">
        <v>9667</v>
      </c>
      <c r="L3557" s="0" t="s">
        <v>2123</v>
      </c>
      <c r="N3557" s="0" t="n">
        <v>6</v>
      </c>
      <c r="O3557" s="60" t="n">
        <v>15</v>
      </c>
    </row>
    <row r="3558" customFormat="false" ht="15" hidden="false" customHeight="false" outlineLevel="0" collapsed="false">
      <c r="A3558" s="0" t="n">
        <v>3</v>
      </c>
      <c r="B3558" s="59" t="n">
        <v>46245</v>
      </c>
      <c r="C3558" s="0" t="n">
        <v>6</v>
      </c>
      <c r="D3558" s="0" t="s">
        <v>2125</v>
      </c>
      <c r="E3558" s="0" t="n">
        <v>42</v>
      </c>
      <c r="F3558" s="0" t="s">
        <v>81</v>
      </c>
      <c r="I3558" s="0" t="n">
        <v>4486</v>
      </c>
      <c r="J3558" s="0" t="n">
        <v>37359</v>
      </c>
      <c r="K3558" s="0" t="n">
        <v>55526</v>
      </c>
      <c r="L3558" s="0" t="s">
        <v>2194</v>
      </c>
      <c r="N3558" s="0" t="n">
        <v>5</v>
      </c>
      <c r="O3558" s="60" t="n">
        <v>30</v>
      </c>
    </row>
    <row r="3559" customFormat="false" ht="15" hidden="false" customHeight="false" outlineLevel="0" collapsed="false">
      <c r="A3559" s="0" t="n">
        <v>3</v>
      </c>
      <c r="B3559" s="59" t="n">
        <v>46245</v>
      </c>
      <c r="C3559" s="0" t="n">
        <v>6</v>
      </c>
      <c r="D3559" s="0" t="s">
        <v>2125</v>
      </c>
      <c r="E3559" s="0" t="n">
        <v>42</v>
      </c>
      <c r="F3559" s="0" t="s">
        <v>81</v>
      </c>
      <c r="I3559" s="0" t="n">
        <v>4486</v>
      </c>
      <c r="J3559" s="0" t="n">
        <v>37361</v>
      </c>
      <c r="K3559" s="0" t="n">
        <v>2240817</v>
      </c>
      <c r="L3559" s="0" t="s">
        <v>2124</v>
      </c>
      <c r="N3559" s="0" t="n">
        <v>40</v>
      </c>
      <c r="O3559" s="60" t="n">
        <v>80</v>
      </c>
    </row>
    <row r="3560" customFormat="false" ht="15" hidden="false" customHeight="false" outlineLevel="0" collapsed="false">
      <c r="A3560" s="0" t="n">
        <v>3</v>
      </c>
      <c r="B3560" s="59" t="n">
        <v>46245</v>
      </c>
      <c r="C3560" s="0" t="n">
        <v>6</v>
      </c>
      <c r="D3560" s="0" t="s">
        <v>2125</v>
      </c>
      <c r="E3560" s="0" t="n">
        <v>42</v>
      </c>
      <c r="F3560" s="0" t="s">
        <v>81</v>
      </c>
      <c r="I3560" s="0" t="n">
        <v>4487</v>
      </c>
      <c r="J3560" s="0" t="n">
        <v>72679</v>
      </c>
      <c r="K3560" s="0" t="n">
        <v>246</v>
      </c>
      <c r="L3560" s="0" t="s">
        <v>2195</v>
      </c>
      <c r="N3560" s="0" t="n">
        <v>20</v>
      </c>
      <c r="O3560" s="60" t="n">
        <v>300</v>
      </c>
    </row>
    <row r="3561" customFormat="false" ht="15" hidden="false" customHeight="false" outlineLevel="0" collapsed="false">
      <c r="A3561" s="0" t="n">
        <v>3</v>
      </c>
      <c r="B3561" s="59" t="n">
        <v>46245</v>
      </c>
      <c r="C3561" s="0" t="n">
        <v>6</v>
      </c>
      <c r="D3561" s="0" t="s">
        <v>2125</v>
      </c>
      <c r="E3561" s="0" t="n">
        <v>42</v>
      </c>
      <c r="F3561" s="0" t="s">
        <v>81</v>
      </c>
      <c r="I3561" s="0" t="n">
        <v>4488</v>
      </c>
      <c r="J3561" s="0" t="n">
        <v>100103</v>
      </c>
      <c r="K3561" s="0" t="n">
        <v>104</v>
      </c>
      <c r="L3561" s="0" t="s">
        <v>2193</v>
      </c>
      <c r="N3561" s="0" t="n">
        <v>40</v>
      </c>
      <c r="O3561" s="60" t="n">
        <v>250</v>
      </c>
    </row>
    <row r="3562" customFormat="false" ht="15" hidden="false" customHeight="false" outlineLevel="0" collapsed="false">
      <c r="A3562" s="0" t="n">
        <v>3</v>
      </c>
      <c r="B3562" s="59" t="n">
        <v>46245</v>
      </c>
      <c r="C3562" s="0" t="n">
        <v>6</v>
      </c>
      <c r="D3562" s="0" t="s">
        <v>2125</v>
      </c>
      <c r="E3562" s="0" t="n">
        <v>42</v>
      </c>
      <c r="F3562" s="0" t="s">
        <v>81</v>
      </c>
      <c r="I3562" s="0" t="n">
        <v>4489</v>
      </c>
      <c r="J3562" s="0" t="n">
        <v>100062</v>
      </c>
      <c r="K3562" s="0" t="n">
        <v>63</v>
      </c>
      <c r="L3562" s="0" t="s">
        <v>2259</v>
      </c>
      <c r="N3562" s="0" t="n">
        <v>8.37</v>
      </c>
      <c r="O3562" s="60" t="n">
        <v>100.5</v>
      </c>
    </row>
    <row r="3563" customFormat="false" ht="15" hidden="false" customHeight="false" outlineLevel="0" collapsed="false">
      <c r="A3563" s="0" t="n">
        <v>3</v>
      </c>
      <c r="B3563" s="59" t="n">
        <v>46245</v>
      </c>
      <c r="C3563" s="0" t="n">
        <v>6</v>
      </c>
      <c r="D3563" s="0" t="s">
        <v>2125</v>
      </c>
      <c r="E3563" s="0" t="n">
        <v>42</v>
      </c>
      <c r="F3563" s="0" t="s">
        <v>81</v>
      </c>
      <c r="I3563" s="0" t="n">
        <v>4489</v>
      </c>
      <c r="J3563" s="0" t="n">
        <v>100104</v>
      </c>
      <c r="K3563" s="0" t="n">
        <v>105</v>
      </c>
      <c r="L3563" s="0" t="s">
        <v>2260</v>
      </c>
      <c r="N3563" s="0" t="n">
        <v>4</v>
      </c>
      <c r="O3563" s="60" t="n">
        <v>28</v>
      </c>
    </row>
    <row r="3564" customFormat="false" ht="15" hidden="false" customHeight="false" outlineLevel="0" collapsed="false">
      <c r="A3564" s="0" t="n">
        <v>3</v>
      </c>
      <c r="B3564" s="59" t="n">
        <v>46245</v>
      </c>
      <c r="C3564" s="0" t="n">
        <v>6</v>
      </c>
      <c r="D3564" s="0" t="s">
        <v>2125</v>
      </c>
      <c r="E3564" s="0" t="n">
        <v>42</v>
      </c>
      <c r="F3564" s="0" t="s">
        <v>81</v>
      </c>
      <c r="I3564" s="0" t="n">
        <v>4489</v>
      </c>
      <c r="J3564" s="0" t="n">
        <v>100105</v>
      </c>
      <c r="K3564" s="0" t="n">
        <v>106</v>
      </c>
      <c r="L3564" s="0" t="s">
        <v>2620</v>
      </c>
      <c r="N3564" s="0" t="n">
        <v>48</v>
      </c>
      <c r="O3564" s="60" t="n">
        <v>320</v>
      </c>
    </row>
    <row r="3565" customFormat="false" ht="15" hidden="false" customHeight="false" outlineLevel="0" collapsed="false">
      <c r="A3565" s="0" t="n">
        <v>3</v>
      </c>
      <c r="B3565" s="59" t="n">
        <v>46245</v>
      </c>
      <c r="C3565" s="0" t="n">
        <v>6</v>
      </c>
      <c r="D3565" s="0" t="s">
        <v>2125</v>
      </c>
      <c r="E3565" s="0" t="n">
        <v>42</v>
      </c>
      <c r="F3565" s="0" t="s">
        <v>81</v>
      </c>
      <c r="I3565" s="0" t="n">
        <v>4489</v>
      </c>
      <c r="J3565" s="0" t="n">
        <v>100107</v>
      </c>
      <c r="K3565" s="0" t="n">
        <v>108</v>
      </c>
      <c r="L3565" s="0" t="s">
        <v>2877</v>
      </c>
      <c r="N3565" s="0" t="n">
        <v>3</v>
      </c>
      <c r="O3565" s="60" t="n">
        <v>36</v>
      </c>
    </row>
    <row r="3566" customFormat="false" ht="15" hidden="false" customHeight="false" outlineLevel="0" collapsed="false">
      <c r="A3566" s="0" t="n">
        <v>3</v>
      </c>
      <c r="B3566" s="59" t="n">
        <v>46245</v>
      </c>
      <c r="C3566" s="0" t="n">
        <v>6</v>
      </c>
      <c r="D3566" s="0" t="s">
        <v>2125</v>
      </c>
      <c r="E3566" s="0" t="n">
        <v>42</v>
      </c>
      <c r="F3566" s="0" t="s">
        <v>81</v>
      </c>
      <c r="I3566" s="0" t="n">
        <v>4489</v>
      </c>
      <c r="J3566" s="0" t="n">
        <v>100109</v>
      </c>
      <c r="K3566" s="0" t="n">
        <v>110</v>
      </c>
      <c r="L3566" s="0" t="s">
        <v>2261</v>
      </c>
      <c r="N3566" s="0" t="n">
        <v>20</v>
      </c>
      <c r="O3566" s="60" t="n">
        <v>130</v>
      </c>
    </row>
    <row r="3567" customFormat="false" ht="15" hidden="false" customHeight="false" outlineLevel="0" collapsed="false">
      <c r="A3567" s="0" t="n">
        <v>3</v>
      </c>
      <c r="B3567" s="59" t="n">
        <v>46245</v>
      </c>
      <c r="C3567" s="0" t="n">
        <v>6</v>
      </c>
      <c r="D3567" s="0" t="s">
        <v>2125</v>
      </c>
      <c r="E3567" s="0" t="n">
        <v>42</v>
      </c>
      <c r="F3567" s="0" t="s">
        <v>81</v>
      </c>
      <c r="I3567" s="0" t="n">
        <v>4489</v>
      </c>
      <c r="J3567" s="0" t="n">
        <v>100113</v>
      </c>
      <c r="K3567" s="0" t="n">
        <v>114</v>
      </c>
      <c r="L3567" s="0" t="s">
        <v>2264</v>
      </c>
      <c r="N3567" s="0" t="n">
        <v>20</v>
      </c>
      <c r="O3567" s="60" t="n">
        <v>80</v>
      </c>
    </row>
    <row r="3568" customFormat="false" ht="15" hidden="false" customHeight="false" outlineLevel="0" collapsed="false">
      <c r="A3568" s="0" t="n">
        <v>3</v>
      </c>
      <c r="B3568" s="59" t="n">
        <v>46245</v>
      </c>
      <c r="C3568" s="0" t="n">
        <v>6</v>
      </c>
      <c r="D3568" s="0" t="s">
        <v>2125</v>
      </c>
      <c r="E3568" s="0" t="n">
        <v>42</v>
      </c>
      <c r="F3568" s="0" t="s">
        <v>81</v>
      </c>
      <c r="I3568" s="0" t="n">
        <v>4489</v>
      </c>
      <c r="J3568" s="0" t="n">
        <v>100115</v>
      </c>
      <c r="K3568" s="0" t="n">
        <v>116</v>
      </c>
      <c r="L3568" s="0" t="s">
        <v>2265</v>
      </c>
      <c r="N3568" s="0" t="n">
        <v>15</v>
      </c>
      <c r="O3568" s="60" t="n">
        <v>180</v>
      </c>
    </row>
    <row r="3569" customFormat="false" ht="15" hidden="false" customHeight="false" outlineLevel="0" collapsed="false">
      <c r="A3569" s="0" t="n">
        <v>3</v>
      </c>
      <c r="B3569" s="59" t="n">
        <v>46245</v>
      </c>
      <c r="C3569" s="0" t="n">
        <v>6</v>
      </c>
      <c r="D3569" s="0" t="s">
        <v>2125</v>
      </c>
      <c r="E3569" s="0" t="n">
        <v>42</v>
      </c>
      <c r="F3569" s="0" t="s">
        <v>81</v>
      </c>
      <c r="I3569" s="0" t="n">
        <v>4489</v>
      </c>
      <c r="J3569" s="0" t="n">
        <v>100116</v>
      </c>
      <c r="K3569" s="0" t="n">
        <v>117</v>
      </c>
      <c r="L3569" s="0" t="s">
        <v>2266</v>
      </c>
      <c r="N3569" s="0" t="n">
        <v>4</v>
      </c>
      <c r="O3569" s="60" t="n">
        <v>76</v>
      </c>
    </row>
    <row r="3570" customFormat="false" ht="15" hidden="false" customHeight="false" outlineLevel="0" collapsed="false">
      <c r="A3570" s="0" t="n">
        <v>3</v>
      </c>
      <c r="B3570" s="59" t="n">
        <v>46245</v>
      </c>
      <c r="C3570" s="0" t="n">
        <v>6</v>
      </c>
      <c r="D3570" s="0" t="s">
        <v>2125</v>
      </c>
      <c r="E3570" s="0" t="n">
        <v>42</v>
      </c>
      <c r="F3570" s="0" t="s">
        <v>81</v>
      </c>
      <c r="I3570" s="0" t="n">
        <v>4489</v>
      </c>
      <c r="J3570" s="0" t="n">
        <v>100118</v>
      </c>
      <c r="K3570" s="0" t="n">
        <v>119</v>
      </c>
      <c r="L3570" s="0" t="s">
        <v>2267</v>
      </c>
      <c r="N3570" s="0" t="n">
        <v>10</v>
      </c>
      <c r="O3570" s="60" t="n">
        <v>90</v>
      </c>
    </row>
    <row r="3571" customFormat="false" ht="15" hidden="false" customHeight="false" outlineLevel="0" collapsed="false">
      <c r="A3571" s="0" t="n">
        <v>3</v>
      </c>
      <c r="B3571" s="59" t="n">
        <v>46245</v>
      </c>
      <c r="C3571" s="0" t="n">
        <v>6</v>
      </c>
      <c r="D3571" s="0" t="s">
        <v>2125</v>
      </c>
      <c r="E3571" s="0" t="n">
        <v>42</v>
      </c>
      <c r="F3571" s="0" t="s">
        <v>81</v>
      </c>
      <c r="I3571" s="0" t="n">
        <v>4489</v>
      </c>
      <c r="J3571" s="0" t="n">
        <v>100121</v>
      </c>
      <c r="K3571" s="0" t="n">
        <v>122</v>
      </c>
      <c r="L3571" s="0" t="s">
        <v>2422</v>
      </c>
      <c r="N3571" s="0" t="n">
        <v>5</v>
      </c>
      <c r="O3571" s="60" t="n">
        <v>90</v>
      </c>
    </row>
    <row r="3572" customFormat="false" ht="15" hidden="false" customHeight="false" outlineLevel="0" collapsed="false">
      <c r="A3572" s="0" t="n">
        <v>3</v>
      </c>
      <c r="B3572" s="59" t="n">
        <v>46245</v>
      </c>
      <c r="C3572" s="0" t="n">
        <v>6</v>
      </c>
      <c r="D3572" s="0" t="s">
        <v>2125</v>
      </c>
      <c r="E3572" s="0" t="n">
        <v>42</v>
      </c>
      <c r="F3572" s="0" t="s">
        <v>81</v>
      </c>
      <c r="I3572" s="0" t="n">
        <v>4489</v>
      </c>
      <c r="J3572" s="0" t="n">
        <v>100122</v>
      </c>
      <c r="K3572" s="0" t="n">
        <v>123</v>
      </c>
      <c r="L3572" s="0" t="s">
        <v>2423</v>
      </c>
      <c r="N3572" s="0" t="n">
        <v>5</v>
      </c>
      <c r="O3572" s="60" t="n">
        <v>50</v>
      </c>
    </row>
    <row r="3573" customFormat="false" ht="15" hidden="false" customHeight="false" outlineLevel="0" collapsed="false">
      <c r="A3573" s="0" t="n">
        <v>3</v>
      </c>
      <c r="B3573" s="59" t="n">
        <v>46245</v>
      </c>
      <c r="C3573" s="0" t="n">
        <v>6</v>
      </c>
      <c r="D3573" s="0" t="s">
        <v>2125</v>
      </c>
      <c r="E3573" s="0" t="n">
        <v>42</v>
      </c>
      <c r="F3573" s="0" t="s">
        <v>81</v>
      </c>
      <c r="I3573" s="0" t="n">
        <v>4489</v>
      </c>
      <c r="J3573" s="0" t="n">
        <v>100123</v>
      </c>
      <c r="K3573" s="0" t="n">
        <v>124</v>
      </c>
      <c r="L3573" s="0" t="s">
        <v>2268</v>
      </c>
      <c r="N3573" s="0" t="n">
        <v>6</v>
      </c>
      <c r="O3573" s="60" t="n">
        <v>33</v>
      </c>
    </row>
    <row r="3574" customFormat="false" ht="15" hidden="false" customHeight="false" outlineLevel="0" collapsed="false">
      <c r="A3574" s="0" t="n">
        <v>3</v>
      </c>
      <c r="B3574" s="59" t="n">
        <v>46245</v>
      </c>
      <c r="C3574" s="0" t="n">
        <v>6</v>
      </c>
      <c r="D3574" s="0" t="s">
        <v>2125</v>
      </c>
      <c r="E3574" s="0" t="n">
        <v>42</v>
      </c>
      <c r="F3574" s="0" t="s">
        <v>81</v>
      </c>
      <c r="I3574" s="0" t="n">
        <v>4489</v>
      </c>
      <c r="J3574" s="0" t="n">
        <v>100133</v>
      </c>
      <c r="K3574" s="0" t="n">
        <v>134</v>
      </c>
      <c r="L3574" s="0" t="s">
        <v>2271</v>
      </c>
      <c r="N3574" s="0" t="n">
        <v>10</v>
      </c>
      <c r="O3574" s="60" t="n">
        <v>70</v>
      </c>
    </row>
    <row r="3575" customFormat="false" ht="15" hidden="false" customHeight="false" outlineLevel="0" collapsed="false">
      <c r="A3575" s="0" t="n">
        <v>3</v>
      </c>
      <c r="B3575" s="59" t="n">
        <v>46245</v>
      </c>
      <c r="C3575" s="0" t="n">
        <v>6</v>
      </c>
      <c r="D3575" s="0" t="s">
        <v>2125</v>
      </c>
      <c r="E3575" s="0" t="n">
        <v>42</v>
      </c>
      <c r="F3575" s="0" t="s">
        <v>81</v>
      </c>
      <c r="I3575" s="0" t="n">
        <v>4489</v>
      </c>
      <c r="J3575" s="0" t="n">
        <v>100148</v>
      </c>
      <c r="K3575" s="0" t="n">
        <v>149</v>
      </c>
      <c r="L3575" s="0" t="s">
        <v>2272</v>
      </c>
      <c r="N3575" s="0" t="n">
        <v>6</v>
      </c>
      <c r="O3575" s="60" t="n">
        <v>72</v>
      </c>
    </row>
    <row r="3576" customFormat="false" ht="15" hidden="false" customHeight="false" outlineLevel="0" collapsed="false">
      <c r="A3576" s="0" t="n">
        <v>3</v>
      </c>
      <c r="B3576" s="59" t="n">
        <v>46245</v>
      </c>
      <c r="C3576" s="0" t="n">
        <v>6</v>
      </c>
      <c r="D3576" s="0" t="s">
        <v>2125</v>
      </c>
      <c r="E3576" s="0" t="n">
        <v>42</v>
      </c>
      <c r="F3576" s="0" t="s">
        <v>81</v>
      </c>
      <c r="I3576" s="0" t="n">
        <v>4489</v>
      </c>
      <c r="J3576" s="0" t="n">
        <v>110142</v>
      </c>
      <c r="K3576" s="0" t="n">
        <v>16699</v>
      </c>
      <c r="L3576" s="0" t="s">
        <v>2273</v>
      </c>
      <c r="N3576" s="0" t="n">
        <v>20</v>
      </c>
      <c r="O3576" s="60" t="n">
        <v>120</v>
      </c>
    </row>
    <row r="3577" customFormat="false" ht="15" hidden="false" customHeight="false" outlineLevel="0" collapsed="false">
      <c r="A3577" s="0" t="n">
        <v>3</v>
      </c>
      <c r="B3577" s="59" t="n">
        <v>46245</v>
      </c>
      <c r="C3577" s="0" t="n">
        <v>6</v>
      </c>
      <c r="D3577" s="0" t="s">
        <v>2125</v>
      </c>
      <c r="E3577" s="0" t="n">
        <v>42</v>
      </c>
      <c r="F3577" s="0" t="s">
        <v>81</v>
      </c>
      <c r="I3577" s="0" t="n">
        <v>4489</v>
      </c>
      <c r="J3577" s="0" t="n">
        <v>37363</v>
      </c>
      <c r="K3577" s="0" t="n">
        <v>55528</v>
      </c>
      <c r="L3577" s="0" t="s">
        <v>3058</v>
      </c>
      <c r="N3577" s="0" t="n">
        <v>27</v>
      </c>
      <c r="O3577" s="60" t="n">
        <v>40</v>
      </c>
    </row>
    <row r="3578" customFormat="false" ht="15" hidden="false" customHeight="false" outlineLevel="0" collapsed="false">
      <c r="A3578" s="0" t="n">
        <v>3</v>
      </c>
      <c r="B3578" s="59" t="n">
        <v>46245</v>
      </c>
      <c r="C3578" s="0" t="n">
        <v>6</v>
      </c>
      <c r="D3578" s="0" t="s">
        <v>2125</v>
      </c>
      <c r="E3578" s="0" t="n">
        <v>42</v>
      </c>
      <c r="F3578" s="0" t="s">
        <v>81</v>
      </c>
      <c r="I3578" s="0" t="n">
        <v>4489</v>
      </c>
      <c r="J3578" s="0" t="n">
        <v>110265</v>
      </c>
      <c r="K3578" s="0" t="n">
        <v>41346</v>
      </c>
      <c r="L3578" s="0" t="s">
        <v>3007</v>
      </c>
      <c r="N3578" s="0" t="n">
        <v>9.58</v>
      </c>
      <c r="O3578" s="60" t="n">
        <v>114.5</v>
      </c>
    </row>
    <row r="3579" customFormat="false" ht="15" hidden="false" customHeight="false" outlineLevel="0" collapsed="false">
      <c r="A3579" s="0" t="n">
        <v>3</v>
      </c>
      <c r="B3579" s="59" t="n">
        <v>46245</v>
      </c>
      <c r="C3579" s="0" t="n">
        <v>6</v>
      </c>
      <c r="D3579" s="0" t="s">
        <v>2125</v>
      </c>
      <c r="E3579" s="0" t="n">
        <v>42</v>
      </c>
      <c r="F3579" s="0" t="s">
        <v>81</v>
      </c>
      <c r="I3579" s="0" t="n">
        <v>4489</v>
      </c>
      <c r="J3579" s="0" t="n">
        <v>43627</v>
      </c>
      <c r="K3579" s="0" t="n">
        <v>1175</v>
      </c>
      <c r="L3579" s="0" t="s">
        <v>2737</v>
      </c>
      <c r="N3579" s="0" t="n">
        <v>10</v>
      </c>
      <c r="O3579" s="60" t="n">
        <v>60</v>
      </c>
    </row>
    <row r="3580" customFormat="false" ht="15" hidden="false" customHeight="false" outlineLevel="0" collapsed="false">
      <c r="A3580" s="0" t="n">
        <v>3</v>
      </c>
      <c r="B3580" s="59" t="n">
        <v>46245</v>
      </c>
      <c r="C3580" s="0" t="n">
        <v>11</v>
      </c>
      <c r="D3580" s="0" t="s">
        <v>2126</v>
      </c>
      <c r="E3580" s="0" t="n">
        <v>1625</v>
      </c>
      <c r="F3580" s="0" t="s">
        <v>322</v>
      </c>
      <c r="I3580" s="0" t="n">
        <v>14994</v>
      </c>
      <c r="J3580" s="0" t="n">
        <v>29079</v>
      </c>
      <c r="K3580" s="0" t="n">
        <v>55515</v>
      </c>
      <c r="L3580" s="0" t="s">
        <v>2213</v>
      </c>
      <c r="N3580" s="0" t="n">
        <v>66.6</v>
      </c>
      <c r="O3580" s="60" t="n">
        <v>2131.2</v>
      </c>
    </row>
    <row r="3581" customFormat="false" ht="15" hidden="false" customHeight="false" outlineLevel="0" collapsed="false">
      <c r="A3581" s="0" t="n">
        <v>3</v>
      </c>
      <c r="B3581" s="59" t="n">
        <v>46245</v>
      </c>
      <c r="C3581" s="0" t="n">
        <v>11</v>
      </c>
      <c r="D3581" s="0" t="s">
        <v>2126</v>
      </c>
      <c r="E3581" s="0" t="n">
        <v>1625</v>
      </c>
      <c r="F3581" s="0" t="s">
        <v>322</v>
      </c>
      <c r="I3581" s="0" t="n">
        <v>14994</v>
      </c>
      <c r="J3581" s="0" t="n">
        <v>29079</v>
      </c>
      <c r="K3581" s="0" t="n">
        <v>55515</v>
      </c>
      <c r="L3581" s="0" t="s">
        <v>2213</v>
      </c>
      <c r="N3581" s="0" t="n">
        <v>65.2</v>
      </c>
      <c r="O3581" s="60" t="n">
        <v>2086.4</v>
      </c>
    </row>
    <row r="3582" customFormat="false" ht="15" hidden="false" customHeight="false" outlineLevel="0" collapsed="false">
      <c r="A3582" s="0" t="n">
        <v>3</v>
      </c>
      <c r="B3582" s="59" t="n">
        <v>46245</v>
      </c>
      <c r="C3582" s="0" t="n">
        <v>11</v>
      </c>
      <c r="D3582" s="0" t="s">
        <v>2126</v>
      </c>
      <c r="E3582" s="0" t="n">
        <v>1625</v>
      </c>
      <c r="F3582" s="0" t="s">
        <v>322</v>
      </c>
      <c r="I3582" s="0" t="n">
        <v>14994</v>
      </c>
      <c r="J3582" s="0" t="n">
        <v>29080</v>
      </c>
      <c r="K3582" s="0" t="n">
        <v>55516</v>
      </c>
      <c r="L3582" s="0" t="s">
        <v>2137</v>
      </c>
      <c r="N3582" s="0" t="n">
        <v>54.8</v>
      </c>
      <c r="O3582" s="60" t="n">
        <v>1233</v>
      </c>
    </row>
    <row r="3583" customFormat="false" ht="15" hidden="false" customHeight="false" outlineLevel="0" collapsed="false">
      <c r="A3583" s="0" t="n">
        <v>3</v>
      </c>
      <c r="B3583" s="59" t="n">
        <v>46245</v>
      </c>
      <c r="C3583" s="0" t="n">
        <v>11</v>
      </c>
      <c r="D3583" s="0" t="s">
        <v>2126</v>
      </c>
      <c r="E3583" s="0" t="n">
        <v>1625</v>
      </c>
      <c r="F3583" s="0" t="s">
        <v>322</v>
      </c>
      <c r="I3583" s="0" t="n">
        <v>14994</v>
      </c>
      <c r="J3583" s="0" t="n">
        <v>77455</v>
      </c>
      <c r="K3583" s="0" t="n">
        <v>774567</v>
      </c>
      <c r="L3583" s="0" t="s">
        <v>3668</v>
      </c>
      <c r="N3583" s="0" t="n">
        <v>19</v>
      </c>
      <c r="O3583" s="60" t="n">
        <v>608</v>
      </c>
    </row>
    <row r="3584" customFormat="false" ht="15" hidden="false" customHeight="false" outlineLevel="0" collapsed="false">
      <c r="A3584" s="0" t="n">
        <v>3</v>
      </c>
      <c r="B3584" s="59" t="n">
        <v>46245</v>
      </c>
      <c r="C3584" s="0" t="n">
        <v>11</v>
      </c>
      <c r="D3584" s="0" t="s">
        <v>2126</v>
      </c>
      <c r="E3584" s="0" t="n">
        <v>1625</v>
      </c>
      <c r="F3584" s="0" t="s">
        <v>322</v>
      </c>
      <c r="I3584" s="0" t="n">
        <v>14994</v>
      </c>
      <c r="J3584" s="0" t="n">
        <v>77455</v>
      </c>
      <c r="K3584" s="0" t="n">
        <v>774567</v>
      </c>
      <c r="L3584" s="0" t="s">
        <v>3668</v>
      </c>
      <c r="N3584" s="0" t="n">
        <v>18.7</v>
      </c>
      <c r="O3584" s="60" t="n">
        <v>598.4</v>
      </c>
    </row>
    <row r="3585" customFormat="false" ht="15" hidden="false" customHeight="false" outlineLevel="0" collapsed="false">
      <c r="A3585" s="0" t="n">
        <v>3</v>
      </c>
      <c r="B3585" s="59" t="n">
        <v>46245</v>
      </c>
      <c r="C3585" s="0" t="n">
        <v>11</v>
      </c>
      <c r="D3585" s="0" t="s">
        <v>2126</v>
      </c>
      <c r="E3585" s="0" t="n">
        <v>1625</v>
      </c>
      <c r="F3585" s="0" t="s">
        <v>322</v>
      </c>
      <c r="I3585" s="0" t="n">
        <v>14994</v>
      </c>
      <c r="J3585" s="0" t="n">
        <v>78040</v>
      </c>
      <c r="K3585" s="0" t="n">
        <v>780414</v>
      </c>
      <c r="L3585" s="0" t="s">
        <v>2393</v>
      </c>
      <c r="N3585" s="0" t="n">
        <v>31.2</v>
      </c>
      <c r="O3585" s="60" t="n">
        <v>639.6</v>
      </c>
    </row>
    <row r="3586" customFormat="false" ht="15" hidden="false" customHeight="false" outlineLevel="0" collapsed="false">
      <c r="A3586" s="0" t="n">
        <v>3</v>
      </c>
      <c r="B3586" s="59" t="n">
        <v>46245</v>
      </c>
      <c r="C3586" s="0" t="n">
        <v>11</v>
      </c>
      <c r="D3586" s="0" t="s">
        <v>2126</v>
      </c>
      <c r="E3586" s="0" t="n">
        <v>1615</v>
      </c>
      <c r="F3586" s="0" t="s">
        <v>131</v>
      </c>
      <c r="I3586" s="0" t="n">
        <v>15077</v>
      </c>
      <c r="J3586" s="0" t="n">
        <v>100114</v>
      </c>
      <c r="K3586" s="0" t="n">
        <v>115</v>
      </c>
      <c r="L3586" s="0" t="s">
        <v>2253</v>
      </c>
      <c r="N3586" s="0" t="n">
        <v>18</v>
      </c>
      <c r="O3586" s="60" t="n">
        <v>180</v>
      </c>
    </row>
    <row r="3587" customFormat="false" ht="15" hidden="false" customHeight="false" outlineLevel="0" collapsed="false">
      <c r="A3587" s="0" t="n">
        <v>3</v>
      </c>
      <c r="B3587" s="59" t="n">
        <v>46245</v>
      </c>
      <c r="C3587" s="0" t="n">
        <v>11</v>
      </c>
      <c r="D3587" s="0" t="s">
        <v>2126</v>
      </c>
      <c r="E3587" s="0" t="n">
        <v>1615</v>
      </c>
      <c r="F3587" s="0" t="s">
        <v>131</v>
      </c>
      <c r="I3587" s="0" t="n">
        <v>15077</v>
      </c>
      <c r="J3587" s="0" t="n">
        <v>37771</v>
      </c>
      <c r="K3587" s="0" t="n">
        <v>774574</v>
      </c>
      <c r="L3587" s="0" t="s">
        <v>2255</v>
      </c>
      <c r="N3587" s="0" t="n">
        <v>20</v>
      </c>
      <c r="O3587" s="60" t="n">
        <v>140</v>
      </c>
    </row>
    <row r="3588" customFormat="false" ht="15" hidden="false" customHeight="false" outlineLevel="0" collapsed="false">
      <c r="A3588" s="0" t="n">
        <v>3</v>
      </c>
      <c r="B3588" s="59" t="n">
        <v>46245</v>
      </c>
      <c r="C3588" s="0" t="n">
        <v>11</v>
      </c>
      <c r="D3588" s="0" t="s">
        <v>2126</v>
      </c>
      <c r="E3588" s="0" t="n">
        <v>957</v>
      </c>
      <c r="F3588" s="0" t="s">
        <v>722</v>
      </c>
      <c r="I3588" s="0" t="n">
        <v>21623</v>
      </c>
      <c r="J3588" s="0" t="n">
        <v>100214</v>
      </c>
      <c r="K3588" s="0" t="n">
        <v>215</v>
      </c>
      <c r="L3588" s="0" t="s">
        <v>3669</v>
      </c>
      <c r="N3588" s="0" t="n">
        <v>151.5</v>
      </c>
      <c r="O3588" s="60" t="n">
        <v>1714.5</v>
      </c>
    </row>
    <row r="3589" customFormat="false" ht="15" hidden="false" customHeight="false" outlineLevel="0" collapsed="false">
      <c r="A3589" s="0" t="n">
        <v>3</v>
      </c>
      <c r="B3589" s="59" t="n">
        <v>46245</v>
      </c>
      <c r="C3589" s="0" t="n">
        <v>11</v>
      </c>
      <c r="D3589" s="0" t="s">
        <v>2126</v>
      </c>
      <c r="E3589" s="0" t="n">
        <v>957</v>
      </c>
      <c r="F3589" s="0" t="s">
        <v>722</v>
      </c>
      <c r="I3589" s="0" t="n">
        <v>21623</v>
      </c>
      <c r="J3589" s="0" t="n">
        <v>100215</v>
      </c>
      <c r="K3589" s="0" t="n">
        <v>216</v>
      </c>
      <c r="L3589" s="0" t="s">
        <v>3670</v>
      </c>
      <c r="N3589" s="0" t="n">
        <v>101</v>
      </c>
      <c r="O3589" s="60" t="n">
        <v>1143</v>
      </c>
    </row>
    <row r="3590" customFormat="false" ht="15" hidden="false" customHeight="false" outlineLevel="0" collapsed="false">
      <c r="A3590" s="0" t="n">
        <v>3</v>
      </c>
      <c r="B3590" s="59" t="n">
        <v>46245</v>
      </c>
      <c r="C3590" s="0" t="n">
        <v>11</v>
      </c>
      <c r="D3590" s="0" t="s">
        <v>2126</v>
      </c>
      <c r="E3590" s="0" t="n">
        <v>957</v>
      </c>
      <c r="F3590" s="0" t="s">
        <v>722</v>
      </c>
      <c r="I3590" s="0" t="n">
        <v>21623</v>
      </c>
      <c r="J3590" s="0" t="n">
        <v>100356</v>
      </c>
      <c r="K3590" s="0" t="n">
        <v>227</v>
      </c>
      <c r="L3590" s="0" t="s">
        <v>3671</v>
      </c>
      <c r="N3590" s="0" t="n">
        <v>151.5</v>
      </c>
      <c r="O3590" s="60" t="n">
        <v>1714.5</v>
      </c>
    </row>
    <row r="3591" customFormat="false" ht="15" hidden="false" customHeight="false" outlineLevel="0" collapsed="false">
      <c r="A3591" s="0" t="n">
        <v>3</v>
      </c>
      <c r="B3591" s="59" t="n">
        <v>46245</v>
      </c>
      <c r="C3591" s="0" t="n">
        <v>11</v>
      </c>
      <c r="D3591" s="0" t="s">
        <v>2126</v>
      </c>
      <c r="E3591" s="0" t="n">
        <v>957</v>
      </c>
      <c r="F3591" s="0" t="s">
        <v>722</v>
      </c>
      <c r="I3591" s="0" t="n">
        <v>21623</v>
      </c>
      <c r="J3591" s="0" t="n">
        <v>100357</v>
      </c>
      <c r="K3591" s="0" t="n">
        <v>228</v>
      </c>
      <c r="L3591" s="0" t="s">
        <v>3672</v>
      </c>
      <c r="N3591" s="0" t="n">
        <v>50.5</v>
      </c>
      <c r="O3591" s="60" t="n">
        <v>571.5</v>
      </c>
    </row>
    <row r="3592" customFormat="false" ht="15" hidden="false" customHeight="false" outlineLevel="0" collapsed="false">
      <c r="A3592" s="0" t="n">
        <v>3</v>
      </c>
      <c r="B3592" s="59" t="n">
        <v>46245</v>
      </c>
      <c r="C3592" s="0" t="n">
        <v>11</v>
      </c>
      <c r="D3592" s="0" t="s">
        <v>2126</v>
      </c>
      <c r="E3592" s="0" t="n">
        <v>957</v>
      </c>
      <c r="F3592" s="0" t="s">
        <v>722</v>
      </c>
      <c r="I3592" s="0" t="n">
        <v>21623</v>
      </c>
      <c r="J3592" s="0" t="n">
        <v>100368</v>
      </c>
      <c r="K3592" s="0" t="n">
        <v>239</v>
      </c>
      <c r="L3592" s="0" t="s">
        <v>3673</v>
      </c>
      <c r="N3592" s="0" t="n">
        <v>150</v>
      </c>
      <c r="O3592" s="60" t="n">
        <v>1325.8</v>
      </c>
    </row>
    <row r="3593" customFormat="false" ht="15" hidden="false" customHeight="false" outlineLevel="0" collapsed="false">
      <c r="A3593" s="0" t="n">
        <v>3</v>
      </c>
      <c r="B3593" s="59" t="n">
        <v>46245</v>
      </c>
      <c r="C3593" s="0" t="n">
        <v>11</v>
      </c>
      <c r="D3593" s="0" t="s">
        <v>2126</v>
      </c>
      <c r="E3593" s="0" t="n">
        <v>957</v>
      </c>
      <c r="F3593" s="0" t="s">
        <v>722</v>
      </c>
      <c r="I3593" s="0" t="n">
        <v>21623</v>
      </c>
      <c r="J3593" s="0" t="n">
        <v>110233</v>
      </c>
      <c r="K3593" s="0" t="n">
        <v>38376</v>
      </c>
      <c r="L3593" s="0" t="s">
        <v>3674</v>
      </c>
      <c r="N3593" s="0" t="n">
        <v>50.5</v>
      </c>
      <c r="O3593" s="60" t="n">
        <v>571.5</v>
      </c>
    </row>
    <row r="3594" customFormat="false" ht="15" hidden="false" customHeight="false" outlineLevel="0" collapsed="false">
      <c r="A3594" s="0" t="n">
        <v>3</v>
      </c>
      <c r="B3594" s="59" t="n">
        <v>46245</v>
      </c>
      <c r="C3594" s="0" t="n">
        <v>22</v>
      </c>
      <c r="D3594" s="0" t="s">
        <v>2172</v>
      </c>
      <c r="E3594" s="0" t="n">
        <v>42</v>
      </c>
      <c r="F3594" s="0" t="s">
        <v>81</v>
      </c>
      <c r="I3594" s="0" t="n">
        <v>4485</v>
      </c>
      <c r="J3594" s="0" t="n">
        <v>100000</v>
      </c>
      <c r="K3594" s="0" t="n">
        <v>1</v>
      </c>
      <c r="L3594" s="0" t="s">
        <v>2173</v>
      </c>
      <c r="N3594" s="0" t="n">
        <v>5.646</v>
      </c>
      <c r="O3594" s="60" t="n">
        <v>124.65</v>
      </c>
    </row>
    <row r="3595" customFormat="false" ht="15" hidden="false" customHeight="false" outlineLevel="0" collapsed="false">
      <c r="A3595" s="0" t="n">
        <v>3</v>
      </c>
      <c r="B3595" s="59" t="n">
        <v>46245</v>
      </c>
      <c r="C3595" s="0" t="n">
        <v>22</v>
      </c>
      <c r="D3595" s="0" t="s">
        <v>2172</v>
      </c>
      <c r="E3595" s="0" t="n">
        <v>42</v>
      </c>
      <c r="F3595" s="0" t="s">
        <v>81</v>
      </c>
      <c r="I3595" s="0" t="n">
        <v>4485</v>
      </c>
      <c r="J3595" s="0" t="n">
        <v>100001</v>
      </c>
      <c r="K3595" s="0" t="n">
        <v>2</v>
      </c>
      <c r="L3595" s="0" t="s">
        <v>2174</v>
      </c>
      <c r="N3595" s="0" t="n">
        <v>8.05</v>
      </c>
      <c r="O3595" s="60" t="n">
        <v>189.98</v>
      </c>
    </row>
    <row r="3596" customFormat="false" ht="15" hidden="false" customHeight="false" outlineLevel="0" collapsed="false">
      <c r="A3596" s="0" t="n">
        <v>3</v>
      </c>
      <c r="B3596" s="59" t="n">
        <v>46245</v>
      </c>
      <c r="C3596" s="0" t="n">
        <v>22</v>
      </c>
      <c r="D3596" s="0" t="s">
        <v>2172</v>
      </c>
      <c r="E3596" s="0" t="n">
        <v>42</v>
      </c>
      <c r="F3596" s="0" t="s">
        <v>81</v>
      </c>
      <c r="I3596" s="0" t="n">
        <v>4485</v>
      </c>
      <c r="J3596" s="0" t="n">
        <v>100002</v>
      </c>
      <c r="K3596" s="0" t="n">
        <v>3</v>
      </c>
      <c r="L3596" s="0" t="s">
        <v>2175</v>
      </c>
      <c r="N3596" s="0" t="n">
        <v>17.76</v>
      </c>
      <c r="O3596" s="60" t="n">
        <v>432.67</v>
      </c>
    </row>
    <row r="3597" customFormat="false" ht="15" hidden="false" customHeight="false" outlineLevel="0" collapsed="false">
      <c r="A3597" s="0" t="n">
        <v>3</v>
      </c>
      <c r="B3597" s="59" t="n">
        <v>46245</v>
      </c>
      <c r="C3597" s="0" t="n">
        <v>22</v>
      </c>
      <c r="D3597" s="0" t="s">
        <v>2172</v>
      </c>
      <c r="E3597" s="0" t="n">
        <v>42</v>
      </c>
      <c r="F3597" s="0" t="s">
        <v>81</v>
      </c>
      <c r="I3597" s="0" t="n">
        <v>4485</v>
      </c>
      <c r="J3597" s="0" t="n">
        <v>100003</v>
      </c>
      <c r="K3597" s="0" t="n">
        <v>4</v>
      </c>
      <c r="L3597" s="0" t="s">
        <v>2176</v>
      </c>
      <c r="N3597" s="0" t="n">
        <v>12.765</v>
      </c>
      <c r="O3597" s="60" t="n">
        <v>340.14</v>
      </c>
    </row>
    <row r="3598" customFormat="false" ht="15" hidden="false" customHeight="false" outlineLevel="0" collapsed="false">
      <c r="A3598" s="0" t="n">
        <v>3</v>
      </c>
      <c r="B3598" s="59" t="n">
        <v>46245</v>
      </c>
      <c r="C3598" s="0" t="n">
        <v>22</v>
      </c>
      <c r="D3598" s="0" t="s">
        <v>2172</v>
      </c>
      <c r="E3598" s="0" t="n">
        <v>42</v>
      </c>
      <c r="F3598" s="0" t="s">
        <v>81</v>
      </c>
      <c r="I3598" s="0" t="n">
        <v>4485</v>
      </c>
      <c r="J3598" s="0" t="n">
        <v>100004</v>
      </c>
      <c r="K3598" s="0" t="n">
        <v>5</v>
      </c>
      <c r="L3598" s="0" t="s">
        <v>2411</v>
      </c>
      <c r="N3598" s="0" t="n">
        <v>23.71</v>
      </c>
      <c r="O3598" s="60" t="n">
        <v>456.35</v>
      </c>
    </row>
    <row r="3599" customFormat="false" ht="15" hidden="false" customHeight="false" outlineLevel="0" collapsed="false">
      <c r="A3599" s="0" t="n">
        <v>3</v>
      </c>
      <c r="B3599" s="59" t="n">
        <v>46245</v>
      </c>
      <c r="C3599" s="0" t="n">
        <v>22</v>
      </c>
      <c r="D3599" s="0" t="s">
        <v>2172</v>
      </c>
      <c r="E3599" s="0" t="n">
        <v>42</v>
      </c>
      <c r="F3599" s="0" t="s">
        <v>81</v>
      </c>
      <c r="I3599" s="0" t="n">
        <v>4485</v>
      </c>
      <c r="J3599" s="0" t="n">
        <v>100004</v>
      </c>
      <c r="K3599" s="0" t="n">
        <v>5</v>
      </c>
      <c r="L3599" s="0" t="s">
        <v>2411</v>
      </c>
      <c r="N3599" s="0" t="n">
        <v>1.356</v>
      </c>
      <c r="O3599" s="60" t="n">
        <v>23.74</v>
      </c>
    </row>
    <row r="3600" customFormat="false" ht="15" hidden="false" customHeight="false" outlineLevel="0" collapsed="false">
      <c r="A3600" s="0" t="n">
        <v>3</v>
      </c>
      <c r="B3600" s="59" t="n">
        <v>46245</v>
      </c>
      <c r="C3600" s="0" t="n">
        <v>22</v>
      </c>
      <c r="D3600" s="0" t="s">
        <v>2172</v>
      </c>
      <c r="E3600" s="0" t="n">
        <v>42</v>
      </c>
      <c r="F3600" s="0" t="s">
        <v>81</v>
      </c>
      <c r="I3600" s="0" t="n">
        <v>4485</v>
      </c>
      <c r="J3600" s="0" t="n">
        <v>100006</v>
      </c>
      <c r="K3600" s="0" t="n">
        <v>7</v>
      </c>
      <c r="L3600" s="0" t="s">
        <v>2228</v>
      </c>
      <c r="N3600" s="0" t="n">
        <v>1.65</v>
      </c>
      <c r="O3600" s="60" t="n">
        <v>55.26</v>
      </c>
    </row>
    <row r="3601" customFormat="false" ht="15" hidden="false" customHeight="false" outlineLevel="0" collapsed="false">
      <c r="A3601" s="0" t="n">
        <v>3</v>
      </c>
      <c r="B3601" s="59" t="n">
        <v>46245</v>
      </c>
      <c r="C3601" s="0" t="n">
        <v>22</v>
      </c>
      <c r="D3601" s="0" t="s">
        <v>2172</v>
      </c>
      <c r="E3601" s="0" t="n">
        <v>42</v>
      </c>
      <c r="F3601" s="0" t="s">
        <v>81</v>
      </c>
      <c r="I3601" s="0" t="n">
        <v>4485</v>
      </c>
      <c r="J3601" s="0" t="n">
        <v>100006</v>
      </c>
      <c r="K3601" s="0" t="n">
        <v>7</v>
      </c>
      <c r="L3601" s="0" t="s">
        <v>2228</v>
      </c>
      <c r="N3601" s="0" t="n">
        <v>7.453</v>
      </c>
      <c r="O3601" s="60" t="n">
        <v>238.22</v>
      </c>
    </row>
    <row r="3602" customFormat="false" ht="15" hidden="false" customHeight="false" outlineLevel="0" collapsed="false">
      <c r="A3602" s="0" t="n">
        <v>3</v>
      </c>
      <c r="B3602" s="59" t="n">
        <v>46245</v>
      </c>
      <c r="C3602" s="0" t="n">
        <v>22</v>
      </c>
      <c r="D3602" s="0" t="s">
        <v>2172</v>
      </c>
      <c r="E3602" s="0" t="n">
        <v>42</v>
      </c>
      <c r="F3602" s="0" t="s">
        <v>81</v>
      </c>
      <c r="I3602" s="0" t="n">
        <v>4485</v>
      </c>
      <c r="J3602" s="0" t="n">
        <v>100007</v>
      </c>
      <c r="K3602" s="0" t="n">
        <v>8</v>
      </c>
      <c r="L3602" s="0" t="s">
        <v>2177</v>
      </c>
      <c r="N3602" s="0" t="n">
        <v>1.184</v>
      </c>
      <c r="O3602" s="60" t="n">
        <v>33.69</v>
      </c>
    </row>
    <row r="3603" customFormat="false" ht="15" hidden="false" customHeight="false" outlineLevel="0" collapsed="false">
      <c r="A3603" s="0" t="n">
        <v>3</v>
      </c>
      <c r="B3603" s="59" t="n">
        <v>46245</v>
      </c>
      <c r="C3603" s="0" t="n">
        <v>22</v>
      </c>
      <c r="D3603" s="0" t="s">
        <v>2172</v>
      </c>
      <c r="E3603" s="0" t="n">
        <v>42</v>
      </c>
      <c r="F3603" s="0" t="s">
        <v>81</v>
      </c>
      <c r="I3603" s="0" t="n">
        <v>4485</v>
      </c>
      <c r="J3603" s="0" t="n">
        <v>100007</v>
      </c>
      <c r="K3603" s="0" t="n">
        <v>8</v>
      </c>
      <c r="L3603" s="0" t="s">
        <v>2177</v>
      </c>
      <c r="N3603" s="0" t="n">
        <v>2.026</v>
      </c>
      <c r="O3603" s="60" t="n">
        <v>53.88</v>
      </c>
    </row>
    <row r="3604" customFormat="false" ht="15" hidden="false" customHeight="false" outlineLevel="0" collapsed="false">
      <c r="A3604" s="0" t="n">
        <v>3</v>
      </c>
      <c r="B3604" s="59" t="n">
        <v>46245</v>
      </c>
      <c r="C3604" s="0" t="n">
        <v>22</v>
      </c>
      <c r="D3604" s="0" t="s">
        <v>2172</v>
      </c>
      <c r="E3604" s="0" t="n">
        <v>42</v>
      </c>
      <c r="F3604" s="0" t="s">
        <v>81</v>
      </c>
      <c r="I3604" s="0" t="n">
        <v>4485</v>
      </c>
      <c r="J3604" s="0" t="n">
        <v>100007</v>
      </c>
      <c r="K3604" s="0" t="n">
        <v>8</v>
      </c>
      <c r="L3604" s="0" t="s">
        <v>2177</v>
      </c>
      <c r="N3604" s="0" t="n">
        <v>4.366</v>
      </c>
      <c r="O3604" s="60" t="n">
        <v>113.01</v>
      </c>
    </row>
    <row r="3605" customFormat="false" ht="15" hidden="false" customHeight="false" outlineLevel="0" collapsed="false">
      <c r="A3605" s="0" t="n">
        <v>3</v>
      </c>
      <c r="B3605" s="59" t="n">
        <v>46245</v>
      </c>
      <c r="C3605" s="0" t="n">
        <v>22</v>
      </c>
      <c r="D3605" s="0" t="s">
        <v>2172</v>
      </c>
      <c r="E3605" s="0" t="n">
        <v>42</v>
      </c>
      <c r="F3605" s="0" t="s">
        <v>81</v>
      </c>
      <c r="I3605" s="0" t="n">
        <v>4485</v>
      </c>
      <c r="J3605" s="0" t="n">
        <v>100007</v>
      </c>
      <c r="K3605" s="0" t="n">
        <v>8</v>
      </c>
      <c r="L3605" s="0" t="s">
        <v>2177</v>
      </c>
      <c r="N3605" s="0" t="n">
        <v>0.978</v>
      </c>
      <c r="O3605" s="60" t="n">
        <v>27.84</v>
      </c>
    </row>
    <row r="3606" customFormat="false" ht="15" hidden="false" customHeight="false" outlineLevel="0" collapsed="false">
      <c r="A3606" s="0" t="n">
        <v>3</v>
      </c>
      <c r="B3606" s="59" t="n">
        <v>46245</v>
      </c>
      <c r="C3606" s="0" t="n">
        <v>22</v>
      </c>
      <c r="D3606" s="0" t="s">
        <v>2172</v>
      </c>
      <c r="E3606" s="0" t="n">
        <v>42</v>
      </c>
      <c r="F3606" s="0" t="s">
        <v>81</v>
      </c>
      <c r="I3606" s="0" t="n">
        <v>4485</v>
      </c>
      <c r="J3606" s="0" t="n">
        <v>100008</v>
      </c>
      <c r="K3606" s="0" t="n">
        <v>9</v>
      </c>
      <c r="L3606" s="0" t="s">
        <v>2229</v>
      </c>
      <c r="N3606" s="0" t="n">
        <v>24.265</v>
      </c>
      <c r="O3606" s="60" t="n">
        <v>833.08</v>
      </c>
    </row>
    <row r="3607" customFormat="false" ht="15" hidden="false" customHeight="false" outlineLevel="0" collapsed="false">
      <c r="A3607" s="0" t="n">
        <v>3</v>
      </c>
      <c r="B3607" s="59" t="n">
        <v>46245</v>
      </c>
      <c r="C3607" s="0" t="n">
        <v>22</v>
      </c>
      <c r="D3607" s="0" t="s">
        <v>2172</v>
      </c>
      <c r="E3607" s="0" t="n">
        <v>42</v>
      </c>
      <c r="F3607" s="0" t="s">
        <v>81</v>
      </c>
      <c r="I3607" s="0" t="n">
        <v>4485</v>
      </c>
      <c r="J3607" s="0" t="n">
        <v>100008</v>
      </c>
      <c r="K3607" s="0" t="n">
        <v>9</v>
      </c>
      <c r="L3607" s="0" t="s">
        <v>2229</v>
      </c>
      <c r="N3607" s="0" t="n">
        <v>13.096</v>
      </c>
      <c r="O3607" s="60" t="n">
        <v>437.16</v>
      </c>
    </row>
    <row r="3608" customFormat="false" ht="15" hidden="false" customHeight="false" outlineLevel="0" collapsed="false">
      <c r="A3608" s="0" t="n">
        <v>3</v>
      </c>
      <c r="B3608" s="59" t="n">
        <v>46245</v>
      </c>
      <c r="C3608" s="0" t="n">
        <v>22</v>
      </c>
      <c r="D3608" s="0" t="s">
        <v>2172</v>
      </c>
      <c r="E3608" s="0" t="n">
        <v>42</v>
      </c>
      <c r="F3608" s="0" t="s">
        <v>81</v>
      </c>
      <c r="I3608" s="0" t="n">
        <v>4485</v>
      </c>
      <c r="J3608" s="0" t="n">
        <v>100010</v>
      </c>
      <c r="K3608" s="0" t="n">
        <v>11</v>
      </c>
      <c r="L3608" s="0" t="s">
        <v>2230</v>
      </c>
      <c r="N3608" s="0" t="n">
        <v>5.064</v>
      </c>
      <c r="O3608" s="60" t="n">
        <v>189.93</v>
      </c>
    </row>
    <row r="3609" customFormat="false" ht="15" hidden="false" customHeight="false" outlineLevel="0" collapsed="false">
      <c r="A3609" s="0" t="n">
        <v>3</v>
      </c>
      <c r="B3609" s="59" t="n">
        <v>46245</v>
      </c>
      <c r="C3609" s="0" t="n">
        <v>22</v>
      </c>
      <c r="D3609" s="0" t="s">
        <v>2172</v>
      </c>
      <c r="E3609" s="0" t="n">
        <v>42</v>
      </c>
      <c r="F3609" s="0" t="s">
        <v>81</v>
      </c>
      <c r="I3609" s="0" t="n">
        <v>4485</v>
      </c>
      <c r="J3609" s="0" t="n">
        <v>100011</v>
      </c>
      <c r="K3609" s="0" t="n">
        <v>12</v>
      </c>
      <c r="L3609" s="0" t="s">
        <v>2231</v>
      </c>
      <c r="N3609" s="0" t="n">
        <v>12.864</v>
      </c>
      <c r="O3609" s="60" t="n">
        <v>482.25</v>
      </c>
    </row>
    <row r="3610" customFormat="false" ht="15" hidden="false" customHeight="false" outlineLevel="0" collapsed="false">
      <c r="A3610" s="0" t="n">
        <v>3</v>
      </c>
      <c r="B3610" s="59" t="n">
        <v>46245</v>
      </c>
      <c r="C3610" s="0" t="n">
        <v>22</v>
      </c>
      <c r="D3610" s="0" t="s">
        <v>2172</v>
      </c>
      <c r="E3610" s="0" t="n">
        <v>42</v>
      </c>
      <c r="F3610" s="0" t="s">
        <v>81</v>
      </c>
      <c r="I3610" s="0" t="n">
        <v>4485</v>
      </c>
      <c r="J3610" s="0" t="n">
        <v>100012</v>
      </c>
      <c r="K3610" s="0" t="n">
        <v>13</v>
      </c>
      <c r="L3610" s="0" t="s">
        <v>2232</v>
      </c>
      <c r="N3610" s="0" t="n">
        <v>10.08</v>
      </c>
      <c r="O3610" s="60" t="n">
        <v>410.89</v>
      </c>
    </row>
    <row r="3611" customFormat="false" ht="15" hidden="false" customHeight="false" outlineLevel="0" collapsed="false">
      <c r="A3611" s="0" t="n">
        <v>3</v>
      </c>
      <c r="B3611" s="59" t="n">
        <v>46245</v>
      </c>
      <c r="C3611" s="0" t="n">
        <v>22</v>
      </c>
      <c r="D3611" s="0" t="s">
        <v>2172</v>
      </c>
      <c r="E3611" s="0" t="n">
        <v>42</v>
      </c>
      <c r="F3611" s="0" t="s">
        <v>81</v>
      </c>
      <c r="I3611" s="0" t="n">
        <v>4485</v>
      </c>
      <c r="J3611" s="0" t="n">
        <v>100013</v>
      </c>
      <c r="K3611" s="0" t="n">
        <v>14</v>
      </c>
      <c r="L3611" s="0" t="s">
        <v>2233</v>
      </c>
      <c r="N3611" s="0" t="n">
        <v>19.999</v>
      </c>
      <c r="O3611" s="60" t="n">
        <v>878.35</v>
      </c>
    </row>
    <row r="3612" customFormat="false" ht="15" hidden="false" customHeight="false" outlineLevel="0" collapsed="false">
      <c r="A3612" s="0" t="n">
        <v>3</v>
      </c>
      <c r="B3612" s="59" t="n">
        <v>46245</v>
      </c>
      <c r="C3612" s="0" t="n">
        <v>22</v>
      </c>
      <c r="D3612" s="0" t="s">
        <v>2172</v>
      </c>
      <c r="E3612" s="0" t="n">
        <v>42</v>
      </c>
      <c r="F3612" s="0" t="s">
        <v>81</v>
      </c>
      <c r="I3612" s="0" t="n">
        <v>4485</v>
      </c>
      <c r="J3612" s="0" t="n">
        <v>100014</v>
      </c>
      <c r="K3612" s="0" t="n">
        <v>15</v>
      </c>
      <c r="L3612" s="0" t="s">
        <v>2234</v>
      </c>
      <c r="N3612" s="0" t="n">
        <v>7.451</v>
      </c>
      <c r="O3612" s="60" t="n">
        <v>333.86</v>
      </c>
    </row>
    <row r="3613" customFormat="false" ht="15" hidden="false" customHeight="false" outlineLevel="0" collapsed="false">
      <c r="A3613" s="0" t="n">
        <v>3</v>
      </c>
      <c r="B3613" s="59" t="n">
        <v>46245</v>
      </c>
      <c r="C3613" s="0" t="n">
        <v>22</v>
      </c>
      <c r="D3613" s="0" t="s">
        <v>2172</v>
      </c>
      <c r="E3613" s="0" t="n">
        <v>42</v>
      </c>
      <c r="F3613" s="0" t="s">
        <v>81</v>
      </c>
      <c r="I3613" s="0" t="n">
        <v>4485</v>
      </c>
      <c r="J3613" s="0" t="n">
        <v>100015</v>
      </c>
      <c r="K3613" s="0" t="n">
        <v>16</v>
      </c>
      <c r="L3613" s="0" t="s">
        <v>2235</v>
      </c>
      <c r="N3613" s="0" t="n">
        <v>2.936</v>
      </c>
      <c r="O3613" s="60" t="n">
        <v>119.65</v>
      </c>
    </row>
    <row r="3614" customFormat="false" ht="15" hidden="false" customHeight="false" outlineLevel="0" collapsed="false">
      <c r="A3614" s="0" t="n">
        <v>3</v>
      </c>
      <c r="B3614" s="59" t="n">
        <v>46245</v>
      </c>
      <c r="C3614" s="0" t="n">
        <v>22</v>
      </c>
      <c r="D3614" s="0" t="s">
        <v>2172</v>
      </c>
      <c r="E3614" s="0" t="n">
        <v>42</v>
      </c>
      <c r="F3614" s="0" t="s">
        <v>81</v>
      </c>
      <c r="I3614" s="0" t="n">
        <v>4485</v>
      </c>
      <c r="J3614" s="0" t="n">
        <v>100016</v>
      </c>
      <c r="K3614" s="0" t="n">
        <v>17</v>
      </c>
      <c r="L3614" s="0" t="s">
        <v>2236</v>
      </c>
      <c r="N3614" s="0" t="n">
        <v>4.112</v>
      </c>
      <c r="O3614" s="60" t="n">
        <v>189.33</v>
      </c>
    </row>
    <row r="3615" customFormat="false" ht="15" hidden="false" customHeight="false" outlineLevel="0" collapsed="false">
      <c r="A3615" s="0" t="n">
        <v>3</v>
      </c>
      <c r="B3615" s="59" t="n">
        <v>46245</v>
      </c>
      <c r="C3615" s="0" t="n">
        <v>22</v>
      </c>
      <c r="D3615" s="0" t="s">
        <v>2172</v>
      </c>
      <c r="E3615" s="0" t="n">
        <v>42</v>
      </c>
      <c r="F3615" s="0" t="s">
        <v>81</v>
      </c>
      <c r="I3615" s="0" t="n">
        <v>4485</v>
      </c>
      <c r="J3615" s="0" t="n">
        <v>100016</v>
      </c>
      <c r="K3615" s="0" t="n">
        <v>17</v>
      </c>
      <c r="L3615" s="0" t="s">
        <v>2236</v>
      </c>
      <c r="N3615" s="0" t="n">
        <v>3.439</v>
      </c>
      <c r="O3615" s="60" t="n">
        <v>151.27</v>
      </c>
    </row>
    <row r="3616" customFormat="false" ht="15" hidden="false" customHeight="false" outlineLevel="0" collapsed="false">
      <c r="A3616" s="0" t="n">
        <v>3</v>
      </c>
      <c r="B3616" s="59" t="n">
        <v>46245</v>
      </c>
      <c r="C3616" s="0" t="n">
        <v>22</v>
      </c>
      <c r="D3616" s="0" t="s">
        <v>2172</v>
      </c>
      <c r="E3616" s="0" t="n">
        <v>42</v>
      </c>
      <c r="F3616" s="0" t="s">
        <v>81</v>
      </c>
      <c r="I3616" s="0" t="n">
        <v>4485</v>
      </c>
      <c r="J3616" s="0" t="n">
        <v>100017</v>
      </c>
      <c r="K3616" s="0" t="n">
        <v>18</v>
      </c>
      <c r="L3616" s="0" t="s">
        <v>2237</v>
      </c>
      <c r="N3616" s="0" t="n">
        <v>3.657</v>
      </c>
      <c r="O3616" s="60" t="n">
        <v>189.75</v>
      </c>
    </row>
    <row r="3617" customFormat="false" ht="15" hidden="false" customHeight="false" outlineLevel="0" collapsed="false">
      <c r="A3617" s="0" t="n">
        <v>3</v>
      </c>
      <c r="B3617" s="59" t="n">
        <v>46245</v>
      </c>
      <c r="C3617" s="0" t="n">
        <v>22</v>
      </c>
      <c r="D3617" s="0" t="s">
        <v>2172</v>
      </c>
      <c r="E3617" s="0" t="n">
        <v>42</v>
      </c>
      <c r="F3617" s="0" t="s">
        <v>81</v>
      </c>
      <c r="I3617" s="0" t="n">
        <v>4485</v>
      </c>
      <c r="J3617" s="0" t="n">
        <v>100018</v>
      </c>
      <c r="K3617" s="0" t="n">
        <v>19</v>
      </c>
      <c r="L3617" s="0" t="s">
        <v>3675</v>
      </c>
      <c r="N3617" s="0" t="n">
        <v>9.467</v>
      </c>
      <c r="O3617" s="60" t="n">
        <v>422.11</v>
      </c>
    </row>
    <row r="3618" customFormat="false" ht="15" hidden="false" customHeight="false" outlineLevel="0" collapsed="false">
      <c r="A3618" s="0" t="n">
        <v>3</v>
      </c>
      <c r="B3618" s="59" t="n">
        <v>46245</v>
      </c>
      <c r="C3618" s="0" t="n">
        <v>22</v>
      </c>
      <c r="D3618" s="0" t="s">
        <v>2172</v>
      </c>
      <c r="E3618" s="0" t="n">
        <v>42</v>
      </c>
      <c r="F3618" s="0" t="s">
        <v>81</v>
      </c>
      <c r="I3618" s="0" t="n">
        <v>4485</v>
      </c>
      <c r="J3618" s="0" t="n">
        <v>100019</v>
      </c>
      <c r="K3618" s="0" t="n">
        <v>20</v>
      </c>
      <c r="L3618" s="0" t="s">
        <v>2795</v>
      </c>
      <c r="N3618" s="0" t="n">
        <v>2.851</v>
      </c>
      <c r="O3618" s="60" t="n">
        <v>97.21</v>
      </c>
    </row>
    <row r="3619" customFormat="false" ht="15" hidden="false" customHeight="false" outlineLevel="0" collapsed="false">
      <c r="A3619" s="0" t="n">
        <v>3</v>
      </c>
      <c r="B3619" s="59" t="n">
        <v>46245</v>
      </c>
      <c r="C3619" s="0" t="n">
        <v>22</v>
      </c>
      <c r="D3619" s="0" t="s">
        <v>2172</v>
      </c>
      <c r="E3619" s="0" t="n">
        <v>42</v>
      </c>
      <c r="F3619" s="0" t="s">
        <v>81</v>
      </c>
      <c r="I3619" s="0" t="n">
        <v>4485</v>
      </c>
      <c r="J3619" s="0" t="n">
        <v>100020</v>
      </c>
      <c r="K3619" s="0" t="n">
        <v>21</v>
      </c>
      <c r="L3619" s="0" t="s">
        <v>2337</v>
      </c>
      <c r="N3619" s="0" t="n">
        <v>4.288</v>
      </c>
      <c r="O3619" s="60" t="n">
        <v>147.15</v>
      </c>
    </row>
    <row r="3620" customFormat="false" ht="15" hidden="false" customHeight="false" outlineLevel="0" collapsed="false">
      <c r="A3620" s="0" t="n">
        <v>3</v>
      </c>
      <c r="B3620" s="59" t="n">
        <v>46245</v>
      </c>
      <c r="C3620" s="0" t="n">
        <v>22</v>
      </c>
      <c r="D3620" s="0" t="s">
        <v>2172</v>
      </c>
      <c r="E3620" s="0" t="n">
        <v>42</v>
      </c>
      <c r="F3620" s="0" t="s">
        <v>81</v>
      </c>
      <c r="I3620" s="0" t="n">
        <v>4485</v>
      </c>
      <c r="J3620" s="0" t="n">
        <v>100053</v>
      </c>
      <c r="K3620" s="0" t="n">
        <v>54</v>
      </c>
      <c r="L3620" s="0" t="s">
        <v>2238</v>
      </c>
      <c r="N3620" s="0" t="n">
        <v>2.843</v>
      </c>
      <c r="O3620" s="60" t="n">
        <v>100.07</v>
      </c>
    </row>
    <row r="3621" customFormat="false" ht="15" hidden="false" customHeight="false" outlineLevel="0" collapsed="false">
      <c r="A3621" s="0" t="n">
        <v>3</v>
      </c>
      <c r="B3621" s="59" t="n">
        <v>46245</v>
      </c>
      <c r="C3621" s="0" t="n">
        <v>22</v>
      </c>
      <c r="D3621" s="0" t="s">
        <v>2172</v>
      </c>
      <c r="E3621" s="0" t="n">
        <v>42</v>
      </c>
      <c r="F3621" s="0" t="s">
        <v>81</v>
      </c>
      <c r="I3621" s="0" t="n">
        <v>4485</v>
      </c>
      <c r="J3621" s="0" t="n">
        <v>100053</v>
      </c>
      <c r="K3621" s="0" t="n">
        <v>54</v>
      </c>
      <c r="L3621" s="0" t="s">
        <v>2238</v>
      </c>
      <c r="N3621" s="0" t="n">
        <v>2.436</v>
      </c>
      <c r="O3621" s="60" t="n">
        <v>91.78</v>
      </c>
    </row>
    <row r="3622" customFormat="false" ht="15" hidden="false" customHeight="false" outlineLevel="0" collapsed="false">
      <c r="A3622" s="0" t="n">
        <v>3</v>
      </c>
      <c r="B3622" s="59" t="n">
        <v>46245</v>
      </c>
      <c r="C3622" s="0" t="n">
        <v>22</v>
      </c>
      <c r="D3622" s="0" t="s">
        <v>2172</v>
      </c>
      <c r="E3622" s="0" t="n">
        <v>42</v>
      </c>
      <c r="F3622" s="0" t="s">
        <v>81</v>
      </c>
      <c r="I3622" s="0" t="n">
        <v>4485</v>
      </c>
      <c r="J3622" s="0" t="n">
        <v>100057</v>
      </c>
      <c r="K3622" s="0" t="n">
        <v>58</v>
      </c>
      <c r="L3622" s="0" t="s">
        <v>3604</v>
      </c>
      <c r="N3622" s="0" t="n">
        <v>1.602</v>
      </c>
      <c r="O3622" s="60" t="n">
        <v>54.78</v>
      </c>
    </row>
    <row r="3623" customFormat="false" ht="15" hidden="false" customHeight="false" outlineLevel="0" collapsed="false">
      <c r="A3623" s="0" t="n">
        <v>3</v>
      </c>
      <c r="B3623" s="59" t="n">
        <v>46245</v>
      </c>
      <c r="C3623" s="0" t="n">
        <v>22</v>
      </c>
      <c r="D3623" s="0" t="s">
        <v>2172</v>
      </c>
      <c r="E3623" s="0" t="n">
        <v>42</v>
      </c>
      <c r="F3623" s="0" t="s">
        <v>81</v>
      </c>
      <c r="I3623" s="0" t="n">
        <v>4485</v>
      </c>
      <c r="J3623" s="0" t="n">
        <v>100638</v>
      </c>
      <c r="K3623" s="0" t="n">
        <v>508</v>
      </c>
      <c r="L3623" s="0" t="s">
        <v>2178</v>
      </c>
      <c r="N3623" s="0" t="n">
        <v>4.36</v>
      </c>
      <c r="O3623" s="60" t="n">
        <v>6.91</v>
      </c>
    </row>
    <row r="3624" customFormat="false" ht="15" hidden="false" customHeight="false" outlineLevel="0" collapsed="false">
      <c r="A3624" s="0" t="n">
        <v>3</v>
      </c>
      <c r="B3624" s="59" t="n">
        <v>46245</v>
      </c>
      <c r="C3624" s="0" t="n">
        <v>22</v>
      </c>
      <c r="D3624" s="0" t="s">
        <v>2172</v>
      </c>
      <c r="E3624" s="0" t="n">
        <v>42</v>
      </c>
      <c r="F3624" s="0" t="s">
        <v>81</v>
      </c>
      <c r="I3624" s="0" t="n">
        <v>4485</v>
      </c>
      <c r="J3624" s="0" t="n">
        <v>100638</v>
      </c>
      <c r="K3624" s="0" t="n">
        <v>508</v>
      </c>
      <c r="L3624" s="0" t="s">
        <v>2178</v>
      </c>
      <c r="N3624" s="0" t="n">
        <v>0.854</v>
      </c>
      <c r="O3624" s="60" t="n">
        <v>1.29</v>
      </c>
    </row>
    <row r="3625" customFormat="false" ht="15" hidden="false" customHeight="false" outlineLevel="0" collapsed="false">
      <c r="A3625" s="0" t="n">
        <v>3</v>
      </c>
      <c r="B3625" s="59" t="n">
        <v>46245</v>
      </c>
      <c r="C3625" s="0" t="n">
        <v>22</v>
      </c>
      <c r="D3625" s="0" t="s">
        <v>2172</v>
      </c>
      <c r="E3625" s="0" t="n">
        <v>42</v>
      </c>
      <c r="F3625" s="0" t="s">
        <v>81</v>
      </c>
      <c r="I3625" s="0" t="n">
        <v>4485</v>
      </c>
      <c r="J3625" s="0" t="n">
        <v>100638</v>
      </c>
      <c r="K3625" s="0" t="n">
        <v>508</v>
      </c>
      <c r="L3625" s="0" t="s">
        <v>2178</v>
      </c>
      <c r="N3625" s="0" t="n">
        <v>0.641</v>
      </c>
      <c r="O3625" s="60" t="n">
        <v>1.08</v>
      </c>
    </row>
    <row r="3626" customFormat="false" ht="15" hidden="false" customHeight="false" outlineLevel="0" collapsed="false">
      <c r="A3626" s="0" t="n">
        <v>3</v>
      </c>
      <c r="B3626" s="59" t="n">
        <v>46245</v>
      </c>
      <c r="C3626" s="0" t="n">
        <v>22</v>
      </c>
      <c r="D3626" s="0" t="s">
        <v>2172</v>
      </c>
      <c r="E3626" s="0" t="n">
        <v>42</v>
      </c>
      <c r="F3626" s="0" t="s">
        <v>81</v>
      </c>
      <c r="I3626" s="0" t="n">
        <v>4485</v>
      </c>
      <c r="J3626" s="0" t="n">
        <v>100638</v>
      </c>
      <c r="K3626" s="0" t="n">
        <v>508</v>
      </c>
      <c r="L3626" s="0" t="s">
        <v>2178</v>
      </c>
      <c r="N3626" s="0" t="n">
        <v>1.442</v>
      </c>
      <c r="O3626" s="60" t="n">
        <v>2.4</v>
      </c>
    </row>
    <row r="3627" customFormat="false" ht="15" hidden="false" customHeight="false" outlineLevel="0" collapsed="false">
      <c r="A3627" s="0" t="n">
        <v>3</v>
      </c>
      <c r="B3627" s="59" t="n">
        <v>46245</v>
      </c>
      <c r="C3627" s="0" t="n">
        <v>22</v>
      </c>
      <c r="D3627" s="0" t="s">
        <v>2172</v>
      </c>
      <c r="E3627" s="0" t="n">
        <v>42</v>
      </c>
      <c r="F3627" s="0" t="s">
        <v>81</v>
      </c>
      <c r="I3627" s="0" t="n">
        <v>4485</v>
      </c>
      <c r="J3627" s="0" t="n">
        <v>100520</v>
      </c>
      <c r="K3627" s="0" t="n">
        <v>507</v>
      </c>
      <c r="L3627" s="0" t="s">
        <v>2179</v>
      </c>
      <c r="N3627" s="0" t="n">
        <v>21.487</v>
      </c>
      <c r="O3627" s="60" t="n">
        <v>51.32</v>
      </c>
    </row>
    <row r="3628" customFormat="false" ht="15" hidden="false" customHeight="false" outlineLevel="0" collapsed="false">
      <c r="A3628" s="0" t="n">
        <v>3</v>
      </c>
      <c r="B3628" s="59" t="n">
        <v>46245</v>
      </c>
      <c r="C3628" s="0" t="n">
        <v>22</v>
      </c>
      <c r="D3628" s="0" t="s">
        <v>2172</v>
      </c>
      <c r="E3628" s="0" t="n">
        <v>42</v>
      </c>
      <c r="F3628" s="0" t="s">
        <v>81</v>
      </c>
      <c r="I3628" s="0" t="n">
        <v>4485</v>
      </c>
      <c r="J3628" s="0" t="n">
        <v>100520</v>
      </c>
      <c r="K3628" s="0" t="n">
        <v>507</v>
      </c>
      <c r="L3628" s="0" t="s">
        <v>2179</v>
      </c>
      <c r="N3628" s="0" t="n">
        <v>3.296</v>
      </c>
      <c r="O3628" s="60" t="n">
        <v>7.51</v>
      </c>
    </row>
    <row r="3629" customFormat="false" ht="15" hidden="false" customHeight="false" outlineLevel="0" collapsed="false">
      <c r="A3629" s="0" t="n">
        <v>3</v>
      </c>
      <c r="B3629" s="59" t="n">
        <v>46245</v>
      </c>
      <c r="C3629" s="0" t="n">
        <v>22</v>
      </c>
      <c r="D3629" s="0" t="s">
        <v>2172</v>
      </c>
      <c r="E3629" s="0" t="n">
        <v>42</v>
      </c>
      <c r="F3629" s="0" t="s">
        <v>81</v>
      </c>
      <c r="I3629" s="0" t="n">
        <v>4485</v>
      </c>
      <c r="J3629" s="0" t="n">
        <v>100520</v>
      </c>
      <c r="K3629" s="0" t="n">
        <v>507</v>
      </c>
      <c r="L3629" s="0" t="s">
        <v>2179</v>
      </c>
      <c r="N3629" s="0" t="n">
        <v>3.206</v>
      </c>
      <c r="O3629" s="60" t="n">
        <v>8.02</v>
      </c>
    </row>
    <row r="3630" customFormat="false" ht="15" hidden="false" customHeight="false" outlineLevel="0" collapsed="false">
      <c r="A3630" s="0" t="n">
        <v>3</v>
      </c>
      <c r="B3630" s="59" t="n">
        <v>46245</v>
      </c>
      <c r="C3630" s="0" t="n">
        <v>22</v>
      </c>
      <c r="D3630" s="0" t="s">
        <v>2172</v>
      </c>
      <c r="E3630" s="0" t="n">
        <v>42</v>
      </c>
      <c r="F3630" s="0" t="s">
        <v>81</v>
      </c>
      <c r="I3630" s="0" t="n">
        <v>4485</v>
      </c>
      <c r="J3630" s="0" t="n">
        <v>110455</v>
      </c>
      <c r="K3630" s="0" t="n">
        <v>53212</v>
      </c>
      <c r="L3630" s="0" t="s">
        <v>2180</v>
      </c>
      <c r="N3630" s="0" t="n">
        <v>0.576</v>
      </c>
      <c r="O3630" s="60" t="n">
        <v>0.01</v>
      </c>
    </row>
    <row r="3631" customFormat="false" ht="15" hidden="false" customHeight="false" outlineLevel="0" collapsed="false">
      <c r="A3631" s="0" t="n">
        <v>3</v>
      </c>
      <c r="B3631" s="59" t="n">
        <v>46245</v>
      </c>
      <c r="C3631" s="0" t="n">
        <v>22</v>
      </c>
      <c r="D3631" s="0" t="s">
        <v>2172</v>
      </c>
      <c r="E3631" s="0" t="n">
        <v>42</v>
      </c>
      <c r="F3631" s="0" t="s">
        <v>81</v>
      </c>
      <c r="I3631" s="0" t="n">
        <v>4485</v>
      </c>
      <c r="J3631" s="0" t="n">
        <v>110455</v>
      </c>
      <c r="K3631" s="0" t="n">
        <v>53212</v>
      </c>
      <c r="L3631" s="0" t="s">
        <v>2180</v>
      </c>
      <c r="N3631" s="0" t="n">
        <v>1.125</v>
      </c>
      <c r="O3631" s="60" t="n">
        <v>0</v>
      </c>
    </row>
    <row r="3632" customFormat="false" ht="15" hidden="false" customHeight="false" outlineLevel="0" collapsed="false">
      <c r="A3632" s="0" t="n">
        <v>3</v>
      </c>
      <c r="B3632" s="59" t="n">
        <v>46245</v>
      </c>
      <c r="C3632" s="0" t="n">
        <v>22</v>
      </c>
      <c r="D3632" s="0" t="s">
        <v>2172</v>
      </c>
      <c r="E3632" s="0" t="n">
        <v>42</v>
      </c>
      <c r="F3632" s="0" t="s">
        <v>81</v>
      </c>
      <c r="I3632" s="0" t="n">
        <v>4485</v>
      </c>
      <c r="J3632" s="0" t="n">
        <v>110455</v>
      </c>
      <c r="K3632" s="0" t="n">
        <v>53212</v>
      </c>
      <c r="L3632" s="0" t="s">
        <v>2180</v>
      </c>
      <c r="N3632" s="0" t="n">
        <v>0.707</v>
      </c>
      <c r="O3632" s="60" t="n">
        <v>0.01</v>
      </c>
    </row>
    <row r="3633" customFormat="false" ht="15" hidden="false" customHeight="false" outlineLevel="0" collapsed="false">
      <c r="A3633" s="0" t="n">
        <v>3</v>
      </c>
      <c r="B3633" s="59" t="n">
        <v>46245</v>
      </c>
      <c r="C3633" s="0" t="n">
        <v>22</v>
      </c>
      <c r="D3633" s="0" t="s">
        <v>2172</v>
      </c>
      <c r="E3633" s="0" t="n">
        <v>42</v>
      </c>
      <c r="F3633" s="0" t="s">
        <v>81</v>
      </c>
      <c r="I3633" s="0" t="n">
        <v>4485</v>
      </c>
      <c r="J3633" s="0" t="n">
        <v>110455</v>
      </c>
      <c r="K3633" s="0" t="n">
        <v>53212</v>
      </c>
      <c r="L3633" s="0" t="s">
        <v>2180</v>
      </c>
      <c r="N3633" s="0" t="n">
        <v>0.412</v>
      </c>
      <c r="O3633" s="60" t="n">
        <v>0.01</v>
      </c>
    </row>
    <row r="3634" customFormat="false" ht="15" hidden="false" customHeight="false" outlineLevel="0" collapsed="false">
      <c r="A3634" s="0" t="n">
        <v>3</v>
      </c>
      <c r="B3634" s="59" t="n">
        <v>46245</v>
      </c>
      <c r="C3634" s="0" t="n">
        <v>100</v>
      </c>
      <c r="D3634" s="0" t="s">
        <v>2181</v>
      </c>
      <c r="E3634" s="0" t="n">
        <v>42</v>
      </c>
      <c r="F3634" s="0" t="s">
        <v>81</v>
      </c>
      <c r="I3634" s="0" t="n">
        <v>1531857</v>
      </c>
      <c r="J3634" s="0" t="n">
        <v>100006</v>
      </c>
      <c r="K3634" s="0" t="n">
        <v>7</v>
      </c>
      <c r="L3634" s="0" t="s">
        <v>2228</v>
      </c>
      <c r="N3634" s="0" t="n">
        <v>3.937</v>
      </c>
      <c r="O3634" s="60" t="n">
        <v>128.21</v>
      </c>
    </row>
    <row r="3635" customFormat="false" ht="15" hidden="false" customHeight="false" outlineLevel="0" collapsed="false">
      <c r="A3635" s="0" t="n">
        <v>3</v>
      </c>
      <c r="B3635" s="59" t="n">
        <v>46245</v>
      </c>
      <c r="C3635" s="0" t="n">
        <v>100</v>
      </c>
      <c r="D3635" s="0" t="s">
        <v>2181</v>
      </c>
      <c r="E3635" s="0" t="n">
        <v>42</v>
      </c>
      <c r="F3635" s="0" t="s">
        <v>81</v>
      </c>
      <c r="I3635" s="0" t="n">
        <v>1531857</v>
      </c>
      <c r="J3635" s="0" t="n">
        <v>100008</v>
      </c>
      <c r="K3635" s="0" t="n">
        <v>9</v>
      </c>
      <c r="L3635" s="0" t="s">
        <v>2229</v>
      </c>
      <c r="N3635" s="0" t="n">
        <v>13.096</v>
      </c>
      <c r="O3635" s="60" t="n">
        <v>437.16</v>
      </c>
    </row>
    <row r="3636" customFormat="false" ht="15" hidden="false" customHeight="false" outlineLevel="0" collapsed="false">
      <c r="A3636" s="0" t="n">
        <v>3</v>
      </c>
      <c r="B3636" s="59" t="n">
        <v>46245</v>
      </c>
      <c r="C3636" s="0" t="n">
        <v>100</v>
      </c>
      <c r="D3636" s="0" t="s">
        <v>2181</v>
      </c>
      <c r="E3636" s="0" t="n">
        <v>42</v>
      </c>
      <c r="F3636" s="0" t="s">
        <v>81</v>
      </c>
      <c r="I3636" s="0" t="n">
        <v>1531857</v>
      </c>
      <c r="J3636" s="0" t="n">
        <v>100010</v>
      </c>
      <c r="K3636" s="0" t="n">
        <v>11</v>
      </c>
      <c r="L3636" s="0" t="s">
        <v>2230</v>
      </c>
      <c r="N3636" s="0" t="n">
        <v>2.503</v>
      </c>
      <c r="O3636" s="60" t="n">
        <v>95.78</v>
      </c>
    </row>
    <row r="3637" customFormat="false" ht="15" hidden="false" customHeight="false" outlineLevel="0" collapsed="false">
      <c r="A3637" s="0" t="n">
        <v>3</v>
      </c>
      <c r="B3637" s="59" t="n">
        <v>46245</v>
      </c>
      <c r="C3637" s="0" t="n">
        <v>100</v>
      </c>
      <c r="D3637" s="0" t="s">
        <v>2181</v>
      </c>
      <c r="E3637" s="0" t="n">
        <v>42</v>
      </c>
      <c r="F3637" s="0" t="s">
        <v>81</v>
      </c>
      <c r="I3637" s="0" t="n">
        <v>1531857</v>
      </c>
      <c r="J3637" s="0" t="n">
        <v>100011</v>
      </c>
      <c r="K3637" s="0" t="n">
        <v>12</v>
      </c>
      <c r="L3637" s="0" t="s">
        <v>2231</v>
      </c>
      <c r="N3637" s="0" t="n">
        <v>6.195</v>
      </c>
      <c r="O3637" s="60" t="n">
        <v>237.07</v>
      </c>
    </row>
    <row r="3638" customFormat="false" ht="15" hidden="false" customHeight="false" outlineLevel="0" collapsed="false">
      <c r="A3638" s="0" t="n">
        <v>3</v>
      </c>
      <c r="B3638" s="59" t="n">
        <v>46245</v>
      </c>
      <c r="C3638" s="0" t="n">
        <v>100</v>
      </c>
      <c r="D3638" s="0" t="s">
        <v>2181</v>
      </c>
      <c r="E3638" s="0" t="n">
        <v>42</v>
      </c>
      <c r="F3638" s="0" t="s">
        <v>81</v>
      </c>
      <c r="I3638" s="0" t="n">
        <v>1531857</v>
      </c>
      <c r="J3638" s="0" t="n">
        <v>100012</v>
      </c>
      <c r="K3638" s="0" t="n">
        <v>13</v>
      </c>
      <c r="L3638" s="0" t="s">
        <v>2232</v>
      </c>
      <c r="N3638" s="0" t="n">
        <v>5.369</v>
      </c>
      <c r="O3638" s="60" t="n">
        <v>222.95</v>
      </c>
    </row>
    <row r="3639" customFormat="false" ht="15" hidden="false" customHeight="false" outlineLevel="0" collapsed="false">
      <c r="A3639" s="0" t="n">
        <v>3</v>
      </c>
      <c r="B3639" s="59" t="n">
        <v>46245</v>
      </c>
      <c r="C3639" s="0" t="n">
        <v>100</v>
      </c>
      <c r="D3639" s="0" t="s">
        <v>2181</v>
      </c>
      <c r="E3639" s="0" t="n">
        <v>42</v>
      </c>
      <c r="F3639" s="0" t="s">
        <v>81</v>
      </c>
      <c r="I3639" s="0" t="n">
        <v>1531857</v>
      </c>
      <c r="J3639" s="0" t="n">
        <v>100013</v>
      </c>
      <c r="K3639" s="0" t="n">
        <v>14</v>
      </c>
      <c r="L3639" s="0" t="s">
        <v>2233</v>
      </c>
      <c r="N3639" s="0" t="n">
        <v>10.194</v>
      </c>
      <c r="O3639" s="60" t="n">
        <v>456.51</v>
      </c>
    </row>
    <row r="3640" customFormat="false" ht="15" hidden="false" customHeight="false" outlineLevel="0" collapsed="false">
      <c r="A3640" s="0" t="n">
        <v>3</v>
      </c>
      <c r="B3640" s="59" t="n">
        <v>46245</v>
      </c>
      <c r="C3640" s="0" t="n">
        <v>100</v>
      </c>
      <c r="D3640" s="0" t="s">
        <v>2181</v>
      </c>
      <c r="E3640" s="0" t="n">
        <v>42</v>
      </c>
      <c r="F3640" s="0" t="s">
        <v>81</v>
      </c>
      <c r="I3640" s="0" t="n">
        <v>1531857</v>
      </c>
      <c r="J3640" s="0" t="n">
        <v>100014</v>
      </c>
      <c r="K3640" s="0" t="n">
        <v>15</v>
      </c>
      <c r="L3640" s="0" t="s">
        <v>2234</v>
      </c>
      <c r="N3640" s="0" t="n">
        <v>4.168</v>
      </c>
      <c r="O3640" s="60" t="n">
        <v>190.05</v>
      </c>
    </row>
    <row r="3641" customFormat="false" ht="15" hidden="false" customHeight="false" outlineLevel="0" collapsed="false">
      <c r="A3641" s="0" t="n">
        <v>3</v>
      </c>
      <c r="B3641" s="59" t="n">
        <v>46245</v>
      </c>
      <c r="C3641" s="0" t="n">
        <v>100</v>
      </c>
      <c r="D3641" s="0" t="s">
        <v>2181</v>
      </c>
      <c r="E3641" s="0" t="n">
        <v>42</v>
      </c>
      <c r="F3641" s="0" t="s">
        <v>81</v>
      </c>
      <c r="I3641" s="0" t="n">
        <v>1531857</v>
      </c>
      <c r="J3641" s="0" t="n">
        <v>100015</v>
      </c>
      <c r="K3641" s="0" t="n">
        <v>16</v>
      </c>
      <c r="L3641" s="0" t="s">
        <v>2235</v>
      </c>
      <c r="N3641" s="0" t="n">
        <v>1.546</v>
      </c>
      <c r="O3641" s="60" t="n">
        <v>64.2</v>
      </c>
    </row>
    <row r="3642" customFormat="false" ht="15" hidden="false" customHeight="false" outlineLevel="0" collapsed="false">
      <c r="A3642" s="0" t="n">
        <v>3</v>
      </c>
      <c r="B3642" s="59" t="n">
        <v>46245</v>
      </c>
      <c r="C3642" s="0" t="n">
        <v>100</v>
      </c>
      <c r="D3642" s="0" t="s">
        <v>2181</v>
      </c>
      <c r="E3642" s="0" t="n">
        <v>42</v>
      </c>
      <c r="F3642" s="0" t="s">
        <v>81</v>
      </c>
      <c r="I3642" s="0" t="n">
        <v>1531857</v>
      </c>
      <c r="J3642" s="0" t="n">
        <v>100016</v>
      </c>
      <c r="K3642" s="0" t="n">
        <v>17</v>
      </c>
      <c r="L3642" s="0" t="s">
        <v>2236</v>
      </c>
      <c r="N3642" s="0" t="n">
        <v>1.879</v>
      </c>
      <c r="O3642" s="60" t="n">
        <v>84.15</v>
      </c>
    </row>
    <row r="3643" customFormat="false" ht="15" hidden="false" customHeight="false" outlineLevel="0" collapsed="false">
      <c r="A3643" s="0" t="n">
        <v>3</v>
      </c>
      <c r="B3643" s="59" t="n">
        <v>46245</v>
      </c>
      <c r="C3643" s="0" t="n">
        <v>100</v>
      </c>
      <c r="D3643" s="0" t="s">
        <v>2181</v>
      </c>
      <c r="E3643" s="0" t="n">
        <v>42</v>
      </c>
      <c r="F3643" s="0" t="s">
        <v>81</v>
      </c>
      <c r="I3643" s="0" t="n">
        <v>1531857</v>
      </c>
      <c r="J3643" s="0" t="n">
        <v>100017</v>
      </c>
      <c r="K3643" s="0" t="n">
        <v>18</v>
      </c>
      <c r="L3643" s="0" t="s">
        <v>2237</v>
      </c>
      <c r="N3643" s="0" t="n">
        <v>1.83</v>
      </c>
      <c r="O3643" s="60" t="n">
        <v>96.85</v>
      </c>
    </row>
    <row r="3644" customFormat="false" ht="15" hidden="false" customHeight="false" outlineLevel="0" collapsed="false">
      <c r="A3644" s="0" t="n">
        <v>3</v>
      </c>
      <c r="B3644" s="59" t="n">
        <v>46245</v>
      </c>
      <c r="C3644" s="0" t="n">
        <v>100</v>
      </c>
      <c r="D3644" s="0" t="s">
        <v>2181</v>
      </c>
      <c r="E3644" s="0" t="n">
        <v>42</v>
      </c>
      <c r="F3644" s="0" t="s">
        <v>81</v>
      </c>
      <c r="I3644" s="0" t="n">
        <v>1531857</v>
      </c>
      <c r="J3644" s="0" t="n">
        <v>100019</v>
      </c>
      <c r="K3644" s="0" t="n">
        <v>20</v>
      </c>
      <c r="L3644" s="0" t="s">
        <v>2795</v>
      </c>
      <c r="N3644" s="0" t="n">
        <v>0.96</v>
      </c>
      <c r="O3644" s="60" t="n">
        <v>33.61</v>
      </c>
    </row>
    <row r="3645" customFormat="false" ht="15" hidden="false" customHeight="false" outlineLevel="0" collapsed="false">
      <c r="A3645" s="0" t="n">
        <v>3</v>
      </c>
      <c r="B3645" s="59" t="n">
        <v>46245</v>
      </c>
      <c r="C3645" s="0" t="n">
        <v>100</v>
      </c>
      <c r="D3645" s="0" t="s">
        <v>2181</v>
      </c>
      <c r="E3645" s="0" t="n">
        <v>42</v>
      </c>
      <c r="F3645" s="0" t="s">
        <v>81</v>
      </c>
      <c r="I3645" s="0" t="n">
        <v>1531857</v>
      </c>
      <c r="J3645" s="0" t="n">
        <v>100057</v>
      </c>
      <c r="K3645" s="0" t="n">
        <v>58</v>
      </c>
      <c r="L3645" s="0" t="s">
        <v>3604</v>
      </c>
      <c r="N3645" s="0" t="n">
        <v>1.602</v>
      </c>
      <c r="O3645" s="60" t="n">
        <v>54.78</v>
      </c>
    </row>
    <row r="3646" customFormat="false" ht="15" hidden="false" customHeight="false" outlineLevel="0" collapsed="false">
      <c r="A3646" s="0" t="n">
        <v>3</v>
      </c>
      <c r="B3646" s="59" t="n">
        <v>46245</v>
      </c>
      <c r="C3646" s="0" t="n">
        <v>100</v>
      </c>
      <c r="D3646" s="0" t="s">
        <v>2181</v>
      </c>
      <c r="E3646" s="0" t="n">
        <v>42</v>
      </c>
      <c r="F3646" s="0" t="s">
        <v>81</v>
      </c>
      <c r="I3646" s="0" t="n">
        <v>1531857</v>
      </c>
      <c r="J3646" s="0" t="n">
        <v>100638</v>
      </c>
      <c r="K3646" s="0" t="n">
        <v>508</v>
      </c>
      <c r="L3646" s="0" t="s">
        <v>2178</v>
      </c>
      <c r="N3646" s="0" t="n">
        <v>1.959</v>
      </c>
      <c r="O3646" s="60" t="n">
        <v>3.17</v>
      </c>
    </row>
    <row r="3647" customFormat="false" ht="15" hidden="false" customHeight="false" outlineLevel="0" collapsed="false">
      <c r="A3647" s="0" t="n">
        <v>3</v>
      </c>
      <c r="B3647" s="59" t="n">
        <v>46245</v>
      </c>
      <c r="C3647" s="0" t="n">
        <v>100</v>
      </c>
      <c r="D3647" s="0" t="s">
        <v>2181</v>
      </c>
      <c r="E3647" s="0" t="n">
        <v>42</v>
      </c>
      <c r="F3647" s="0" t="s">
        <v>81</v>
      </c>
      <c r="I3647" s="0" t="n">
        <v>1531857</v>
      </c>
      <c r="J3647" s="0" t="n">
        <v>100520</v>
      </c>
      <c r="K3647" s="0" t="n">
        <v>507</v>
      </c>
      <c r="L3647" s="0" t="s">
        <v>2179</v>
      </c>
      <c r="N3647" s="0" t="n">
        <v>10.972</v>
      </c>
      <c r="O3647" s="60" t="n">
        <v>26.72</v>
      </c>
    </row>
    <row r="3648" customFormat="false" ht="15" hidden="false" customHeight="false" outlineLevel="0" collapsed="false">
      <c r="A3648" s="0" t="n">
        <v>3</v>
      </c>
      <c r="B3648" s="59" t="n">
        <v>46245</v>
      </c>
      <c r="C3648" s="0" t="n">
        <v>100</v>
      </c>
      <c r="D3648" s="0" t="s">
        <v>2181</v>
      </c>
      <c r="E3648" s="0" t="n">
        <v>42</v>
      </c>
      <c r="F3648" s="0" t="s">
        <v>81</v>
      </c>
      <c r="I3648" s="0" t="n">
        <v>1531857</v>
      </c>
      <c r="J3648" s="0" t="n">
        <v>110455</v>
      </c>
      <c r="K3648" s="0" t="n">
        <v>53212</v>
      </c>
      <c r="L3648" s="0" t="s">
        <v>2180</v>
      </c>
      <c r="N3648" s="0" t="n">
        <v>0.39</v>
      </c>
      <c r="O3648" s="60" t="n">
        <v>0</v>
      </c>
    </row>
    <row r="3649" customFormat="false" ht="15" hidden="false" customHeight="false" outlineLevel="0" collapsed="false">
      <c r="A3649" s="0" t="n">
        <v>3</v>
      </c>
      <c r="B3649" s="59" t="n">
        <v>46245</v>
      </c>
      <c r="C3649" s="0" t="n">
        <v>100</v>
      </c>
      <c r="D3649" s="0" t="s">
        <v>2181</v>
      </c>
      <c r="E3649" s="0" t="n">
        <v>42</v>
      </c>
      <c r="F3649" s="0" t="s">
        <v>81</v>
      </c>
      <c r="I3649" s="0" t="n">
        <v>1531860</v>
      </c>
      <c r="J3649" s="0" t="n">
        <v>100006</v>
      </c>
      <c r="K3649" s="0" t="n">
        <v>7</v>
      </c>
      <c r="L3649" s="0" t="s">
        <v>2228</v>
      </c>
      <c r="N3649" s="0" t="n">
        <v>3.516</v>
      </c>
      <c r="O3649" s="60" t="n">
        <v>110.01</v>
      </c>
    </row>
    <row r="3650" customFormat="false" ht="15" hidden="false" customHeight="false" outlineLevel="0" collapsed="false">
      <c r="A3650" s="0" t="n">
        <v>3</v>
      </c>
      <c r="B3650" s="59" t="n">
        <v>46245</v>
      </c>
      <c r="C3650" s="0" t="n">
        <v>100</v>
      </c>
      <c r="D3650" s="0" t="s">
        <v>2181</v>
      </c>
      <c r="E3650" s="0" t="n">
        <v>42</v>
      </c>
      <c r="F3650" s="0" t="s">
        <v>81</v>
      </c>
      <c r="I3650" s="0" t="n">
        <v>1531860</v>
      </c>
      <c r="J3650" s="0" t="n">
        <v>100007</v>
      </c>
      <c r="K3650" s="0" t="n">
        <v>8</v>
      </c>
      <c r="L3650" s="0" t="s">
        <v>2177</v>
      </c>
      <c r="N3650" s="0" t="n">
        <v>2.026</v>
      </c>
      <c r="O3650" s="60" t="n">
        <v>53.88</v>
      </c>
    </row>
    <row r="3651" customFormat="false" ht="15" hidden="false" customHeight="false" outlineLevel="0" collapsed="false">
      <c r="A3651" s="0" t="n">
        <v>3</v>
      </c>
      <c r="B3651" s="59" t="n">
        <v>46245</v>
      </c>
      <c r="C3651" s="0" t="n">
        <v>100</v>
      </c>
      <c r="D3651" s="0" t="s">
        <v>2181</v>
      </c>
      <c r="E3651" s="0" t="n">
        <v>42</v>
      </c>
      <c r="F3651" s="0" t="s">
        <v>81</v>
      </c>
      <c r="I3651" s="0" t="n">
        <v>1531860</v>
      </c>
      <c r="J3651" s="0" t="n">
        <v>100010</v>
      </c>
      <c r="K3651" s="0" t="n">
        <v>11</v>
      </c>
      <c r="L3651" s="0" t="s">
        <v>2230</v>
      </c>
      <c r="N3651" s="0" t="n">
        <v>2.561</v>
      </c>
      <c r="O3651" s="60" t="n">
        <v>94.15</v>
      </c>
    </row>
    <row r="3652" customFormat="false" ht="15" hidden="false" customHeight="false" outlineLevel="0" collapsed="false">
      <c r="A3652" s="0" t="n">
        <v>3</v>
      </c>
      <c r="B3652" s="59" t="n">
        <v>46245</v>
      </c>
      <c r="C3652" s="0" t="n">
        <v>100</v>
      </c>
      <c r="D3652" s="0" t="s">
        <v>2181</v>
      </c>
      <c r="E3652" s="0" t="n">
        <v>42</v>
      </c>
      <c r="F3652" s="0" t="s">
        <v>81</v>
      </c>
      <c r="I3652" s="0" t="n">
        <v>1531860</v>
      </c>
      <c r="J3652" s="0" t="n">
        <v>100011</v>
      </c>
      <c r="K3652" s="0" t="n">
        <v>12</v>
      </c>
      <c r="L3652" s="0" t="s">
        <v>2231</v>
      </c>
      <c r="N3652" s="0" t="n">
        <v>6.669</v>
      </c>
      <c r="O3652" s="60" t="n">
        <v>245.18</v>
      </c>
    </row>
    <row r="3653" customFormat="false" ht="15" hidden="false" customHeight="false" outlineLevel="0" collapsed="false">
      <c r="A3653" s="0" t="n">
        <v>3</v>
      </c>
      <c r="B3653" s="59" t="n">
        <v>46245</v>
      </c>
      <c r="C3653" s="0" t="n">
        <v>100</v>
      </c>
      <c r="D3653" s="0" t="s">
        <v>2181</v>
      </c>
      <c r="E3653" s="0" t="n">
        <v>42</v>
      </c>
      <c r="F3653" s="0" t="s">
        <v>81</v>
      </c>
      <c r="I3653" s="0" t="n">
        <v>1531860</v>
      </c>
      <c r="J3653" s="0" t="n">
        <v>100012</v>
      </c>
      <c r="K3653" s="0" t="n">
        <v>13</v>
      </c>
      <c r="L3653" s="0" t="s">
        <v>2232</v>
      </c>
      <c r="N3653" s="0" t="n">
        <v>4.711</v>
      </c>
      <c r="O3653" s="60" t="n">
        <v>187.94</v>
      </c>
    </row>
    <row r="3654" customFormat="false" ht="15" hidden="false" customHeight="false" outlineLevel="0" collapsed="false">
      <c r="A3654" s="0" t="n">
        <v>3</v>
      </c>
      <c r="B3654" s="59" t="n">
        <v>46245</v>
      </c>
      <c r="C3654" s="0" t="n">
        <v>100</v>
      </c>
      <c r="D3654" s="0" t="s">
        <v>2181</v>
      </c>
      <c r="E3654" s="0" t="n">
        <v>42</v>
      </c>
      <c r="F3654" s="0" t="s">
        <v>81</v>
      </c>
      <c r="I3654" s="0" t="n">
        <v>1531860</v>
      </c>
      <c r="J3654" s="0" t="n">
        <v>100013</v>
      </c>
      <c r="K3654" s="0" t="n">
        <v>14</v>
      </c>
      <c r="L3654" s="0" t="s">
        <v>2233</v>
      </c>
      <c r="N3654" s="0" t="n">
        <v>9.805</v>
      </c>
      <c r="O3654" s="60" t="n">
        <v>421.84</v>
      </c>
    </row>
    <row r="3655" customFormat="false" ht="15" hidden="false" customHeight="false" outlineLevel="0" collapsed="false">
      <c r="A3655" s="0" t="n">
        <v>3</v>
      </c>
      <c r="B3655" s="59" t="n">
        <v>46245</v>
      </c>
      <c r="C3655" s="0" t="n">
        <v>100</v>
      </c>
      <c r="D3655" s="0" t="s">
        <v>2181</v>
      </c>
      <c r="E3655" s="0" t="n">
        <v>42</v>
      </c>
      <c r="F3655" s="0" t="s">
        <v>81</v>
      </c>
      <c r="I3655" s="0" t="n">
        <v>1531860</v>
      </c>
      <c r="J3655" s="0" t="n">
        <v>100014</v>
      </c>
      <c r="K3655" s="0" t="n">
        <v>15</v>
      </c>
      <c r="L3655" s="0" t="s">
        <v>2234</v>
      </c>
      <c r="N3655" s="0" t="n">
        <v>3.283</v>
      </c>
      <c r="O3655" s="60" t="n">
        <v>143.81</v>
      </c>
    </row>
    <row r="3656" customFormat="false" ht="15" hidden="false" customHeight="false" outlineLevel="0" collapsed="false">
      <c r="A3656" s="0" t="n">
        <v>3</v>
      </c>
      <c r="B3656" s="59" t="n">
        <v>46245</v>
      </c>
      <c r="C3656" s="0" t="n">
        <v>100</v>
      </c>
      <c r="D3656" s="0" t="s">
        <v>2181</v>
      </c>
      <c r="E3656" s="0" t="n">
        <v>42</v>
      </c>
      <c r="F3656" s="0" t="s">
        <v>81</v>
      </c>
      <c r="I3656" s="0" t="n">
        <v>1531860</v>
      </c>
      <c r="J3656" s="0" t="n">
        <v>100015</v>
      </c>
      <c r="K3656" s="0" t="n">
        <v>16</v>
      </c>
      <c r="L3656" s="0" t="s">
        <v>2235</v>
      </c>
      <c r="N3656" s="0" t="n">
        <v>1.39</v>
      </c>
      <c r="O3656" s="60" t="n">
        <v>55.45</v>
      </c>
    </row>
    <row r="3657" customFormat="false" ht="15" hidden="false" customHeight="false" outlineLevel="0" collapsed="false">
      <c r="A3657" s="0" t="n">
        <v>3</v>
      </c>
      <c r="B3657" s="59" t="n">
        <v>46245</v>
      </c>
      <c r="C3657" s="0" t="n">
        <v>100</v>
      </c>
      <c r="D3657" s="0" t="s">
        <v>2181</v>
      </c>
      <c r="E3657" s="0" t="n">
        <v>42</v>
      </c>
      <c r="F3657" s="0" t="s">
        <v>81</v>
      </c>
      <c r="I3657" s="0" t="n">
        <v>1531860</v>
      </c>
      <c r="J3657" s="0" t="n">
        <v>100016</v>
      </c>
      <c r="K3657" s="0" t="n">
        <v>17</v>
      </c>
      <c r="L3657" s="0" t="s">
        <v>2236</v>
      </c>
      <c r="N3657" s="0" t="n">
        <v>1.56</v>
      </c>
      <c r="O3657" s="60" t="n">
        <v>67.12</v>
      </c>
    </row>
    <row r="3658" customFormat="false" ht="15" hidden="false" customHeight="false" outlineLevel="0" collapsed="false">
      <c r="A3658" s="0" t="n">
        <v>3</v>
      </c>
      <c r="B3658" s="59" t="n">
        <v>46245</v>
      </c>
      <c r="C3658" s="0" t="n">
        <v>100</v>
      </c>
      <c r="D3658" s="0" t="s">
        <v>2181</v>
      </c>
      <c r="E3658" s="0" t="n">
        <v>42</v>
      </c>
      <c r="F3658" s="0" t="s">
        <v>81</v>
      </c>
      <c r="I3658" s="0" t="n">
        <v>1531860</v>
      </c>
      <c r="J3658" s="0" t="n">
        <v>100017</v>
      </c>
      <c r="K3658" s="0" t="n">
        <v>18</v>
      </c>
      <c r="L3658" s="0" t="s">
        <v>2237</v>
      </c>
      <c r="N3658" s="0" t="n">
        <v>1.827</v>
      </c>
      <c r="O3658" s="60" t="n">
        <v>92.9</v>
      </c>
    </row>
    <row r="3659" customFormat="false" ht="15" hidden="false" customHeight="false" outlineLevel="0" collapsed="false">
      <c r="A3659" s="0" t="n">
        <v>3</v>
      </c>
      <c r="B3659" s="59" t="n">
        <v>46245</v>
      </c>
      <c r="C3659" s="0" t="n">
        <v>100</v>
      </c>
      <c r="D3659" s="0" t="s">
        <v>2181</v>
      </c>
      <c r="E3659" s="0" t="n">
        <v>42</v>
      </c>
      <c r="F3659" s="0" t="s">
        <v>81</v>
      </c>
      <c r="I3659" s="0" t="n">
        <v>1531860</v>
      </c>
      <c r="J3659" s="0" t="n">
        <v>100018</v>
      </c>
      <c r="K3659" s="0" t="n">
        <v>19</v>
      </c>
      <c r="L3659" s="0" t="s">
        <v>3675</v>
      </c>
      <c r="N3659" s="0" t="n">
        <v>9.467</v>
      </c>
      <c r="O3659" s="60" t="n">
        <v>422.11</v>
      </c>
    </row>
    <row r="3660" customFormat="false" ht="15" hidden="false" customHeight="false" outlineLevel="0" collapsed="false">
      <c r="A3660" s="0" t="n">
        <v>3</v>
      </c>
      <c r="B3660" s="59" t="n">
        <v>46245</v>
      </c>
      <c r="C3660" s="0" t="n">
        <v>100</v>
      </c>
      <c r="D3660" s="0" t="s">
        <v>2181</v>
      </c>
      <c r="E3660" s="0" t="n">
        <v>42</v>
      </c>
      <c r="F3660" s="0" t="s">
        <v>81</v>
      </c>
      <c r="I3660" s="0" t="n">
        <v>1531860</v>
      </c>
      <c r="J3660" s="0" t="n">
        <v>100019</v>
      </c>
      <c r="K3660" s="0" t="n">
        <v>20</v>
      </c>
      <c r="L3660" s="0" t="s">
        <v>2795</v>
      </c>
      <c r="N3660" s="0" t="n">
        <v>1.891</v>
      </c>
      <c r="O3660" s="60" t="n">
        <v>63.6</v>
      </c>
    </row>
    <row r="3661" customFormat="false" ht="15" hidden="false" customHeight="false" outlineLevel="0" collapsed="false">
      <c r="A3661" s="0" t="n">
        <v>3</v>
      </c>
      <c r="B3661" s="59" t="n">
        <v>46245</v>
      </c>
      <c r="C3661" s="0" t="n">
        <v>100</v>
      </c>
      <c r="D3661" s="0" t="s">
        <v>2181</v>
      </c>
      <c r="E3661" s="0" t="n">
        <v>42</v>
      </c>
      <c r="F3661" s="0" t="s">
        <v>81</v>
      </c>
      <c r="I3661" s="0" t="n">
        <v>1531860</v>
      </c>
      <c r="J3661" s="0" t="n">
        <v>100053</v>
      </c>
      <c r="K3661" s="0" t="n">
        <v>54</v>
      </c>
      <c r="L3661" s="0" t="s">
        <v>2238</v>
      </c>
      <c r="N3661" s="0" t="n">
        <v>2.843</v>
      </c>
      <c r="O3661" s="60" t="n">
        <v>100.07</v>
      </c>
    </row>
    <row r="3662" customFormat="false" ht="15" hidden="false" customHeight="false" outlineLevel="0" collapsed="false">
      <c r="A3662" s="0" t="n">
        <v>3</v>
      </c>
      <c r="B3662" s="59" t="n">
        <v>46245</v>
      </c>
      <c r="C3662" s="0" t="n">
        <v>100</v>
      </c>
      <c r="D3662" s="0" t="s">
        <v>2181</v>
      </c>
      <c r="E3662" s="0" t="n">
        <v>42</v>
      </c>
      <c r="F3662" s="0" t="s">
        <v>81</v>
      </c>
      <c r="I3662" s="0" t="n">
        <v>1531860</v>
      </c>
      <c r="J3662" s="0" t="n">
        <v>100638</v>
      </c>
      <c r="K3662" s="0" t="n">
        <v>508</v>
      </c>
      <c r="L3662" s="0" t="s">
        <v>2178</v>
      </c>
      <c r="N3662" s="0" t="n">
        <v>2.401</v>
      </c>
      <c r="O3662" s="60" t="n">
        <v>3.74</v>
      </c>
    </row>
    <row r="3663" customFormat="false" ht="15" hidden="false" customHeight="false" outlineLevel="0" collapsed="false">
      <c r="A3663" s="0" t="n">
        <v>3</v>
      </c>
      <c r="B3663" s="59" t="n">
        <v>46245</v>
      </c>
      <c r="C3663" s="0" t="n">
        <v>100</v>
      </c>
      <c r="D3663" s="0" t="s">
        <v>2181</v>
      </c>
      <c r="E3663" s="0" t="n">
        <v>42</v>
      </c>
      <c r="F3663" s="0" t="s">
        <v>81</v>
      </c>
      <c r="I3663" s="0" t="n">
        <v>1531860</v>
      </c>
      <c r="J3663" s="0" t="n">
        <v>100520</v>
      </c>
      <c r="K3663" s="0" t="n">
        <v>507</v>
      </c>
      <c r="L3663" s="0" t="s">
        <v>2179</v>
      </c>
      <c r="N3663" s="0" t="n">
        <v>10.515</v>
      </c>
      <c r="O3663" s="60" t="n">
        <v>24.6</v>
      </c>
    </row>
    <row r="3664" customFormat="false" ht="15" hidden="false" customHeight="false" outlineLevel="0" collapsed="false">
      <c r="A3664" s="0" t="n">
        <v>3</v>
      </c>
      <c r="B3664" s="59" t="n">
        <v>46245</v>
      </c>
      <c r="C3664" s="0" t="n">
        <v>100</v>
      </c>
      <c r="D3664" s="0" t="s">
        <v>2181</v>
      </c>
      <c r="E3664" s="0" t="n">
        <v>42</v>
      </c>
      <c r="F3664" s="0" t="s">
        <v>81</v>
      </c>
      <c r="I3664" s="0" t="n">
        <v>1531860</v>
      </c>
      <c r="J3664" s="0" t="n">
        <v>110455</v>
      </c>
      <c r="K3664" s="0" t="n">
        <v>53212</v>
      </c>
      <c r="L3664" s="0" t="s">
        <v>2180</v>
      </c>
      <c r="N3664" s="0" t="n">
        <v>0.735</v>
      </c>
      <c r="O3664" s="60" t="n">
        <v>0</v>
      </c>
    </row>
    <row r="3665" customFormat="false" ht="15" hidden="false" customHeight="false" outlineLevel="0" collapsed="false">
      <c r="A3665" s="0" t="n">
        <v>3</v>
      </c>
      <c r="B3665" s="59" t="n">
        <v>46245</v>
      </c>
      <c r="C3665" s="0" t="n">
        <v>100</v>
      </c>
      <c r="D3665" s="0" t="s">
        <v>2181</v>
      </c>
      <c r="E3665" s="0" t="n">
        <v>42</v>
      </c>
      <c r="F3665" s="0" t="s">
        <v>81</v>
      </c>
      <c r="I3665" s="0" t="n">
        <v>1531862</v>
      </c>
      <c r="J3665" s="0" t="n">
        <v>100000</v>
      </c>
      <c r="K3665" s="0" t="n">
        <v>1</v>
      </c>
      <c r="L3665" s="0" t="s">
        <v>2173</v>
      </c>
      <c r="N3665" s="0" t="n">
        <v>5.646</v>
      </c>
      <c r="O3665" s="60" t="n">
        <v>124.65</v>
      </c>
    </row>
    <row r="3666" customFormat="false" ht="15" hidden="false" customHeight="false" outlineLevel="0" collapsed="false">
      <c r="A3666" s="0" t="n">
        <v>3</v>
      </c>
      <c r="B3666" s="59" t="n">
        <v>46245</v>
      </c>
      <c r="C3666" s="0" t="n">
        <v>100</v>
      </c>
      <c r="D3666" s="0" t="s">
        <v>2181</v>
      </c>
      <c r="E3666" s="0" t="n">
        <v>42</v>
      </c>
      <c r="F3666" s="0" t="s">
        <v>81</v>
      </c>
      <c r="I3666" s="0" t="n">
        <v>1531862</v>
      </c>
      <c r="J3666" s="0" t="n">
        <v>100001</v>
      </c>
      <c r="K3666" s="0" t="n">
        <v>2</v>
      </c>
      <c r="L3666" s="0" t="s">
        <v>2174</v>
      </c>
      <c r="N3666" s="0" t="n">
        <v>8.05</v>
      </c>
      <c r="O3666" s="60" t="n">
        <v>189.98</v>
      </c>
    </row>
    <row r="3667" customFormat="false" ht="15" hidden="false" customHeight="false" outlineLevel="0" collapsed="false">
      <c r="A3667" s="0" t="n">
        <v>3</v>
      </c>
      <c r="B3667" s="59" t="n">
        <v>46245</v>
      </c>
      <c r="C3667" s="0" t="n">
        <v>100</v>
      </c>
      <c r="D3667" s="0" t="s">
        <v>2181</v>
      </c>
      <c r="E3667" s="0" t="n">
        <v>42</v>
      </c>
      <c r="F3667" s="0" t="s">
        <v>81</v>
      </c>
      <c r="I3667" s="0" t="n">
        <v>1531862</v>
      </c>
      <c r="J3667" s="0" t="n">
        <v>100002</v>
      </c>
      <c r="K3667" s="0" t="n">
        <v>3</v>
      </c>
      <c r="L3667" s="0" t="s">
        <v>2175</v>
      </c>
      <c r="N3667" s="0" t="n">
        <v>17.76</v>
      </c>
      <c r="O3667" s="60" t="n">
        <v>432.67</v>
      </c>
    </row>
    <row r="3668" customFormat="false" ht="15" hidden="false" customHeight="false" outlineLevel="0" collapsed="false">
      <c r="A3668" s="0" t="n">
        <v>3</v>
      </c>
      <c r="B3668" s="59" t="n">
        <v>46245</v>
      </c>
      <c r="C3668" s="0" t="n">
        <v>100</v>
      </c>
      <c r="D3668" s="0" t="s">
        <v>2181</v>
      </c>
      <c r="E3668" s="0" t="n">
        <v>42</v>
      </c>
      <c r="F3668" s="0" t="s">
        <v>81</v>
      </c>
      <c r="I3668" s="0" t="n">
        <v>1531862</v>
      </c>
      <c r="J3668" s="0" t="n">
        <v>100003</v>
      </c>
      <c r="K3668" s="0" t="n">
        <v>4</v>
      </c>
      <c r="L3668" s="0" t="s">
        <v>2176</v>
      </c>
      <c r="N3668" s="0" t="n">
        <v>12.765</v>
      </c>
      <c r="O3668" s="60" t="n">
        <v>340.14</v>
      </c>
    </row>
    <row r="3669" customFormat="false" ht="15" hidden="false" customHeight="false" outlineLevel="0" collapsed="false">
      <c r="A3669" s="0" t="n">
        <v>3</v>
      </c>
      <c r="B3669" s="59" t="n">
        <v>46245</v>
      </c>
      <c r="C3669" s="0" t="n">
        <v>100</v>
      </c>
      <c r="D3669" s="0" t="s">
        <v>2181</v>
      </c>
      <c r="E3669" s="0" t="n">
        <v>42</v>
      </c>
      <c r="F3669" s="0" t="s">
        <v>81</v>
      </c>
      <c r="I3669" s="0" t="n">
        <v>1531862</v>
      </c>
      <c r="J3669" s="0" t="n">
        <v>100004</v>
      </c>
      <c r="K3669" s="0" t="n">
        <v>5</v>
      </c>
      <c r="L3669" s="0" t="s">
        <v>2411</v>
      </c>
      <c r="N3669" s="0" t="n">
        <v>1.356</v>
      </c>
      <c r="O3669" s="60" t="n">
        <v>23.74</v>
      </c>
    </row>
    <row r="3670" customFormat="false" ht="15" hidden="false" customHeight="false" outlineLevel="0" collapsed="false">
      <c r="A3670" s="0" t="n">
        <v>3</v>
      </c>
      <c r="B3670" s="59" t="n">
        <v>46245</v>
      </c>
      <c r="C3670" s="0" t="n">
        <v>100</v>
      </c>
      <c r="D3670" s="0" t="s">
        <v>2181</v>
      </c>
      <c r="E3670" s="0" t="n">
        <v>42</v>
      </c>
      <c r="F3670" s="0" t="s">
        <v>81</v>
      </c>
      <c r="I3670" s="0" t="n">
        <v>1531862</v>
      </c>
      <c r="J3670" s="0" t="n">
        <v>100007</v>
      </c>
      <c r="K3670" s="0" t="n">
        <v>8</v>
      </c>
      <c r="L3670" s="0" t="s">
        <v>2177</v>
      </c>
      <c r="N3670" s="0" t="n">
        <v>4.366</v>
      </c>
      <c r="O3670" s="60" t="n">
        <v>113.01</v>
      </c>
    </row>
    <row r="3671" customFormat="false" ht="15" hidden="false" customHeight="false" outlineLevel="0" collapsed="false">
      <c r="A3671" s="0" t="n">
        <v>3</v>
      </c>
      <c r="B3671" s="59" t="n">
        <v>46245</v>
      </c>
      <c r="C3671" s="0" t="n">
        <v>100</v>
      </c>
      <c r="D3671" s="0" t="s">
        <v>2181</v>
      </c>
      <c r="E3671" s="0" t="n">
        <v>42</v>
      </c>
      <c r="F3671" s="0" t="s">
        <v>81</v>
      </c>
      <c r="I3671" s="0" t="n">
        <v>1531862</v>
      </c>
      <c r="J3671" s="0" t="n">
        <v>100638</v>
      </c>
      <c r="K3671" s="0" t="n">
        <v>508</v>
      </c>
      <c r="L3671" s="0" t="s">
        <v>2178</v>
      </c>
      <c r="N3671" s="0" t="n">
        <v>0.854</v>
      </c>
      <c r="O3671" s="60" t="n">
        <v>1.29</v>
      </c>
    </row>
    <row r="3672" customFormat="false" ht="15" hidden="false" customHeight="false" outlineLevel="0" collapsed="false">
      <c r="A3672" s="0" t="n">
        <v>3</v>
      </c>
      <c r="B3672" s="59" t="n">
        <v>46245</v>
      </c>
      <c r="C3672" s="0" t="n">
        <v>100</v>
      </c>
      <c r="D3672" s="0" t="s">
        <v>2181</v>
      </c>
      <c r="E3672" s="0" t="n">
        <v>42</v>
      </c>
      <c r="F3672" s="0" t="s">
        <v>81</v>
      </c>
      <c r="I3672" s="0" t="n">
        <v>1531862</v>
      </c>
      <c r="J3672" s="0" t="n">
        <v>100520</v>
      </c>
      <c r="K3672" s="0" t="n">
        <v>507</v>
      </c>
      <c r="L3672" s="0" t="s">
        <v>2179</v>
      </c>
      <c r="N3672" s="0" t="n">
        <v>3.296</v>
      </c>
      <c r="O3672" s="60" t="n">
        <v>7.51</v>
      </c>
    </row>
    <row r="3673" customFormat="false" ht="15" hidden="false" customHeight="false" outlineLevel="0" collapsed="false">
      <c r="A3673" s="0" t="n">
        <v>3</v>
      </c>
      <c r="B3673" s="59" t="n">
        <v>46245</v>
      </c>
      <c r="C3673" s="0" t="n">
        <v>100</v>
      </c>
      <c r="D3673" s="0" t="s">
        <v>2181</v>
      </c>
      <c r="E3673" s="0" t="n">
        <v>42</v>
      </c>
      <c r="F3673" s="0" t="s">
        <v>81</v>
      </c>
      <c r="I3673" s="0" t="n">
        <v>1531862</v>
      </c>
      <c r="J3673" s="0" t="n">
        <v>110455</v>
      </c>
      <c r="K3673" s="0" t="n">
        <v>53212</v>
      </c>
      <c r="L3673" s="0" t="s">
        <v>2180</v>
      </c>
      <c r="N3673" s="0" t="n">
        <v>0.707</v>
      </c>
      <c r="O3673" s="60" t="n">
        <v>0.01</v>
      </c>
    </row>
    <row r="3674" customFormat="false" ht="15" hidden="false" customHeight="false" outlineLevel="0" collapsed="false">
      <c r="A3674" s="0" t="n">
        <v>3</v>
      </c>
      <c r="B3674" s="59" t="n">
        <v>46245</v>
      </c>
      <c r="C3674" s="0" t="n">
        <v>100</v>
      </c>
      <c r="D3674" s="0" t="s">
        <v>2181</v>
      </c>
      <c r="E3674" s="0" t="n">
        <v>42</v>
      </c>
      <c r="F3674" s="0" t="s">
        <v>81</v>
      </c>
      <c r="I3674" s="0" t="n">
        <v>1531865</v>
      </c>
      <c r="J3674" s="0" t="n">
        <v>100004</v>
      </c>
      <c r="K3674" s="0" t="n">
        <v>5</v>
      </c>
      <c r="L3674" s="0" t="s">
        <v>2411</v>
      </c>
      <c r="N3674" s="0" t="n">
        <v>23.71</v>
      </c>
      <c r="O3674" s="60" t="n">
        <v>456.35</v>
      </c>
    </row>
    <row r="3675" customFormat="false" ht="15" hidden="false" customHeight="false" outlineLevel="0" collapsed="false">
      <c r="A3675" s="0" t="n">
        <v>3</v>
      </c>
      <c r="B3675" s="59" t="n">
        <v>46245</v>
      </c>
      <c r="C3675" s="0" t="n">
        <v>100</v>
      </c>
      <c r="D3675" s="0" t="s">
        <v>2181</v>
      </c>
      <c r="E3675" s="0" t="n">
        <v>42</v>
      </c>
      <c r="F3675" s="0" t="s">
        <v>81</v>
      </c>
      <c r="I3675" s="0" t="n">
        <v>1531865</v>
      </c>
      <c r="J3675" s="0" t="n">
        <v>100007</v>
      </c>
      <c r="K3675" s="0" t="n">
        <v>8</v>
      </c>
      <c r="L3675" s="0" t="s">
        <v>2177</v>
      </c>
      <c r="N3675" s="0" t="n">
        <v>1.184</v>
      </c>
      <c r="O3675" s="60" t="n">
        <v>33.69</v>
      </c>
    </row>
    <row r="3676" customFormat="false" ht="15" hidden="false" customHeight="false" outlineLevel="0" collapsed="false">
      <c r="A3676" s="0" t="n">
        <v>3</v>
      </c>
      <c r="B3676" s="59" t="n">
        <v>46245</v>
      </c>
      <c r="C3676" s="0" t="n">
        <v>100</v>
      </c>
      <c r="D3676" s="0" t="s">
        <v>2181</v>
      </c>
      <c r="E3676" s="0" t="n">
        <v>42</v>
      </c>
      <c r="F3676" s="0" t="s">
        <v>81</v>
      </c>
      <c r="I3676" s="0" t="n">
        <v>1531865</v>
      </c>
      <c r="J3676" s="0" t="n">
        <v>100020</v>
      </c>
      <c r="K3676" s="0" t="n">
        <v>21</v>
      </c>
      <c r="L3676" s="0" t="s">
        <v>2337</v>
      </c>
      <c r="N3676" s="0" t="n">
        <v>4.288</v>
      </c>
      <c r="O3676" s="60" t="n">
        <v>147.15</v>
      </c>
    </row>
    <row r="3677" customFormat="false" ht="15" hidden="false" customHeight="false" outlineLevel="0" collapsed="false">
      <c r="A3677" s="0" t="n">
        <v>3</v>
      </c>
      <c r="B3677" s="59" t="n">
        <v>46245</v>
      </c>
      <c r="C3677" s="0" t="n">
        <v>100</v>
      </c>
      <c r="D3677" s="0" t="s">
        <v>2181</v>
      </c>
      <c r="E3677" s="0" t="n">
        <v>42</v>
      </c>
      <c r="F3677" s="0" t="s">
        <v>81</v>
      </c>
      <c r="I3677" s="0" t="n">
        <v>1531865</v>
      </c>
      <c r="J3677" s="0" t="n">
        <v>100638</v>
      </c>
      <c r="K3677" s="0" t="n">
        <v>508</v>
      </c>
      <c r="L3677" s="0" t="s">
        <v>2178</v>
      </c>
      <c r="N3677" s="0" t="n">
        <v>1.442</v>
      </c>
      <c r="O3677" s="60" t="n">
        <v>2.4</v>
      </c>
    </row>
    <row r="3678" customFormat="false" ht="15" hidden="false" customHeight="false" outlineLevel="0" collapsed="false">
      <c r="A3678" s="0" t="n">
        <v>3</v>
      </c>
      <c r="B3678" s="59" t="n">
        <v>46245</v>
      </c>
      <c r="C3678" s="0" t="n">
        <v>100</v>
      </c>
      <c r="D3678" s="0" t="s">
        <v>2181</v>
      </c>
      <c r="E3678" s="0" t="n">
        <v>42</v>
      </c>
      <c r="F3678" s="0" t="s">
        <v>81</v>
      </c>
      <c r="I3678" s="0" t="n">
        <v>1531865</v>
      </c>
      <c r="J3678" s="0" t="n">
        <v>110455</v>
      </c>
      <c r="K3678" s="0" t="n">
        <v>53212</v>
      </c>
      <c r="L3678" s="0" t="s">
        <v>2180</v>
      </c>
      <c r="N3678" s="0" t="n">
        <v>0.576</v>
      </c>
      <c r="O3678" s="60" t="n">
        <v>0.01</v>
      </c>
    </row>
    <row r="3679" customFormat="false" ht="15" hidden="false" customHeight="false" outlineLevel="0" collapsed="false">
      <c r="A3679" s="0" t="n">
        <v>3</v>
      </c>
      <c r="B3679" s="59" t="n">
        <v>46245</v>
      </c>
      <c r="C3679" s="0" t="n">
        <v>100</v>
      </c>
      <c r="D3679" s="0" t="s">
        <v>2181</v>
      </c>
      <c r="E3679" s="0" t="n">
        <v>42</v>
      </c>
      <c r="F3679" s="0" t="s">
        <v>81</v>
      </c>
      <c r="I3679" s="0" t="n">
        <v>1531868</v>
      </c>
      <c r="J3679" s="0" t="n">
        <v>100006</v>
      </c>
      <c r="K3679" s="0" t="n">
        <v>7</v>
      </c>
      <c r="L3679" s="0" t="s">
        <v>2228</v>
      </c>
      <c r="N3679" s="0" t="n">
        <v>0.825</v>
      </c>
      <c r="O3679" s="60" t="n">
        <v>27.42</v>
      </c>
    </row>
    <row r="3680" customFormat="false" ht="15" hidden="false" customHeight="false" outlineLevel="0" collapsed="false">
      <c r="A3680" s="0" t="n">
        <v>3</v>
      </c>
      <c r="B3680" s="59" t="n">
        <v>46245</v>
      </c>
      <c r="C3680" s="0" t="n">
        <v>100</v>
      </c>
      <c r="D3680" s="0" t="s">
        <v>2181</v>
      </c>
      <c r="E3680" s="0" t="n">
        <v>42</v>
      </c>
      <c r="F3680" s="0" t="s">
        <v>81</v>
      </c>
      <c r="I3680" s="0" t="n">
        <v>1531868</v>
      </c>
      <c r="J3680" s="0" t="n">
        <v>100007</v>
      </c>
      <c r="K3680" s="0" t="n">
        <v>8</v>
      </c>
      <c r="L3680" s="0" t="s">
        <v>2177</v>
      </c>
      <c r="N3680" s="0" t="n">
        <v>0.489</v>
      </c>
      <c r="O3680" s="60" t="n">
        <v>13.81</v>
      </c>
    </row>
    <row r="3681" customFormat="false" ht="15" hidden="false" customHeight="false" outlineLevel="0" collapsed="false">
      <c r="A3681" s="0" t="n">
        <v>3</v>
      </c>
      <c r="B3681" s="59" t="n">
        <v>46245</v>
      </c>
      <c r="C3681" s="0" t="n">
        <v>100</v>
      </c>
      <c r="D3681" s="0" t="s">
        <v>2181</v>
      </c>
      <c r="E3681" s="0" t="n">
        <v>42</v>
      </c>
      <c r="F3681" s="0" t="s">
        <v>81</v>
      </c>
      <c r="I3681" s="0" t="n">
        <v>1531868</v>
      </c>
      <c r="J3681" s="0" t="n">
        <v>100008</v>
      </c>
      <c r="K3681" s="0" t="n">
        <v>9</v>
      </c>
      <c r="L3681" s="0" t="s">
        <v>2229</v>
      </c>
      <c r="N3681" s="0" t="n">
        <v>12.03</v>
      </c>
      <c r="O3681" s="60" t="n">
        <v>409.85</v>
      </c>
    </row>
    <row r="3682" customFormat="false" ht="15" hidden="false" customHeight="false" outlineLevel="0" collapsed="false">
      <c r="A3682" s="0" t="n">
        <v>3</v>
      </c>
      <c r="B3682" s="59" t="n">
        <v>46245</v>
      </c>
      <c r="C3682" s="0" t="n">
        <v>100</v>
      </c>
      <c r="D3682" s="0" t="s">
        <v>2181</v>
      </c>
      <c r="E3682" s="0" t="n">
        <v>42</v>
      </c>
      <c r="F3682" s="0" t="s">
        <v>81</v>
      </c>
      <c r="I3682" s="0" t="n">
        <v>1531868</v>
      </c>
      <c r="J3682" s="0" t="n">
        <v>100016</v>
      </c>
      <c r="K3682" s="0" t="n">
        <v>17</v>
      </c>
      <c r="L3682" s="0" t="s">
        <v>2236</v>
      </c>
      <c r="N3682" s="0" t="n">
        <v>2.136</v>
      </c>
      <c r="O3682" s="60" t="n">
        <v>97.63</v>
      </c>
    </row>
    <row r="3683" customFormat="false" ht="15" hidden="false" customHeight="false" outlineLevel="0" collapsed="false">
      <c r="A3683" s="0" t="n">
        <v>3</v>
      </c>
      <c r="B3683" s="59" t="n">
        <v>46245</v>
      </c>
      <c r="C3683" s="0" t="n">
        <v>100</v>
      </c>
      <c r="D3683" s="0" t="s">
        <v>2181</v>
      </c>
      <c r="E3683" s="0" t="n">
        <v>42</v>
      </c>
      <c r="F3683" s="0" t="s">
        <v>81</v>
      </c>
      <c r="I3683" s="0" t="n">
        <v>1531868</v>
      </c>
      <c r="J3683" s="0" t="n">
        <v>100053</v>
      </c>
      <c r="K3683" s="0" t="n">
        <v>54</v>
      </c>
      <c r="L3683" s="0" t="s">
        <v>2238</v>
      </c>
      <c r="N3683" s="0" t="n">
        <v>1.218</v>
      </c>
      <c r="O3683" s="60" t="n">
        <v>45.54</v>
      </c>
    </row>
    <row r="3684" customFormat="false" ht="15" hidden="false" customHeight="false" outlineLevel="0" collapsed="false">
      <c r="A3684" s="0" t="n">
        <v>3</v>
      </c>
      <c r="B3684" s="59" t="n">
        <v>46245</v>
      </c>
      <c r="C3684" s="0" t="n">
        <v>100</v>
      </c>
      <c r="D3684" s="0" t="s">
        <v>2181</v>
      </c>
      <c r="E3684" s="0" t="n">
        <v>42</v>
      </c>
      <c r="F3684" s="0" t="s">
        <v>81</v>
      </c>
      <c r="I3684" s="0" t="n">
        <v>1531868</v>
      </c>
      <c r="J3684" s="0" t="n">
        <v>100638</v>
      </c>
      <c r="K3684" s="0" t="n">
        <v>508</v>
      </c>
      <c r="L3684" s="0" t="s">
        <v>2178</v>
      </c>
      <c r="N3684" s="0" t="n">
        <v>0.1</v>
      </c>
      <c r="O3684" s="60" t="n">
        <v>0.17</v>
      </c>
    </row>
    <row r="3685" customFormat="false" ht="15" hidden="false" customHeight="false" outlineLevel="0" collapsed="false">
      <c r="A3685" s="0" t="n">
        <v>3</v>
      </c>
      <c r="B3685" s="59" t="n">
        <v>46245</v>
      </c>
      <c r="C3685" s="0" t="n">
        <v>100</v>
      </c>
      <c r="D3685" s="0" t="s">
        <v>2181</v>
      </c>
      <c r="E3685" s="0" t="n">
        <v>42</v>
      </c>
      <c r="F3685" s="0" t="s">
        <v>81</v>
      </c>
      <c r="I3685" s="0" t="n">
        <v>1531868</v>
      </c>
      <c r="J3685" s="0" t="n">
        <v>100520</v>
      </c>
      <c r="K3685" s="0" t="n">
        <v>507</v>
      </c>
      <c r="L3685" s="0" t="s">
        <v>2179</v>
      </c>
      <c r="N3685" s="0" t="n">
        <v>1.603</v>
      </c>
      <c r="O3685" s="60" t="n">
        <v>3.98</v>
      </c>
    </row>
    <row r="3686" customFormat="false" ht="15" hidden="false" customHeight="false" outlineLevel="0" collapsed="false">
      <c r="A3686" s="0" t="n">
        <v>3</v>
      </c>
      <c r="B3686" s="59" t="n">
        <v>46245</v>
      </c>
      <c r="C3686" s="0" t="n">
        <v>100</v>
      </c>
      <c r="D3686" s="0" t="s">
        <v>2181</v>
      </c>
      <c r="E3686" s="0" t="n">
        <v>42</v>
      </c>
      <c r="F3686" s="0" t="s">
        <v>81</v>
      </c>
      <c r="I3686" s="0" t="n">
        <v>1531868</v>
      </c>
      <c r="J3686" s="0" t="n">
        <v>110455</v>
      </c>
      <c r="K3686" s="0" t="n">
        <v>53212</v>
      </c>
      <c r="L3686" s="0" t="s">
        <v>2180</v>
      </c>
      <c r="N3686" s="0" t="n">
        <v>0.299</v>
      </c>
      <c r="O3686" s="60" t="n">
        <v>0</v>
      </c>
    </row>
    <row r="3687" customFormat="false" ht="15" hidden="false" customHeight="false" outlineLevel="0" collapsed="false">
      <c r="A3687" s="0" t="n">
        <v>3</v>
      </c>
      <c r="B3687" s="59" t="n">
        <v>46245</v>
      </c>
      <c r="C3687" s="0" t="n">
        <v>100</v>
      </c>
      <c r="D3687" s="0" t="s">
        <v>2181</v>
      </c>
      <c r="E3687" s="0" t="n">
        <v>42</v>
      </c>
      <c r="F3687" s="0" t="s">
        <v>81</v>
      </c>
      <c r="I3687" s="0" t="n">
        <v>1531870</v>
      </c>
      <c r="J3687" s="0" t="n">
        <v>100006</v>
      </c>
      <c r="K3687" s="0" t="n">
        <v>7</v>
      </c>
      <c r="L3687" s="0" t="s">
        <v>2228</v>
      </c>
      <c r="N3687" s="0" t="n">
        <v>0.825</v>
      </c>
      <c r="O3687" s="60" t="n">
        <v>27.84</v>
      </c>
    </row>
    <row r="3688" customFormat="false" ht="15" hidden="false" customHeight="false" outlineLevel="0" collapsed="false">
      <c r="A3688" s="0" t="n">
        <v>3</v>
      </c>
      <c r="B3688" s="59" t="n">
        <v>46245</v>
      </c>
      <c r="C3688" s="0" t="n">
        <v>100</v>
      </c>
      <c r="D3688" s="0" t="s">
        <v>2181</v>
      </c>
      <c r="E3688" s="0" t="n">
        <v>42</v>
      </c>
      <c r="F3688" s="0" t="s">
        <v>81</v>
      </c>
      <c r="I3688" s="0" t="n">
        <v>1531870</v>
      </c>
      <c r="J3688" s="0" t="n">
        <v>100007</v>
      </c>
      <c r="K3688" s="0" t="n">
        <v>8</v>
      </c>
      <c r="L3688" s="0" t="s">
        <v>2177</v>
      </c>
      <c r="N3688" s="0" t="n">
        <v>0.489</v>
      </c>
      <c r="O3688" s="60" t="n">
        <v>14.03</v>
      </c>
    </row>
    <row r="3689" customFormat="false" ht="15" hidden="false" customHeight="false" outlineLevel="0" collapsed="false">
      <c r="A3689" s="0" t="n">
        <v>3</v>
      </c>
      <c r="B3689" s="59" t="n">
        <v>46245</v>
      </c>
      <c r="C3689" s="0" t="n">
        <v>100</v>
      </c>
      <c r="D3689" s="0" t="s">
        <v>2181</v>
      </c>
      <c r="E3689" s="0" t="n">
        <v>42</v>
      </c>
      <c r="F3689" s="0" t="s">
        <v>81</v>
      </c>
      <c r="I3689" s="0" t="n">
        <v>1531870</v>
      </c>
      <c r="J3689" s="0" t="n">
        <v>100008</v>
      </c>
      <c r="K3689" s="0" t="n">
        <v>9</v>
      </c>
      <c r="L3689" s="0" t="s">
        <v>2229</v>
      </c>
      <c r="N3689" s="0" t="n">
        <v>12.235</v>
      </c>
      <c r="O3689" s="60" t="n">
        <v>423.23</v>
      </c>
    </row>
    <row r="3690" customFormat="false" ht="15" hidden="false" customHeight="false" outlineLevel="0" collapsed="false">
      <c r="A3690" s="0" t="n">
        <v>3</v>
      </c>
      <c r="B3690" s="59" t="n">
        <v>46245</v>
      </c>
      <c r="C3690" s="0" t="n">
        <v>100</v>
      </c>
      <c r="D3690" s="0" t="s">
        <v>2181</v>
      </c>
      <c r="E3690" s="0" t="n">
        <v>42</v>
      </c>
      <c r="F3690" s="0" t="s">
        <v>81</v>
      </c>
      <c r="I3690" s="0" t="n">
        <v>1531870</v>
      </c>
      <c r="J3690" s="0" t="n">
        <v>100016</v>
      </c>
      <c r="K3690" s="0" t="n">
        <v>17</v>
      </c>
      <c r="L3690" s="0" t="s">
        <v>2236</v>
      </c>
      <c r="N3690" s="0" t="n">
        <v>1.976</v>
      </c>
      <c r="O3690" s="60" t="n">
        <v>91.7</v>
      </c>
    </row>
    <row r="3691" customFormat="false" ht="15" hidden="false" customHeight="false" outlineLevel="0" collapsed="false">
      <c r="A3691" s="0" t="n">
        <v>3</v>
      </c>
      <c r="B3691" s="59" t="n">
        <v>46245</v>
      </c>
      <c r="C3691" s="0" t="n">
        <v>100</v>
      </c>
      <c r="D3691" s="0" t="s">
        <v>2181</v>
      </c>
      <c r="E3691" s="0" t="n">
        <v>42</v>
      </c>
      <c r="F3691" s="0" t="s">
        <v>81</v>
      </c>
      <c r="I3691" s="0" t="n">
        <v>1531870</v>
      </c>
      <c r="J3691" s="0" t="n">
        <v>100053</v>
      </c>
      <c r="K3691" s="0" t="n">
        <v>54</v>
      </c>
      <c r="L3691" s="0" t="s">
        <v>2238</v>
      </c>
      <c r="N3691" s="0" t="n">
        <v>1.218</v>
      </c>
      <c r="O3691" s="60" t="n">
        <v>46.24</v>
      </c>
    </row>
    <row r="3692" customFormat="false" ht="15" hidden="false" customHeight="false" outlineLevel="0" collapsed="false">
      <c r="A3692" s="0" t="n">
        <v>3</v>
      </c>
      <c r="B3692" s="59" t="n">
        <v>46245</v>
      </c>
      <c r="C3692" s="0" t="n">
        <v>100</v>
      </c>
      <c r="D3692" s="0" t="s">
        <v>2181</v>
      </c>
      <c r="E3692" s="0" t="n">
        <v>42</v>
      </c>
      <c r="F3692" s="0" t="s">
        <v>81</v>
      </c>
      <c r="I3692" s="0" t="n">
        <v>1531870</v>
      </c>
      <c r="J3692" s="0" t="n">
        <v>100638</v>
      </c>
      <c r="K3692" s="0" t="n">
        <v>508</v>
      </c>
      <c r="L3692" s="0" t="s">
        <v>2178</v>
      </c>
      <c r="N3692" s="0" t="n">
        <v>0.541</v>
      </c>
      <c r="O3692" s="60" t="n">
        <v>0.91</v>
      </c>
    </row>
    <row r="3693" customFormat="false" ht="15" hidden="false" customHeight="false" outlineLevel="0" collapsed="false">
      <c r="A3693" s="0" t="n">
        <v>3</v>
      </c>
      <c r="B3693" s="59" t="n">
        <v>46245</v>
      </c>
      <c r="C3693" s="0" t="n">
        <v>100</v>
      </c>
      <c r="D3693" s="0" t="s">
        <v>2181</v>
      </c>
      <c r="E3693" s="0" t="n">
        <v>42</v>
      </c>
      <c r="F3693" s="0" t="s">
        <v>81</v>
      </c>
      <c r="I3693" s="0" t="n">
        <v>1531870</v>
      </c>
      <c r="J3693" s="0" t="n">
        <v>100520</v>
      </c>
      <c r="K3693" s="0" t="n">
        <v>507</v>
      </c>
      <c r="L3693" s="0" t="s">
        <v>2179</v>
      </c>
      <c r="N3693" s="0" t="n">
        <v>1.603</v>
      </c>
      <c r="O3693" s="60" t="n">
        <v>4.04</v>
      </c>
    </row>
    <row r="3694" customFormat="false" ht="15" hidden="false" customHeight="false" outlineLevel="0" collapsed="false">
      <c r="A3694" s="0" t="n">
        <v>3</v>
      </c>
      <c r="B3694" s="59" t="n">
        <v>46245</v>
      </c>
      <c r="C3694" s="0" t="n">
        <v>100</v>
      </c>
      <c r="D3694" s="0" t="s">
        <v>2181</v>
      </c>
      <c r="E3694" s="0" t="n">
        <v>42</v>
      </c>
      <c r="F3694" s="0" t="s">
        <v>81</v>
      </c>
      <c r="I3694" s="0" t="n">
        <v>1531870</v>
      </c>
      <c r="J3694" s="0" t="n">
        <v>110455</v>
      </c>
      <c r="K3694" s="0" t="n">
        <v>53212</v>
      </c>
      <c r="L3694" s="0" t="s">
        <v>2180</v>
      </c>
      <c r="N3694" s="0" t="n">
        <v>0.113</v>
      </c>
      <c r="O3694" s="60" t="n">
        <v>0.01</v>
      </c>
    </row>
    <row r="3695" customFormat="false" ht="15" hidden="false" customHeight="false" outlineLevel="0" collapsed="false">
      <c r="A3695" s="0" t="n">
        <v>3</v>
      </c>
      <c r="B3695" s="59" t="n">
        <v>46245</v>
      </c>
      <c r="C3695" s="0" t="n">
        <v>107</v>
      </c>
      <c r="D3695" s="0" t="s">
        <v>2244</v>
      </c>
      <c r="E3695" s="0" t="n">
        <v>1705</v>
      </c>
      <c r="F3695" s="0" t="s">
        <v>123</v>
      </c>
      <c r="I3695" s="0" t="n">
        <v>1972829</v>
      </c>
      <c r="J3695" s="0" t="n">
        <v>32086</v>
      </c>
      <c r="K3695" s="0" t="n">
        <v>7894900027037</v>
      </c>
      <c r="L3695" s="0" t="s">
        <v>3651</v>
      </c>
      <c r="N3695" s="0" t="n">
        <v>6</v>
      </c>
      <c r="O3695" s="60" t="n">
        <v>32.34</v>
      </c>
    </row>
    <row r="3696" customFormat="false" ht="15" hidden="false" customHeight="false" outlineLevel="0" collapsed="false">
      <c r="A3696" s="0" t="n">
        <v>3</v>
      </c>
      <c r="B3696" s="59" t="n">
        <v>46246</v>
      </c>
      <c r="C3696" s="0" t="n">
        <v>1</v>
      </c>
      <c r="D3696" s="0" t="s">
        <v>2118</v>
      </c>
      <c r="E3696" s="0" t="n">
        <v>10043</v>
      </c>
      <c r="F3696" s="0" t="s">
        <v>113</v>
      </c>
      <c r="I3696" s="0" t="n">
        <v>863</v>
      </c>
      <c r="J3696" s="0" t="n">
        <v>52096</v>
      </c>
      <c r="K3696" s="0" t="n">
        <v>144315</v>
      </c>
      <c r="L3696" s="0" t="s">
        <v>2415</v>
      </c>
      <c r="N3696" s="0" t="n">
        <v>120</v>
      </c>
      <c r="O3696" s="60" t="n">
        <v>180</v>
      </c>
    </row>
    <row r="3697" customFormat="false" ht="15" hidden="false" customHeight="false" outlineLevel="0" collapsed="false">
      <c r="A3697" s="0" t="n">
        <v>3</v>
      </c>
      <c r="B3697" s="59" t="n">
        <v>46246</v>
      </c>
      <c r="C3697" s="0" t="n">
        <v>6</v>
      </c>
      <c r="D3697" s="0" t="s">
        <v>2125</v>
      </c>
      <c r="E3697" s="0" t="n">
        <v>42</v>
      </c>
      <c r="F3697" s="0" t="s">
        <v>81</v>
      </c>
      <c r="I3697" s="0" t="n">
        <v>4490</v>
      </c>
      <c r="J3697" s="0" t="n">
        <v>109791</v>
      </c>
      <c r="K3697" s="0" t="n">
        <v>9667</v>
      </c>
      <c r="L3697" s="0" t="s">
        <v>2123</v>
      </c>
      <c r="N3697" s="0" t="n">
        <v>10</v>
      </c>
      <c r="O3697" s="60" t="n">
        <v>25</v>
      </c>
    </row>
    <row r="3698" customFormat="false" ht="15" hidden="false" customHeight="false" outlineLevel="0" collapsed="false">
      <c r="A3698" s="0" t="n">
        <v>3</v>
      </c>
      <c r="B3698" s="59" t="n">
        <v>46246</v>
      </c>
      <c r="C3698" s="0" t="n">
        <v>6</v>
      </c>
      <c r="D3698" s="0" t="s">
        <v>2125</v>
      </c>
      <c r="E3698" s="0" t="n">
        <v>42</v>
      </c>
      <c r="F3698" s="0" t="s">
        <v>81</v>
      </c>
      <c r="I3698" s="0" t="n">
        <v>4490</v>
      </c>
      <c r="J3698" s="0" t="n">
        <v>37361</v>
      </c>
      <c r="K3698" s="0" t="n">
        <v>2240817</v>
      </c>
      <c r="L3698" s="0" t="s">
        <v>2124</v>
      </c>
      <c r="N3698" s="0" t="n">
        <v>20</v>
      </c>
      <c r="O3698" s="60" t="n">
        <v>40</v>
      </c>
    </row>
    <row r="3699" customFormat="false" ht="15" hidden="false" customHeight="false" outlineLevel="0" collapsed="false">
      <c r="A3699" s="0" t="n">
        <v>3</v>
      </c>
      <c r="B3699" s="59" t="n">
        <v>46246</v>
      </c>
      <c r="C3699" s="0" t="n">
        <v>11</v>
      </c>
      <c r="D3699" s="0" t="s">
        <v>2126</v>
      </c>
      <c r="E3699" s="0" t="n">
        <v>10096</v>
      </c>
      <c r="F3699" s="0" t="s">
        <v>1235</v>
      </c>
      <c r="I3699" s="0" t="n">
        <v>149</v>
      </c>
      <c r="J3699" s="0" t="n">
        <v>61580</v>
      </c>
      <c r="K3699" s="0" t="n">
        <v>2258157</v>
      </c>
      <c r="L3699" s="0" t="s">
        <v>3008</v>
      </c>
      <c r="N3699" s="0" t="n">
        <v>20</v>
      </c>
      <c r="O3699" s="60" t="n">
        <v>240</v>
      </c>
    </row>
    <row r="3700" customFormat="false" ht="15" hidden="false" customHeight="false" outlineLevel="0" collapsed="false">
      <c r="A3700" s="0" t="n">
        <v>3</v>
      </c>
      <c r="B3700" s="59" t="n">
        <v>46246</v>
      </c>
      <c r="C3700" s="0" t="n">
        <v>11</v>
      </c>
      <c r="D3700" s="0" t="s">
        <v>2126</v>
      </c>
      <c r="E3700" s="0" t="n">
        <v>642</v>
      </c>
      <c r="F3700" s="0" t="s">
        <v>136</v>
      </c>
      <c r="I3700" s="0" t="n">
        <v>597</v>
      </c>
      <c r="J3700" s="0" t="n">
        <v>71766</v>
      </c>
      <c r="K3700" s="0" t="n">
        <v>779180</v>
      </c>
      <c r="L3700" s="0" t="s">
        <v>2340</v>
      </c>
      <c r="N3700" s="0" t="n">
        <v>25</v>
      </c>
      <c r="O3700" s="60" t="n">
        <v>300</v>
      </c>
    </row>
    <row r="3701" customFormat="false" ht="15" hidden="false" customHeight="false" outlineLevel="0" collapsed="false">
      <c r="A3701" s="0" t="n">
        <v>3</v>
      </c>
      <c r="B3701" s="59" t="n">
        <v>46246</v>
      </c>
      <c r="C3701" s="0" t="n">
        <v>11</v>
      </c>
      <c r="D3701" s="0" t="s">
        <v>2126</v>
      </c>
      <c r="E3701" s="0" t="n">
        <v>1609</v>
      </c>
      <c r="F3701" s="0" t="s">
        <v>412</v>
      </c>
      <c r="I3701" s="0" t="n">
        <v>5961</v>
      </c>
      <c r="J3701" s="0" t="n">
        <v>13225</v>
      </c>
      <c r="K3701" s="0" t="n">
        <v>7896981601151</v>
      </c>
      <c r="L3701" s="0" t="s">
        <v>2604</v>
      </c>
      <c r="N3701" s="0" t="n">
        <v>12</v>
      </c>
      <c r="O3701" s="60" t="n">
        <v>45</v>
      </c>
    </row>
    <row r="3702" customFormat="false" ht="15" hidden="false" customHeight="false" outlineLevel="0" collapsed="false">
      <c r="A3702" s="0" t="n">
        <v>3</v>
      </c>
      <c r="B3702" s="59" t="n">
        <v>46246</v>
      </c>
      <c r="C3702" s="0" t="n">
        <v>11</v>
      </c>
      <c r="D3702" s="0" t="s">
        <v>2126</v>
      </c>
      <c r="E3702" s="0" t="n">
        <v>1609</v>
      </c>
      <c r="F3702" s="0" t="s">
        <v>412</v>
      </c>
      <c r="I3702" s="0" t="n">
        <v>5961</v>
      </c>
      <c r="J3702" s="0" t="n">
        <v>13720</v>
      </c>
      <c r="K3702" s="0" t="n">
        <v>7896981600307</v>
      </c>
      <c r="L3702" s="0" t="s">
        <v>2605</v>
      </c>
      <c r="N3702" s="0" t="n">
        <v>18</v>
      </c>
      <c r="O3702" s="60" t="n">
        <v>110</v>
      </c>
    </row>
    <row r="3703" customFormat="false" ht="15" hidden="false" customHeight="false" outlineLevel="0" collapsed="false">
      <c r="A3703" s="0" t="n">
        <v>3</v>
      </c>
      <c r="B3703" s="59" t="n">
        <v>46246</v>
      </c>
      <c r="C3703" s="0" t="n">
        <v>11</v>
      </c>
      <c r="D3703" s="0" t="s">
        <v>2126</v>
      </c>
      <c r="E3703" s="0" t="n">
        <v>1609</v>
      </c>
      <c r="F3703" s="0" t="s">
        <v>412</v>
      </c>
      <c r="I3703" s="0" t="n">
        <v>5961</v>
      </c>
      <c r="J3703" s="0" t="n">
        <v>17163</v>
      </c>
      <c r="K3703" s="0" t="n">
        <v>7896981600567</v>
      </c>
      <c r="L3703" s="0" t="s">
        <v>2606</v>
      </c>
      <c r="N3703" s="0" t="n">
        <v>18</v>
      </c>
      <c r="O3703" s="60" t="n">
        <v>160</v>
      </c>
    </row>
    <row r="3704" customFormat="false" ht="15" hidden="false" customHeight="false" outlineLevel="0" collapsed="false">
      <c r="A3704" s="0" t="n">
        <v>3</v>
      </c>
      <c r="B3704" s="59" t="n">
        <v>46246</v>
      </c>
      <c r="C3704" s="0" t="n">
        <v>11</v>
      </c>
      <c r="D3704" s="0" t="s">
        <v>2126</v>
      </c>
      <c r="E3704" s="0" t="n">
        <v>1609</v>
      </c>
      <c r="F3704" s="0" t="s">
        <v>412</v>
      </c>
      <c r="I3704" s="0" t="n">
        <v>5961</v>
      </c>
      <c r="J3704" s="0" t="n">
        <v>18382</v>
      </c>
      <c r="K3704" s="0" t="n">
        <v>7896878801190</v>
      </c>
      <c r="L3704" s="0" t="s">
        <v>2607</v>
      </c>
      <c r="N3704" s="0" t="n">
        <v>30</v>
      </c>
      <c r="O3704" s="60" t="n">
        <v>57</v>
      </c>
    </row>
    <row r="3705" customFormat="false" ht="15" hidden="false" customHeight="false" outlineLevel="0" collapsed="false">
      <c r="A3705" s="0" t="n">
        <v>3</v>
      </c>
      <c r="B3705" s="59" t="n">
        <v>46246</v>
      </c>
      <c r="C3705" s="0" t="n">
        <v>11</v>
      </c>
      <c r="D3705" s="0" t="s">
        <v>2126</v>
      </c>
      <c r="E3705" s="0" t="n">
        <v>1609</v>
      </c>
      <c r="F3705" s="0" t="s">
        <v>412</v>
      </c>
      <c r="I3705" s="0" t="n">
        <v>5961</v>
      </c>
      <c r="J3705" s="0" t="n">
        <v>18384</v>
      </c>
      <c r="K3705" s="0" t="n">
        <v>7896878801206</v>
      </c>
      <c r="L3705" s="0" t="s">
        <v>2608</v>
      </c>
      <c r="N3705" s="0" t="n">
        <v>20</v>
      </c>
      <c r="O3705" s="60" t="n">
        <v>61</v>
      </c>
    </row>
    <row r="3706" customFormat="false" ht="15" hidden="false" customHeight="false" outlineLevel="0" collapsed="false">
      <c r="A3706" s="0" t="n">
        <v>3</v>
      </c>
      <c r="B3706" s="59" t="n">
        <v>46246</v>
      </c>
      <c r="C3706" s="0" t="n">
        <v>11</v>
      </c>
      <c r="D3706" s="0" t="s">
        <v>2126</v>
      </c>
      <c r="E3706" s="0" t="n">
        <v>1609</v>
      </c>
      <c r="F3706" s="0" t="s">
        <v>412</v>
      </c>
      <c r="I3706" s="0" t="n">
        <v>5961</v>
      </c>
      <c r="J3706" s="0" t="n">
        <v>18385</v>
      </c>
      <c r="K3706" s="0" t="n">
        <v>7896878801220</v>
      </c>
      <c r="L3706" s="0" t="s">
        <v>2609</v>
      </c>
      <c r="N3706" s="0" t="n">
        <v>9</v>
      </c>
      <c r="O3706" s="60" t="n">
        <v>70.65</v>
      </c>
    </row>
    <row r="3707" customFormat="false" ht="15" hidden="false" customHeight="false" outlineLevel="0" collapsed="false">
      <c r="A3707" s="0" t="n">
        <v>3</v>
      </c>
      <c r="B3707" s="59" t="n">
        <v>46246</v>
      </c>
      <c r="C3707" s="0" t="n">
        <v>11</v>
      </c>
      <c r="D3707" s="0" t="s">
        <v>2126</v>
      </c>
      <c r="E3707" s="0" t="n">
        <v>1609</v>
      </c>
      <c r="F3707" s="0" t="s">
        <v>412</v>
      </c>
      <c r="I3707" s="0" t="n">
        <v>5961</v>
      </c>
      <c r="J3707" s="0" t="n">
        <v>18775</v>
      </c>
      <c r="K3707" s="0" t="n">
        <v>7896878801237</v>
      </c>
      <c r="L3707" s="0" t="s">
        <v>2610</v>
      </c>
      <c r="N3707" s="0" t="n">
        <v>40</v>
      </c>
      <c r="O3707" s="60" t="n">
        <v>132</v>
      </c>
    </row>
    <row r="3708" customFormat="false" ht="15" hidden="false" customHeight="false" outlineLevel="0" collapsed="false">
      <c r="A3708" s="0" t="n">
        <v>3</v>
      </c>
      <c r="B3708" s="59" t="n">
        <v>46246</v>
      </c>
      <c r="C3708" s="0" t="n">
        <v>11</v>
      </c>
      <c r="D3708" s="0" t="s">
        <v>2126</v>
      </c>
      <c r="E3708" s="0" t="n">
        <v>1609</v>
      </c>
      <c r="F3708" s="0" t="s">
        <v>412</v>
      </c>
      <c r="I3708" s="0" t="n">
        <v>5961</v>
      </c>
      <c r="J3708" s="0" t="n">
        <v>18968</v>
      </c>
      <c r="K3708" s="0" t="n">
        <v>7896878801244</v>
      </c>
      <c r="L3708" s="0" t="s">
        <v>2611</v>
      </c>
      <c r="N3708" s="0" t="n">
        <v>40</v>
      </c>
      <c r="O3708" s="60" t="n">
        <v>132</v>
      </c>
    </row>
    <row r="3709" customFormat="false" ht="15" hidden="false" customHeight="false" outlineLevel="0" collapsed="false">
      <c r="A3709" s="0" t="n">
        <v>3</v>
      </c>
      <c r="B3709" s="59" t="n">
        <v>46246</v>
      </c>
      <c r="C3709" s="0" t="n">
        <v>11</v>
      </c>
      <c r="D3709" s="0" t="s">
        <v>2126</v>
      </c>
      <c r="E3709" s="0" t="n">
        <v>1609</v>
      </c>
      <c r="F3709" s="0" t="s">
        <v>412</v>
      </c>
      <c r="I3709" s="0" t="n">
        <v>5961</v>
      </c>
      <c r="J3709" s="0" t="n">
        <v>24963</v>
      </c>
      <c r="K3709" s="0" t="n">
        <v>7896878801060</v>
      </c>
      <c r="L3709" s="0" t="s">
        <v>2890</v>
      </c>
      <c r="N3709" s="0" t="n">
        <v>3</v>
      </c>
      <c r="O3709" s="60" t="n">
        <v>23.55</v>
      </c>
    </row>
    <row r="3710" customFormat="false" ht="15" hidden="false" customHeight="false" outlineLevel="0" collapsed="false">
      <c r="A3710" s="0" t="n">
        <v>3</v>
      </c>
      <c r="B3710" s="59" t="n">
        <v>46246</v>
      </c>
      <c r="C3710" s="0" t="n">
        <v>11</v>
      </c>
      <c r="D3710" s="0" t="s">
        <v>2126</v>
      </c>
      <c r="E3710" s="0" t="n">
        <v>1609</v>
      </c>
      <c r="F3710" s="0" t="s">
        <v>412</v>
      </c>
      <c r="I3710" s="0" t="n">
        <v>5961</v>
      </c>
      <c r="J3710" s="0" t="n">
        <v>24964</v>
      </c>
      <c r="K3710" s="0" t="n">
        <v>7896878801183</v>
      </c>
      <c r="L3710" s="0" t="s">
        <v>2891</v>
      </c>
      <c r="N3710" s="0" t="n">
        <v>3</v>
      </c>
      <c r="O3710" s="60" t="n">
        <v>23.55</v>
      </c>
    </row>
    <row r="3711" customFormat="false" ht="15" hidden="false" customHeight="false" outlineLevel="0" collapsed="false">
      <c r="A3711" s="0" t="n">
        <v>3</v>
      </c>
      <c r="B3711" s="59" t="n">
        <v>46246</v>
      </c>
      <c r="C3711" s="0" t="n">
        <v>11</v>
      </c>
      <c r="D3711" s="0" t="s">
        <v>2126</v>
      </c>
      <c r="E3711" s="0" t="n">
        <v>1609</v>
      </c>
      <c r="F3711" s="0" t="s">
        <v>412</v>
      </c>
      <c r="I3711" s="0" t="n">
        <v>5961</v>
      </c>
      <c r="J3711" s="0" t="n">
        <v>32861</v>
      </c>
      <c r="K3711" s="0" t="n">
        <v>7896878801145</v>
      </c>
      <c r="L3711" s="0" t="s">
        <v>2893</v>
      </c>
      <c r="N3711" s="0" t="n">
        <v>3</v>
      </c>
      <c r="O3711" s="60" t="n">
        <v>23.55</v>
      </c>
    </row>
    <row r="3712" customFormat="false" ht="15" hidden="false" customHeight="false" outlineLevel="0" collapsed="false">
      <c r="A3712" s="0" t="n">
        <v>3</v>
      </c>
      <c r="B3712" s="59" t="n">
        <v>46246</v>
      </c>
      <c r="C3712" s="0" t="n">
        <v>11</v>
      </c>
      <c r="D3712" s="0" t="s">
        <v>2126</v>
      </c>
      <c r="E3712" s="0" t="n">
        <v>1609</v>
      </c>
      <c r="F3712" s="0" t="s">
        <v>412</v>
      </c>
      <c r="I3712" s="0" t="n">
        <v>5961</v>
      </c>
      <c r="J3712" s="0" t="n">
        <v>41614</v>
      </c>
      <c r="K3712" s="0" t="n">
        <v>7896878801213</v>
      </c>
      <c r="L3712" s="0" t="s">
        <v>2612</v>
      </c>
      <c r="N3712" s="0" t="n">
        <v>20</v>
      </c>
      <c r="O3712" s="60" t="n">
        <v>81</v>
      </c>
    </row>
    <row r="3713" customFormat="false" ht="15" hidden="false" customHeight="false" outlineLevel="0" collapsed="false">
      <c r="A3713" s="0" t="n">
        <v>3</v>
      </c>
      <c r="B3713" s="59" t="n">
        <v>46246</v>
      </c>
      <c r="C3713" s="0" t="n">
        <v>11</v>
      </c>
      <c r="D3713" s="0" t="s">
        <v>2126</v>
      </c>
      <c r="E3713" s="0" t="n">
        <v>1378</v>
      </c>
      <c r="F3713" s="0" t="s">
        <v>121</v>
      </c>
      <c r="I3713" s="0" t="n">
        <v>18630</v>
      </c>
      <c r="J3713" s="0" t="n">
        <v>74063</v>
      </c>
      <c r="K3713" s="0" t="n">
        <v>42882264262</v>
      </c>
      <c r="L3713" s="0" t="s">
        <v>2298</v>
      </c>
      <c r="N3713" s="0" t="n">
        <v>6</v>
      </c>
      <c r="O3713" s="60" t="n">
        <v>27</v>
      </c>
    </row>
    <row r="3714" customFormat="false" ht="15" hidden="false" customHeight="false" outlineLevel="0" collapsed="false">
      <c r="A3714" s="0" t="n">
        <v>3</v>
      </c>
      <c r="B3714" s="59" t="n">
        <v>46246</v>
      </c>
      <c r="C3714" s="0" t="n">
        <v>11</v>
      </c>
      <c r="D3714" s="0" t="s">
        <v>2126</v>
      </c>
      <c r="E3714" s="0" t="n">
        <v>1378</v>
      </c>
      <c r="F3714" s="0" t="s">
        <v>121</v>
      </c>
      <c r="I3714" s="0" t="n">
        <v>18630</v>
      </c>
      <c r="J3714" s="0" t="n">
        <v>77994</v>
      </c>
      <c r="K3714" s="0" t="n">
        <v>780117</v>
      </c>
      <c r="L3714" s="0" t="s">
        <v>2301</v>
      </c>
      <c r="N3714" s="0" t="n">
        <v>20</v>
      </c>
      <c r="O3714" s="60" t="n">
        <v>116</v>
      </c>
    </row>
    <row r="3715" customFormat="false" ht="15" hidden="false" customHeight="false" outlineLevel="0" collapsed="false">
      <c r="A3715" s="0" t="n">
        <v>3</v>
      </c>
      <c r="B3715" s="59" t="n">
        <v>46246</v>
      </c>
      <c r="C3715" s="0" t="n">
        <v>11</v>
      </c>
      <c r="D3715" s="0" t="s">
        <v>2126</v>
      </c>
      <c r="E3715" s="0" t="n">
        <v>1723</v>
      </c>
      <c r="F3715" s="0" t="s">
        <v>77</v>
      </c>
      <c r="I3715" s="0" t="n">
        <v>174666</v>
      </c>
      <c r="J3715" s="0" t="n">
        <v>29079</v>
      </c>
      <c r="K3715" s="0" t="n">
        <v>55515</v>
      </c>
      <c r="L3715" s="0" t="s">
        <v>2213</v>
      </c>
      <c r="N3715" s="0" t="n">
        <v>61.35</v>
      </c>
      <c r="O3715" s="60" t="n">
        <v>1963.2</v>
      </c>
    </row>
    <row r="3716" customFormat="false" ht="15" hidden="false" customHeight="false" outlineLevel="0" collapsed="false">
      <c r="A3716" s="0" t="n">
        <v>3</v>
      </c>
      <c r="B3716" s="59" t="n">
        <v>46246</v>
      </c>
      <c r="C3716" s="0" t="n">
        <v>11</v>
      </c>
      <c r="D3716" s="0" t="s">
        <v>2126</v>
      </c>
      <c r="E3716" s="0" t="n">
        <v>1734</v>
      </c>
      <c r="F3716" s="0" t="s">
        <v>126</v>
      </c>
      <c r="I3716" s="0" t="n">
        <v>257521</v>
      </c>
      <c r="J3716" s="0" t="n">
        <v>38209</v>
      </c>
      <c r="K3716" s="0" t="n">
        <v>7898055451761</v>
      </c>
      <c r="L3716" s="0" t="s">
        <v>2533</v>
      </c>
      <c r="N3716" s="0" t="n">
        <v>4</v>
      </c>
      <c r="O3716" s="60" t="n">
        <v>79.72</v>
      </c>
    </row>
    <row r="3717" customFormat="false" ht="15" hidden="false" customHeight="false" outlineLevel="0" collapsed="false">
      <c r="A3717" s="0" t="n">
        <v>3</v>
      </c>
      <c r="B3717" s="59" t="n">
        <v>46246</v>
      </c>
      <c r="C3717" s="0" t="n">
        <v>11</v>
      </c>
      <c r="D3717" s="0" t="s">
        <v>2126</v>
      </c>
      <c r="E3717" s="0" t="n">
        <v>1734</v>
      </c>
      <c r="F3717" s="0" t="s">
        <v>126</v>
      </c>
      <c r="I3717" s="0" t="n">
        <v>257521</v>
      </c>
      <c r="J3717" s="0" t="n">
        <v>38212</v>
      </c>
      <c r="K3717" s="0" t="n">
        <v>7898055451624</v>
      </c>
      <c r="L3717" s="0" t="s">
        <v>2146</v>
      </c>
      <c r="N3717" s="0" t="n">
        <v>4</v>
      </c>
      <c r="O3717" s="60" t="n">
        <v>50.35</v>
      </c>
    </row>
    <row r="3718" customFormat="false" ht="15" hidden="false" customHeight="false" outlineLevel="0" collapsed="false">
      <c r="A3718" s="0" t="n">
        <v>3</v>
      </c>
      <c r="B3718" s="59" t="n">
        <v>46246</v>
      </c>
      <c r="C3718" s="0" t="n">
        <v>11</v>
      </c>
      <c r="D3718" s="0" t="s">
        <v>2126</v>
      </c>
      <c r="E3718" s="0" t="n">
        <v>1734</v>
      </c>
      <c r="F3718" s="0" t="s">
        <v>126</v>
      </c>
      <c r="I3718" s="0" t="n">
        <v>257521</v>
      </c>
      <c r="J3718" s="0" t="n">
        <v>38213</v>
      </c>
      <c r="K3718" s="0" t="n">
        <v>7898055450023</v>
      </c>
      <c r="L3718" s="0" t="s">
        <v>2144</v>
      </c>
      <c r="N3718" s="0" t="n">
        <v>4</v>
      </c>
      <c r="O3718" s="60" t="n">
        <v>79.72</v>
      </c>
    </row>
    <row r="3719" customFormat="false" ht="15" hidden="false" customHeight="false" outlineLevel="0" collapsed="false">
      <c r="A3719" s="0" t="n">
        <v>3</v>
      </c>
      <c r="B3719" s="59" t="n">
        <v>46246</v>
      </c>
      <c r="C3719" s="0" t="n">
        <v>11</v>
      </c>
      <c r="D3719" s="0" t="s">
        <v>2126</v>
      </c>
      <c r="E3719" s="0" t="n">
        <v>1734</v>
      </c>
      <c r="F3719" s="0" t="s">
        <v>126</v>
      </c>
      <c r="I3719" s="0" t="n">
        <v>257521</v>
      </c>
      <c r="J3719" s="0" t="n">
        <v>38214</v>
      </c>
      <c r="K3719" s="0" t="n">
        <v>7898055452249</v>
      </c>
      <c r="L3719" s="0" t="s">
        <v>2147</v>
      </c>
      <c r="N3719" s="0" t="n">
        <v>4</v>
      </c>
      <c r="O3719" s="60" t="n">
        <v>79.72</v>
      </c>
    </row>
    <row r="3720" customFormat="false" ht="15" hidden="false" customHeight="false" outlineLevel="0" collapsed="false">
      <c r="A3720" s="0" t="n">
        <v>3</v>
      </c>
      <c r="B3720" s="59" t="n">
        <v>46246</v>
      </c>
      <c r="C3720" s="0" t="n">
        <v>11</v>
      </c>
      <c r="D3720" s="0" t="s">
        <v>2126</v>
      </c>
      <c r="E3720" s="0" t="n">
        <v>1734</v>
      </c>
      <c r="F3720" s="0" t="s">
        <v>126</v>
      </c>
      <c r="I3720" s="0" t="n">
        <v>257521</v>
      </c>
      <c r="J3720" s="0" t="n">
        <v>38216</v>
      </c>
      <c r="K3720" s="0" t="n">
        <v>7898055454281</v>
      </c>
      <c r="L3720" s="0" t="s">
        <v>2148</v>
      </c>
      <c r="N3720" s="0" t="n">
        <v>4</v>
      </c>
      <c r="O3720" s="60" t="n">
        <v>50.35</v>
      </c>
    </row>
    <row r="3721" customFormat="false" ht="15" hidden="false" customHeight="false" outlineLevel="0" collapsed="false">
      <c r="A3721" s="0" t="n">
        <v>3</v>
      </c>
      <c r="B3721" s="59" t="n">
        <v>46246</v>
      </c>
      <c r="C3721" s="0" t="n">
        <v>11</v>
      </c>
      <c r="D3721" s="0" t="s">
        <v>2126</v>
      </c>
      <c r="E3721" s="0" t="n">
        <v>1734</v>
      </c>
      <c r="F3721" s="0" t="s">
        <v>126</v>
      </c>
      <c r="I3721" s="0" t="n">
        <v>257521</v>
      </c>
      <c r="J3721" s="0" t="n">
        <v>38219</v>
      </c>
      <c r="K3721" s="0" t="n">
        <v>7898055452348</v>
      </c>
      <c r="L3721" s="0" t="s">
        <v>2149</v>
      </c>
      <c r="N3721" s="0" t="n">
        <v>4</v>
      </c>
      <c r="O3721" s="60" t="n">
        <v>79.72</v>
      </c>
    </row>
    <row r="3722" customFormat="false" ht="15" hidden="false" customHeight="false" outlineLevel="0" collapsed="false">
      <c r="A3722" s="0" t="n">
        <v>3</v>
      </c>
      <c r="B3722" s="59" t="n">
        <v>46246</v>
      </c>
      <c r="C3722" s="0" t="n">
        <v>11</v>
      </c>
      <c r="D3722" s="0" t="s">
        <v>2126</v>
      </c>
      <c r="E3722" s="0" t="n">
        <v>1734</v>
      </c>
      <c r="F3722" s="0" t="s">
        <v>126</v>
      </c>
      <c r="I3722" s="0" t="n">
        <v>257521</v>
      </c>
      <c r="J3722" s="0" t="n">
        <v>38220</v>
      </c>
      <c r="K3722" s="0" t="n">
        <v>7898055452355</v>
      </c>
      <c r="L3722" s="0" t="s">
        <v>2144</v>
      </c>
      <c r="N3722" s="0" t="n">
        <v>4</v>
      </c>
      <c r="O3722" s="60" t="n">
        <v>79.72</v>
      </c>
    </row>
    <row r="3723" customFormat="false" ht="15" hidden="false" customHeight="false" outlineLevel="0" collapsed="false">
      <c r="A3723" s="0" t="n">
        <v>3</v>
      </c>
      <c r="B3723" s="59" t="n">
        <v>46246</v>
      </c>
      <c r="C3723" s="0" t="n">
        <v>11</v>
      </c>
      <c r="D3723" s="0" t="s">
        <v>2126</v>
      </c>
      <c r="E3723" s="0" t="n">
        <v>1734</v>
      </c>
      <c r="F3723" s="0" t="s">
        <v>126</v>
      </c>
      <c r="I3723" s="0" t="n">
        <v>257521</v>
      </c>
      <c r="J3723" s="0" t="n">
        <v>39450</v>
      </c>
      <c r="K3723" s="0" t="n">
        <v>7898055450030</v>
      </c>
      <c r="L3723" s="0" t="s">
        <v>3139</v>
      </c>
      <c r="N3723" s="0" t="n">
        <v>4</v>
      </c>
      <c r="O3723" s="60" t="n">
        <v>79.72</v>
      </c>
    </row>
    <row r="3724" customFormat="false" ht="15" hidden="false" customHeight="false" outlineLevel="0" collapsed="false">
      <c r="A3724" s="0" t="n">
        <v>3</v>
      </c>
      <c r="B3724" s="59" t="n">
        <v>46246</v>
      </c>
      <c r="C3724" s="0" t="n">
        <v>11</v>
      </c>
      <c r="D3724" s="0" t="s">
        <v>2126</v>
      </c>
      <c r="E3724" s="0" t="n">
        <v>1734</v>
      </c>
      <c r="F3724" s="0" t="s">
        <v>126</v>
      </c>
      <c r="I3724" s="0" t="n">
        <v>257521</v>
      </c>
      <c r="J3724" s="0" t="n">
        <v>56815</v>
      </c>
      <c r="K3724" s="0" t="n">
        <v>7898055455165</v>
      </c>
      <c r="L3724" s="0" t="s">
        <v>2155</v>
      </c>
      <c r="N3724" s="0" t="n">
        <v>4</v>
      </c>
      <c r="O3724" s="60" t="n">
        <v>79.72</v>
      </c>
    </row>
    <row r="3725" customFormat="false" ht="15" hidden="false" customHeight="false" outlineLevel="0" collapsed="false">
      <c r="A3725" s="0" t="n">
        <v>3</v>
      </c>
      <c r="B3725" s="59" t="n">
        <v>46246</v>
      </c>
      <c r="C3725" s="0" t="n">
        <v>11</v>
      </c>
      <c r="D3725" s="0" t="s">
        <v>2126</v>
      </c>
      <c r="E3725" s="0" t="n">
        <v>1734</v>
      </c>
      <c r="F3725" s="0" t="s">
        <v>126</v>
      </c>
      <c r="I3725" s="0" t="n">
        <v>257521</v>
      </c>
      <c r="J3725" s="0" t="n">
        <v>57021</v>
      </c>
      <c r="K3725" s="0" t="n">
        <v>7898055455189</v>
      </c>
      <c r="L3725" s="0" t="s">
        <v>2156</v>
      </c>
      <c r="N3725" s="0" t="n">
        <v>4</v>
      </c>
      <c r="O3725" s="60" t="n">
        <v>79.72</v>
      </c>
    </row>
    <row r="3726" customFormat="false" ht="15" hidden="false" customHeight="false" outlineLevel="0" collapsed="false">
      <c r="A3726" s="0" t="n">
        <v>3</v>
      </c>
      <c r="B3726" s="59" t="n">
        <v>46246</v>
      </c>
      <c r="C3726" s="0" t="n">
        <v>11</v>
      </c>
      <c r="D3726" s="0" t="s">
        <v>2126</v>
      </c>
      <c r="E3726" s="0" t="n">
        <v>1734</v>
      </c>
      <c r="F3726" s="0" t="s">
        <v>126</v>
      </c>
      <c r="I3726" s="0" t="n">
        <v>257521</v>
      </c>
      <c r="J3726" s="0" t="n">
        <v>57024</v>
      </c>
      <c r="K3726" s="0" t="n">
        <v>7898055455172</v>
      </c>
      <c r="L3726" s="0" t="s">
        <v>3487</v>
      </c>
      <c r="N3726" s="0" t="n">
        <v>4</v>
      </c>
      <c r="O3726" s="60" t="n">
        <v>79.72</v>
      </c>
    </row>
    <row r="3727" customFormat="false" ht="15" hidden="false" customHeight="false" outlineLevel="0" collapsed="false">
      <c r="A3727" s="0" t="n">
        <v>3</v>
      </c>
      <c r="B3727" s="59" t="n">
        <v>46246</v>
      </c>
      <c r="C3727" s="0" t="n">
        <v>11</v>
      </c>
      <c r="D3727" s="0" t="s">
        <v>2126</v>
      </c>
      <c r="E3727" s="0" t="n">
        <v>1734</v>
      </c>
      <c r="F3727" s="0" t="s">
        <v>126</v>
      </c>
      <c r="I3727" s="0" t="n">
        <v>257521</v>
      </c>
      <c r="J3727" s="0" t="n">
        <v>59560</v>
      </c>
      <c r="K3727" s="0" t="n">
        <v>7898055455332</v>
      </c>
      <c r="L3727" s="0" t="s">
        <v>3676</v>
      </c>
      <c r="N3727" s="0" t="n">
        <v>4</v>
      </c>
      <c r="O3727" s="60" t="n">
        <v>79.72</v>
      </c>
    </row>
    <row r="3728" customFormat="false" ht="15" hidden="false" customHeight="false" outlineLevel="0" collapsed="false">
      <c r="A3728" s="0" t="n">
        <v>3</v>
      </c>
      <c r="B3728" s="59" t="n">
        <v>46246</v>
      </c>
      <c r="C3728" s="0" t="n">
        <v>11</v>
      </c>
      <c r="D3728" s="0" t="s">
        <v>2126</v>
      </c>
      <c r="E3728" s="0" t="n">
        <v>1734</v>
      </c>
      <c r="F3728" s="0" t="s">
        <v>126</v>
      </c>
      <c r="I3728" s="0" t="n">
        <v>257522</v>
      </c>
      <c r="J3728" s="0" t="n">
        <v>40039</v>
      </c>
      <c r="K3728" s="0" t="n">
        <v>7898055451570</v>
      </c>
      <c r="L3728" s="0" t="s">
        <v>3677</v>
      </c>
      <c r="N3728" s="0" t="n">
        <v>12</v>
      </c>
      <c r="O3728" s="60" t="n">
        <v>67.98</v>
      </c>
    </row>
    <row r="3729" customFormat="false" ht="15" hidden="false" customHeight="false" outlineLevel="0" collapsed="false">
      <c r="A3729" s="0" t="n">
        <v>3</v>
      </c>
      <c r="B3729" s="59" t="n">
        <v>46246</v>
      </c>
      <c r="C3729" s="0" t="n">
        <v>11</v>
      </c>
      <c r="D3729" s="0" t="s">
        <v>2126</v>
      </c>
      <c r="E3729" s="0" t="n">
        <v>1734</v>
      </c>
      <c r="F3729" s="0" t="s">
        <v>126</v>
      </c>
      <c r="I3729" s="0" t="n">
        <v>257522</v>
      </c>
      <c r="J3729" s="0" t="n">
        <v>38215</v>
      </c>
      <c r="K3729" s="0" t="n">
        <v>7898055450474</v>
      </c>
      <c r="L3729" s="0" t="s">
        <v>2478</v>
      </c>
      <c r="N3729" s="0" t="n">
        <v>20</v>
      </c>
      <c r="O3729" s="60" t="n">
        <v>159.45</v>
      </c>
    </row>
    <row r="3730" customFormat="false" ht="15" hidden="false" customHeight="false" outlineLevel="0" collapsed="false">
      <c r="A3730" s="0" t="n">
        <v>3</v>
      </c>
      <c r="B3730" s="59" t="n">
        <v>46246</v>
      </c>
      <c r="C3730" s="0" t="n">
        <v>11</v>
      </c>
      <c r="D3730" s="0" t="s">
        <v>2126</v>
      </c>
      <c r="E3730" s="0" t="n">
        <v>1734</v>
      </c>
      <c r="F3730" s="0" t="s">
        <v>126</v>
      </c>
      <c r="I3730" s="0" t="n">
        <v>257522</v>
      </c>
      <c r="J3730" s="0" t="n">
        <v>38782</v>
      </c>
      <c r="K3730" s="0" t="n">
        <v>7898055450306</v>
      </c>
      <c r="L3730" s="0" t="s">
        <v>2480</v>
      </c>
      <c r="N3730" s="0" t="n">
        <v>20</v>
      </c>
      <c r="O3730" s="60" t="n">
        <v>56.65</v>
      </c>
    </row>
    <row r="3731" customFormat="false" ht="15" hidden="false" customHeight="false" outlineLevel="0" collapsed="false">
      <c r="A3731" s="0" t="n">
        <v>3</v>
      </c>
      <c r="B3731" s="59" t="n">
        <v>46246</v>
      </c>
      <c r="C3731" s="0" t="n">
        <v>11</v>
      </c>
      <c r="D3731" s="0" t="s">
        <v>2126</v>
      </c>
      <c r="E3731" s="0" t="n">
        <v>1734</v>
      </c>
      <c r="F3731" s="0" t="s">
        <v>126</v>
      </c>
      <c r="I3731" s="0" t="n">
        <v>257522</v>
      </c>
      <c r="J3731" s="0" t="n">
        <v>38783</v>
      </c>
      <c r="K3731" s="0" t="n">
        <v>7898055450481</v>
      </c>
      <c r="L3731" s="0" t="s">
        <v>3678</v>
      </c>
      <c r="N3731" s="0" t="n">
        <v>20</v>
      </c>
      <c r="O3731" s="60" t="n">
        <v>56.65</v>
      </c>
    </row>
    <row r="3732" customFormat="false" ht="15" hidden="false" customHeight="false" outlineLevel="0" collapsed="false">
      <c r="A3732" s="0" t="n">
        <v>3</v>
      </c>
      <c r="B3732" s="59" t="n">
        <v>46246</v>
      </c>
      <c r="C3732" s="0" t="n">
        <v>11</v>
      </c>
      <c r="D3732" s="0" t="s">
        <v>2126</v>
      </c>
      <c r="E3732" s="0" t="n">
        <v>1734</v>
      </c>
      <c r="F3732" s="0" t="s">
        <v>126</v>
      </c>
      <c r="I3732" s="0" t="n">
        <v>257522</v>
      </c>
      <c r="J3732" s="0" t="n">
        <v>39028</v>
      </c>
      <c r="K3732" s="0" t="n">
        <v>7898055450368</v>
      </c>
      <c r="L3732" s="0" t="s">
        <v>2482</v>
      </c>
      <c r="N3732" s="0" t="n">
        <v>20</v>
      </c>
      <c r="O3732" s="60" t="n">
        <v>111.19</v>
      </c>
    </row>
    <row r="3733" customFormat="false" ht="15" hidden="false" customHeight="false" outlineLevel="0" collapsed="false">
      <c r="A3733" s="0" t="n">
        <v>3</v>
      </c>
      <c r="B3733" s="59" t="n">
        <v>46246</v>
      </c>
      <c r="C3733" s="0" t="n">
        <v>11</v>
      </c>
      <c r="D3733" s="0" t="s">
        <v>2126</v>
      </c>
      <c r="E3733" s="0" t="n">
        <v>1734</v>
      </c>
      <c r="F3733" s="0" t="s">
        <v>126</v>
      </c>
      <c r="I3733" s="0" t="n">
        <v>257522</v>
      </c>
      <c r="J3733" s="0" t="n">
        <v>40277</v>
      </c>
      <c r="K3733" s="0" t="n">
        <v>7898055450467</v>
      </c>
      <c r="L3733" s="0" t="s">
        <v>2140</v>
      </c>
      <c r="N3733" s="0" t="n">
        <v>12</v>
      </c>
      <c r="O3733" s="60" t="n">
        <v>67.98</v>
      </c>
    </row>
    <row r="3734" customFormat="false" ht="15" hidden="false" customHeight="false" outlineLevel="0" collapsed="false">
      <c r="A3734" s="0" t="n">
        <v>3</v>
      </c>
      <c r="B3734" s="59" t="n">
        <v>46246</v>
      </c>
      <c r="C3734" s="0" t="n">
        <v>11</v>
      </c>
      <c r="D3734" s="0" t="s">
        <v>2126</v>
      </c>
      <c r="E3734" s="0" t="n">
        <v>1734</v>
      </c>
      <c r="F3734" s="0" t="s">
        <v>126</v>
      </c>
      <c r="I3734" s="0" t="n">
        <v>257522</v>
      </c>
      <c r="J3734" s="0" t="n">
        <v>48214</v>
      </c>
      <c r="K3734" s="0" t="n">
        <v>7898055451211</v>
      </c>
      <c r="L3734" s="0" t="s">
        <v>3679</v>
      </c>
      <c r="N3734" s="0" t="n">
        <v>16</v>
      </c>
      <c r="O3734" s="60" t="n">
        <v>82.24</v>
      </c>
    </row>
    <row r="3735" customFormat="false" ht="15" hidden="false" customHeight="false" outlineLevel="0" collapsed="false">
      <c r="A3735" s="0" t="n">
        <v>3</v>
      </c>
      <c r="B3735" s="59" t="n">
        <v>46246</v>
      </c>
      <c r="C3735" s="0" t="n">
        <v>11</v>
      </c>
      <c r="D3735" s="0" t="s">
        <v>2126</v>
      </c>
      <c r="E3735" s="0" t="n">
        <v>1734</v>
      </c>
      <c r="F3735" s="0" t="s">
        <v>126</v>
      </c>
      <c r="I3735" s="0" t="n">
        <v>257522</v>
      </c>
      <c r="J3735" s="0" t="n">
        <v>81026</v>
      </c>
      <c r="K3735" s="0" t="n">
        <v>7898055455745</v>
      </c>
      <c r="L3735" s="0" t="s">
        <v>2142</v>
      </c>
      <c r="N3735" s="0" t="n">
        <v>8</v>
      </c>
      <c r="O3735" s="60" t="n">
        <v>54.55</v>
      </c>
    </row>
    <row r="3736" customFormat="false" ht="15" hidden="false" customHeight="false" outlineLevel="0" collapsed="false">
      <c r="A3736" s="0" t="n">
        <v>3</v>
      </c>
      <c r="B3736" s="59" t="n">
        <v>46246</v>
      </c>
      <c r="C3736" s="0" t="n">
        <v>11</v>
      </c>
      <c r="D3736" s="0" t="s">
        <v>2126</v>
      </c>
      <c r="E3736" s="0" t="n">
        <v>1699</v>
      </c>
      <c r="F3736" s="0" t="s">
        <v>61</v>
      </c>
      <c r="I3736" s="0" t="n">
        <v>310741</v>
      </c>
      <c r="J3736" s="0" t="n">
        <v>100073</v>
      </c>
      <c r="K3736" s="0" t="n">
        <v>74</v>
      </c>
      <c r="L3736" s="0" t="s">
        <v>2279</v>
      </c>
      <c r="N3736" s="0" t="n">
        <v>60</v>
      </c>
      <c r="O3736" s="60" t="n">
        <v>1254</v>
      </c>
    </row>
    <row r="3737" customFormat="false" ht="15" hidden="false" customHeight="false" outlineLevel="0" collapsed="false">
      <c r="A3737" s="0" t="n">
        <v>3</v>
      </c>
      <c r="B3737" s="59" t="n">
        <v>46246</v>
      </c>
      <c r="C3737" s="0" t="n">
        <v>11</v>
      </c>
      <c r="D3737" s="0" t="s">
        <v>2126</v>
      </c>
      <c r="E3737" s="0" t="n">
        <v>1699</v>
      </c>
      <c r="F3737" s="0" t="s">
        <v>61</v>
      </c>
      <c r="I3737" s="0" t="n">
        <v>310741</v>
      </c>
      <c r="J3737" s="0" t="n">
        <v>102300</v>
      </c>
      <c r="K3737" s="0" t="n">
        <v>7898062920014</v>
      </c>
      <c r="L3737" s="0" t="s">
        <v>2197</v>
      </c>
      <c r="N3737" s="0" t="n">
        <v>90</v>
      </c>
      <c r="O3737" s="60" t="n">
        <v>407.7</v>
      </c>
    </row>
    <row r="3738" customFormat="false" ht="15" hidden="false" customHeight="false" outlineLevel="0" collapsed="false">
      <c r="A3738" s="0" t="n">
        <v>3</v>
      </c>
      <c r="B3738" s="59" t="n">
        <v>46246</v>
      </c>
      <c r="C3738" s="0" t="n">
        <v>11</v>
      </c>
      <c r="D3738" s="0" t="s">
        <v>2126</v>
      </c>
      <c r="E3738" s="0" t="n">
        <v>1699</v>
      </c>
      <c r="F3738" s="0" t="s">
        <v>61</v>
      </c>
      <c r="I3738" s="0" t="n">
        <v>310741</v>
      </c>
      <c r="J3738" s="0" t="n">
        <v>13188</v>
      </c>
      <c r="K3738" s="0" t="n">
        <v>7896393601046</v>
      </c>
      <c r="L3738" s="0" t="s">
        <v>2986</v>
      </c>
      <c r="N3738" s="0" t="n">
        <v>90</v>
      </c>
      <c r="O3738" s="60" t="n">
        <v>362.7</v>
      </c>
    </row>
    <row r="3739" customFormat="false" ht="15" hidden="false" customHeight="false" outlineLevel="0" collapsed="false">
      <c r="A3739" s="0" t="n">
        <v>3</v>
      </c>
      <c r="B3739" s="59" t="n">
        <v>46246</v>
      </c>
      <c r="C3739" s="0" t="n">
        <v>11</v>
      </c>
      <c r="D3739" s="0" t="s">
        <v>2126</v>
      </c>
      <c r="E3739" s="0" t="n">
        <v>1699</v>
      </c>
      <c r="F3739" s="0" t="s">
        <v>61</v>
      </c>
      <c r="I3739" s="0" t="n">
        <v>310741</v>
      </c>
      <c r="J3739" s="0" t="n">
        <v>13677</v>
      </c>
      <c r="K3739" s="0" t="n">
        <v>7896393601039</v>
      </c>
      <c r="L3739" s="0" t="s">
        <v>2198</v>
      </c>
      <c r="N3739" s="0" t="n">
        <v>90</v>
      </c>
      <c r="O3739" s="60" t="n">
        <v>362.7</v>
      </c>
    </row>
    <row r="3740" customFormat="false" ht="15" hidden="false" customHeight="false" outlineLevel="0" collapsed="false">
      <c r="A3740" s="0" t="n">
        <v>3</v>
      </c>
      <c r="B3740" s="59" t="n">
        <v>46246</v>
      </c>
      <c r="C3740" s="0" t="n">
        <v>11</v>
      </c>
      <c r="D3740" s="0" t="s">
        <v>2126</v>
      </c>
      <c r="E3740" s="0" t="n">
        <v>1699</v>
      </c>
      <c r="F3740" s="0" t="s">
        <v>61</v>
      </c>
      <c r="I3740" s="0" t="n">
        <v>310741</v>
      </c>
      <c r="J3740" s="0" t="n">
        <v>23413</v>
      </c>
      <c r="K3740" s="0" t="n">
        <v>7898542022900</v>
      </c>
      <c r="L3740" s="0" t="s">
        <v>2987</v>
      </c>
      <c r="N3740" s="0" t="n">
        <v>144</v>
      </c>
      <c r="O3740" s="60" t="n">
        <v>179.6</v>
      </c>
    </row>
    <row r="3741" customFormat="false" ht="15" hidden="false" customHeight="false" outlineLevel="0" collapsed="false">
      <c r="A3741" s="0" t="n">
        <v>3</v>
      </c>
      <c r="B3741" s="59" t="n">
        <v>46246</v>
      </c>
      <c r="C3741" s="0" t="n">
        <v>11</v>
      </c>
      <c r="D3741" s="0" t="s">
        <v>2126</v>
      </c>
      <c r="E3741" s="0" t="n">
        <v>1699</v>
      </c>
      <c r="F3741" s="0" t="s">
        <v>61</v>
      </c>
      <c r="I3741" s="0" t="n">
        <v>310741</v>
      </c>
      <c r="J3741" s="0" t="n">
        <v>25964</v>
      </c>
      <c r="K3741" s="0" t="n">
        <v>7896763621858</v>
      </c>
      <c r="L3741" s="0" t="s">
        <v>2199</v>
      </c>
      <c r="N3741" s="0" t="n">
        <v>100</v>
      </c>
      <c r="O3741" s="60" t="n">
        <v>199.5</v>
      </c>
    </row>
    <row r="3742" customFormat="false" ht="15" hidden="false" customHeight="false" outlineLevel="0" collapsed="false">
      <c r="A3742" s="0" t="n">
        <v>3</v>
      </c>
      <c r="B3742" s="59" t="n">
        <v>46246</v>
      </c>
      <c r="C3742" s="0" t="n">
        <v>11</v>
      </c>
      <c r="D3742" s="0" t="s">
        <v>2126</v>
      </c>
      <c r="E3742" s="0" t="n">
        <v>1699</v>
      </c>
      <c r="F3742" s="0" t="s">
        <v>61</v>
      </c>
      <c r="I3742" s="0" t="n">
        <v>310741</v>
      </c>
      <c r="J3742" s="0" t="n">
        <v>31195</v>
      </c>
      <c r="K3742" s="0" t="n">
        <v>7898955964750</v>
      </c>
      <c r="L3742" s="0" t="s">
        <v>2992</v>
      </c>
      <c r="N3742" s="0" t="n">
        <v>20</v>
      </c>
      <c r="O3742" s="60" t="n">
        <v>151</v>
      </c>
    </row>
    <row r="3743" customFormat="false" ht="15" hidden="false" customHeight="false" outlineLevel="0" collapsed="false">
      <c r="A3743" s="0" t="n">
        <v>3</v>
      </c>
      <c r="B3743" s="59" t="n">
        <v>46246</v>
      </c>
      <c r="C3743" s="0" t="n">
        <v>11</v>
      </c>
      <c r="D3743" s="0" t="s">
        <v>2126</v>
      </c>
      <c r="E3743" s="0" t="n">
        <v>1699</v>
      </c>
      <c r="F3743" s="0" t="s">
        <v>61</v>
      </c>
      <c r="I3743" s="0" t="n">
        <v>310741</v>
      </c>
      <c r="J3743" s="0" t="n">
        <v>32805</v>
      </c>
      <c r="K3743" s="0" t="n">
        <v>7896433800378</v>
      </c>
      <c r="L3743" s="0" t="s">
        <v>2752</v>
      </c>
      <c r="N3743" s="0" t="n">
        <v>90</v>
      </c>
      <c r="O3743" s="60" t="n">
        <v>255</v>
      </c>
    </row>
    <row r="3744" customFormat="false" ht="15" hidden="false" customHeight="false" outlineLevel="0" collapsed="false">
      <c r="A3744" s="0" t="n">
        <v>3</v>
      </c>
      <c r="B3744" s="59" t="n">
        <v>46246</v>
      </c>
      <c r="C3744" s="0" t="n">
        <v>11</v>
      </c>
      <c r="D3744" s="0" t="s">
        <v>2126</v>
      </c>
      <c r="E3744" s="0" t="n">
        <v>1699</v>
      </c>
      <c r="F3744" s="0" t="s">
        <v>61</v>
      </c>
      <c r="I3744" s="0" t="n">
        <v>310741</v>
      </c>
      <c r="J3744" s="0" t="n">
        <v>36969</v>
      </c>
      <c r="K3744" s="0" t="n">
        <v>7891000325858</v>
      </c>
      <c r="L3744" s="0" t="s">
        <v>2753</v>
      </c>
      <c r="N3744" s="0" t="n">
        <v>24</v>
      </c>
      <c r="O3744" s="60" t="n">
        <v>454.9</v>
      </c>
    </row>
    <row r="3745" customFormat="false" ht="15" hidden="false" customHeight="false" outlineLevel="0" collapsed="false">
      <c r="A3745" s="0" t="n">
        <v>3</v>
      </c>
      <c r="B3745" s="59" t="n">
        <v>46246</v>
      </c>
      <c r="C3745" s="0" t="n">
        <v>11</v>
      </c>
      <c r="D3745" s="0" t="s">
        <v>2126</v>
      </c>
      <c r="E3745" s="0" t="n">
        <v>1699</v>
      </c>
      <c r="F3745" s="0" t="s">
        <v>61</v>
      </c>
      <c r="I3745" s="0" t="n">
        <v>310741</v>
      </c>
      <c r="J3745" s="0" t="n">
        <v>69309</v>
      </c>
      <c r="K3745" s="0" t="n">
        <v>7897556000850</v>
      </c>
      <c r="L3745" s="0" t="s">
        <v>3680</v>
      </c>
      <c r="N3745" s="0" t="n">
        <v>25</v>
      </c>
      <c r="O3745" s="60" t="n">
        <v>524.9</v>
      </c>
    </row>
    <row r="3746" customFormat="false" ht="15" hidden="false" customHeight="false" outlineLevel="0" collapsed="false">
      <c r="A3746" s="0" t="n">
        <v>3</v>
      </c>
      <c r="B3746" s="59" t="n">
        <v>46246</v>
      </c>
      <c r="C3746" s="0" t="n">
        <v>11</v>
      </c>
      <c r="D3746" s="0" t="s">
        <v>2126</v>
      </c>
      <c r="E3746" s="0" t="n">
        <v>1024</v>
      </c>
      <c r="F3746" s="0" t="s">
        <v>162</v>
      </c>
      <c r="I3746" s="0" t="n">
        <v>620570</v>
      </c>
      <c r="J3746" s="0" t="n">
        <v>103169</v>
      </c>
      <c r="K3746" s="0" t="n">
        <v>7898919635016</v>
      </c>
      <c r="L3746" s="0" t="s">
        <v>2417</v>
      </c>
      <c r="N3746" s="0" t="n">
        <v>54</v>
      </c>
      <c r="O3746" s="60" t="n">
        <v>204</v>
      </c>
    </row>
    <row r="3747" customFormat="false" ht="15" hidden="false" customHeight="false" outlineLevel="0" collapsed="false">
      <c r="A3747" s="0" t="n">
        <v>3</v>
      </c>
      <c r="B3747" s="59" t="n">
        <v>46246</v>
      </c>
      <c r="C3747" s="0" t="n">
        <v>11</v>
      </c>
      <c r="D3747" s="0" t="s">
        <v>2126</v>
      </c>
      <c r="E3747" s="0" t="n">
        <v>1024</v>
      </c>
      <c r="F3747" s="0" t="s">
        <v>162</v>
      </c>
      <c r="I3747" s="0" t="n">
        <v>620570</v>
      </c>
      <c r="J3747" s="0" t="n">
        <v>103170</v>
      </c>
      <c r="K3747" s="0" t="n">
        <v>7896792000020</v>
      </c>
      <c r="L3747" s="0" t="s">
        <v>2418</v>
      </c>
      <c r="N3747" s="0" t="n">
        <v>54</v>
      </c>
      <c r="O3747" s="60" t="n">
        <v>204</v>
      </c>
    </row>
    <row r="3748" customFormat="false" ht="15" hidden="false" customHeight="false" outlineLevel="0" collapsed="false">
      <c r="A3748" s="0" t="n">
        <v>3</v>
      </c>
      <c r="B3748" s="59" t="n">
        <v>46246</v>
      </c>
      <c r="C3748" s="0" t="n">
        <v>11</v>
      </c>
      <c r="D3748" s="0" t="s">
        <v>2126</v>
      </c>
      <c r="E3748" s="0" t="n">
        <v>1024</v>
      </c>
      <c r="F3748" s="0" t="s">
        <v>162</v>
      </c>
      <c r="I3748" s="0" t="n">
        <v>620570</v>
      </c>
      <c r="J3748" s="0" t="n">
        <v>104359</v>
      </c>
      <c r="K3748" s="0" t="n">
        <v>7896792350071</v>
      </c>
      <c r="L3748" s="0" t="s">
        <v>3681</v>
      </c>
      <c r="N3748" s="0" t="n">
        <v>48</v>
      </c>
      <c r="O3748" s="60" t="n">
        <v>36</v>
      </c>
    </row>
    <row r="3749" customFormat="false" ht="15" hidden="false" customHeight="false" outlineLevel="0" collapsed="false">
      <c r="A3749" s="0" t="n">
        <v>3</v>
      </c>
      <c r="B3749" s="59" t="n">
        <v>46246</v>
      </c>
      <c r="C3749" s="0" t="n">
        <v>22</v>
      </c>
      <c r="D3749" s="0" t="s">
        <v>2172</v>
      </c>
      <c r="E3749" s="0" t="n">
        <v>42</v>
      </c>
      <c r="F3749" s="0" t="s">
        <v>81</v>
      </c>
      <c r="I3749" s="0" t="n">
        <v>4492</v>
      </c>
      <c r="J3749" s="0" t="n">
        <v>100006</v>
      </c>
      <c r="K3749" s="0" t="n">
        <v>7</v>
      </c>
      <c r="L3749" s="0" t="s">
        <v>2228</v>
      </c>
      <c r="N3749" s="0" t="n">
        <v>3.742</v>
      </c>
      <c r="O3749" s="60" t="n">
        <v>125.5</v>
      </c>
    </row>
    <row r="3750" customFormat="false" ht="15" hidden="false" customHeight="false" outlineLevel="0" collapsed="false">
      <c r="A3750" s="0" t="n">
        <v>3</v>
      </c>
      <c r="B3750" s="59" t="n">
        <v>46246</v>
      </c>
      <c r="C3750" s="0" t="n">
        <v>22</v>
      </c>
      <c r="D3750" s="0" t="s">
        <v>2172</v>
      </c>
      <c r="E3750" s="0" t="n">
        <v>42</v>
      </c>
      <c r="F3750" s="0" t="s">
        <v>81</v>
      </c>
      <c r="I3750" s="0" t="n">
        <v>4492</v>
      </c>
      <c r="J3750" s="0" t="n">
        <v>100007</v>
      </c>
      <c r="K3750" s="0" t="n">
        <v>8</v>
      </c>
      <c r="L3750" s="0" t="s">
        <v>2177</v>
      </c>
      <c r="N3750" s="0" t="n">
        <v>3.266</v>
      </c>
      <c r="O3750" s="60" t="n">
        <v>93.1</v>
      </c>
    </row>
    <row r="3751" customFormat="false" ht="15" hidden="false" customHeight="false" outlineLevel="0" collapsed="false">
      <c r="A3751" s="0" t="n">
        <v>3</v>
      </c>
      <c r="B3751" s="59" t="n">
        <v>46246</v>
      </c>
      <c r="C3751" s="0" t="n">
        <v>22</v>
      </c>
      <c r="D3751" s="0" t="s">
        <v>2172</v>
      </c>
      <c r="E3751" s="0" t="n">
        <v>42</v>
      </c>
      <c r="F3751" s="0" t="s">
        <v>81</v>
      </c>
      <c r="I3751" s="0" t="n">
        <v>4492</v>
      </c>
      <c r="J3751" s="0" t="n">
        <v>100008</v>
      </c>
      <c r="K3751" s="0" t="n">
        <v>9</v>
      </c>
      <c r="L3751" s="0" t="s">
        <v>2229</v>
      </c>
      <c r="N3751" s="0" t="n">
        <v>10.69</v>
      </c>
      <c r="O3751" s="60" t="n">
        <v>367.49</v>
      </c>
    </row>
    <row r="3752" customFormat="false" ht="15" hidden="false" customHeight="false" outlineLevel="0" collapsed="false">
      <c r="A3752" s="0" t="n">
        <v>3</v>
      </c>
      <c r="B3752" s="59" t="n">
        <v>46246</v>
      </c>
      <c r="C3752" s="0" t="n">
        <v>22</v>
      </c>
      <c r="D3752" s="0" t="s">
        <v>2172</v>
      </c>
      <c r="E3752" s="0" t="n">
        <v>42</v>
      </c>
      <c r="F3752" s="0" t="s">
        <v>81</v>
      </c>
      <c r="I3752" s="0" t="n">
        <v>4492</v>
      </c>
      <c r="J3752" s="0" t="n">
        <v>100011</v>
      </c>
      <c r="K3752" s="0" t="n">
        <v>12</v>
      </c>
      <c r="L3752" s="0" t="s">
        <v>2231</v>
      </c>
      <c r="N3752" s="0" t="n">
        <v>7.855</v>
      </c>
      <c r="O3752" s="60" t="n">
        <v>309.56</v>
      </c>
    </row>
    <row r="3753" customFormat="false" ht="15" hidden="false" customHeight="false" outlineLevel="0" collapsed="false">
      <c r="A3753" s="0" t="n">
        <v>3</v>
      </c>
      <c r="B3753" s="59" t="n">
        <v>46246</v>
      </c>
      <c r="C3753" s="0" t="n">
        <v>22</v>
      </c>
      <c r="D3753" s="0" t="s">
        <v>2172</v>
      </c>
      <c r="E3753" s="0" t="n">
        <v>42</v>
      </c>
      <c r="F3753" s="0" t="s">
        <v>81</v>
      </c>
      <c r="I3753" s="0" t="n">
        <v>4492</v>
      </c>
      <c r="J3753" s="0" t="n">
        <v>100012</v>
      </c>
      <c r="K3753" s="0" t="n">
        <v>13</v>
      </c>
      <c r="L3753" s="0" t="s">
        <v>2232</v>
      </c>
      <c r="N3753" s="0" t="n">
        <v>4.346</v>
      </c>
      <c r="O3753" s="60" t="n">
        <v>185.85</v>
      </c>
    </row>
    <row r="3754" customFormat="false" ht="15" hidden="false" customHeight="false" outlineLevel="0" collapsed="false">
      <c r="A3754" s="0" t="n">
        <v>3</v>
      </c>
      <c r="B3754" s="59" t="n">
        <v>46246</v>
      </c>
      <c r="C3754" s="0" t="n">
        <v>22</v>
      </c>
      <c r="D3754" s="0" t="s">
        <v>2172</v>
      </c>
      <c r="E3754" s="0" t="n">
        <v>42</v>
      </c>
      <c r="F3754" s="0" t="s">
        <v>81</v>
      </c>
      <c r="I3754" s="0" t="n">
        <v>4492</v>
      </c>
      <c r="J3754" s="0" t="n">
        <v>100013</v>
      </c>
      <c r="K3754" s="0" t="n">
        <v>14</v>
      </c>
      <c r="L3754" s="0" t="s">
        <v>2233</v>
      </c>
      <c r="N3754" s="0" t="n">
        <v>7.845</v>
      </c>
      <c r="O3754" s="60" t="n">
        <v>361.8</v>
      </c>
    </row>
    <row r="3755" customFormat="false" ht="15" hidden="false" customHeight="false" outlineLevel="0" collapsed="false">
      <c r="A3755" s="0" t="n">
        <v>3</v>
      </c>
      <c r="B3755" s="59" t="n">
        <v>46246</v>
      </c>
      <c r="C3755" s="0" t="n">
        <v>22</v>
      </c>
      <c r="D3755" s="0" t="s">
        <v>2172</v>
      </c>
      <c r="E3755" s="0" t="n">
        <v>42</v>
      </c>
      <c r="F3755" s="0" t="s">
        <v>81</v>
      </c>
      <c r="I3755" s="0" t="n">
        <v>4492</v>
      </c>
      <c r="J3755" s="0" t="n">
        <v>100014</v>
      </c>
      <c r="K3755" s="0" t="n">
        <v>15</v>
      </c>
      <c r="L3755" s="0" t="s">
        <v>2234</v>
      </c>
      <c r="N3755" s="0" t="n">
        <v>3.452</v>
      </c>
      <c r="O3755" s="60" t="n">
        <v>162.1</v>
      </c>
    </row>
    <row r="3756" customFormat="false" ht="15" hidden="false" customHeight="false" outlineLevel="0" collapsed="false">
      <c r="A3756" s="0" t="n">
        <v>3</v>
      </c>
      <c r="B3756" s="59" t="n">
        <v>46246</v>
      </c>
      <c r="C3756" s="0" t="n">
        <v>22</v>
      </c>
      <c r="D3756" s="0" t="s">
        <v>2172</v>
      </c>
      <c r="E3756" s="0" t="n">
        <v>42</v>
      </c>
      <c r="F3756" s="0" t="s">
        <v>81</v>
      </c>
      <c r="I3756" s="0" t="n">
        <v>4492</v>
      </c>
      <c r="J3756" s="0" t="n">
        <v>100015</v>
      </c>
      <c r="K3756" s="0" t="n">
        <v>16</v>
      </c>
      <c r="L3756" s="0" t="s">
        <v>2235</v>
      </c>
      <c r="N3756" s="0" t="n">
        <v>1.656</v>
      </c>
      <c r="O3756" s="60" t="n">
        <v>70.82</v>
      </c>
    </row>
    <row r="3757" customFormat="false" ht="15" hidden="false" customHeight="false" outlineLevel="0" collapsed="false">
      <c r="A3757" s="0" t="n">
        <v>3</v>
      </c>
      <c r="B3757" s="59" t="n">
        <v>46246</v>
      </c>
      <c r="C3757" s="0" t="n">
        <v>22</v>
      </c>
      <c r="D3757" s="0" t="s">
        <v>2172</v>
      </c>
      <c r="E3757" s="0" t="n">
        <v>42</v>
      </c>
      <c r="F3757" s="0" t="s">
        <v>81</v>
      </c>
      <c r="I3757" s="0" t="n">
        <v>4492</v>
      </c>
      <c r="J3757" s="0" t="n">
        <v>100016</v>
      </c>
      <c r="K3757" s="0" t="n">
        <v>17</v>
      </c>
      <c r="L3757" s="0" t="s">
        <v>2236</v>
      </c>
      <c r="N3757" s="0" t="n">
        <v>1.526</v>
      </c>
      <c r="O3757" s="60" t="n">
        <v>70.38</v>
      </c>
    </row>
    <row r="3758" customFormat="false" ht="15" hidden="false" customHeight="false" outlineLevel="0" collapsed="false">
      <c r="A3758" s="0" t="n">
        <v>3</v>
      </c>
      <c r="B3758" s="59" t="n">
        <v>46246</v>
      </c>
      <c r="C3758" s="0" t="n">
        <v>22</v>
      </c>
      <c r="D3758" s="0" t="s">
        <v>2172</v>
      </c>
      <c r="E3758" s="0" t="n">
        <v>42</v>
      </c>
      <c r="F3758" s="0" t="s">
        <v>81</v>
      </c>
      <c r="I3758" s="0" t="n">
        <v>4492</v>
      </c>
      <c r="J3758" s="0" t="n">
        <v>100017</v>
      </c>
      <c r="K3758" s="0" t="n">
        <v>18</v>
      </c>
      <c r="L3758" s="0" t="s">
        <v>2237</v>
      </c>
      <c r="N3758" s="0" t="n">
        <v>1.466</v>
      </c>
      <c r="O3758" s="60" t="n">
        <v>79.9</v>
      </c>
    </row>
    <row r="3759" customFormat="false" ht="15" hidden="false" customHeight="false" outlineLevel="0" collapsed="false">
      <c r="A3759" s="0" t="n">
        <v>3</v>
      </c>
      <c r="B3759" s="59" t="n">
        <v>46246</v>
      </c>
      <c r="C3759" s="0" t="n">
        <v>22</v>
      </c>
      <c r="D3759" s="0" t="s">
        <v>2172</v>
      </c>
      <c r="E3759" s="0" t="n">
        <v>42</v>
      </c>
      <c r="F3759" s="0" t="s">
        <v>81</v>
      </c>
      <c r="I3759" s="0" t="n">
        <v>4492</v>
      </c>
      <c r="J3759" s="0" t="n">
        <v>100053</v>
      </c>
      <c r="K3759" s="0" t="n">
        <v>54</v>
      </c>
      <c r="L3759" s="0" t="s">
        <v>2238</v>
      </c>
      <c r="N3759" s="0" t="n">
        <v>2.872</v>
      </c>
      <c r="O3759" s="60" t="n">
        <v>108.37</v>
      </c>
    </row>
    <row r="3760" customFormat="false" ht="15" hidden="false" customHeight="false" outlineLevel="0" collapsed="false">
      <c r="A3760" s="0" t="n">
        <v>3</v>
      </c>
      <c r="B3760" s="59" t="n">
        <v>46246</v>
      </c>
      <c r="C3760" s="0" t="n">
        <v>22</v>
      </c>
      <c r="D3760" s="0" t="s">
        <v>2172</v>
      </c>
      <c r="E3760" s="0" t="n">
        <v>42</v>
      </c>
      <c r="F3760" s="0" t="s">
        <v>81</v>
      </c>
      <c r="I3760" s="0" t="n">
        <v>4492</v>
      </c>
      <c r="J3760" s="0" t="n">
        <v>100638</v>
      </c>
      <c r="K3760" s="0" t="n">
        <v>508</v>
      </c>
      <c r="L3760" s="0" t="s">
        <v>2178</v>
      </c>
      <c r="N3760" s="0" t="n">
        <v>2.05</v>
      </c>
      <c r="O3760" s="60" t="n">
        <v>3.42</v>
      </c>
    </row>
    <row r="3761" customFormat="false" ht="15" hidden="false" customHeight="false" outlineLevel="0" collapsed="false">
      <c r="A3761" s="0" t="n">
        <v>3</v>
      </c>
      <c r="B3761" s="59" t="n">
        <v>46246</v>
      </c>
      <c r="C3761" s="0" t="n">
        <v>22</v>
      </c>
      <c r="D3761" s="0" t="s">
        <v>2172</v>
      </c>
      <c r="E3761" s="0" t="n">
        <v>42</v>
      </c>
      <c r="F3761" s="0" t="s">
        <v>81</v>
      </c>
      <c r="I3761" s="0" t="n">
        <v>4492</v>
      </c>
      <c r="J3761" s="0" t="n">
        <v>100520</v>
      </c>
      <c r="K3761" s="0" t="n">
        <v>507</v>
      </c>
      <c r="L3761" s="0" t="s">
        <v>2179</v>
      </c>
      <c r="N3761" s="0" t="n">
        <v>9.937</v>
      </c>
      <c r="O3761" s="60" t="n">
        <v>24.92</v>
      </c>
    </row>
    <row r="3762" customFormat="false" ht="15" hidden="false" customHeight="false" outlineLevel="0" collapsed="false">
      <c r="A3762" s="0" t="n">
        <v>3</v>
      </c>
      <c r="B3762" s="59" t="n">
        <v>46246</v>
      </c>
      <c r="C3762" s="0" t="n">
        <v>22</v>
      </c>
      <c r="D3762" s="0" t="s">
        <v>2172</v>
      </c>
      <c r="E3762" s="0" t="n">
        <v>42</v>
      </c>
      <c r="F3762" s="0" t="s">
        <v>81</v>
      </c>
      <c r="I3762" s="0" t="n">
        <v>4492</v>
      </c>
      <c r="J3762" s="0" t="n">
        <v>110455</v>
      </c>
      <c r="K3762" s="0" t="n">
        <v>53212</v>
      </c>
      <c r="L3762" s="0" t="s">
        <v>2180</v>
      </c>
      <c r="N3762" s="0" t="n">
        <v>0.647</v>
      </c>
      <c r="O3762" s="60" t="n">
        <v>0</v>
      </c>
    </row>
    <row r="3763" customFormat="false" ht="15" hidden="false" customHeight="false" outlineLevel="0" collapsed="false">
      <c r="A3763" s="0" t="n">
        <v>3</v>
      </c>
      <c r="B3763" s="59" t="n">
        <v>46246</v>
      </c>
      <c r="C3763" s="0" t="n">
        <v>100</v>
      </c>
      <c r="D3763" s="0" t="s">
        <v>2181</v>
      </c>
      <c r="E3763" s="0" t="n">
        <v>42</v>
      </c>
      <c r="F3763" s="0" t="s">
        <v>81</v>
      </c>
      <c r="I3763" s="0" t="n">
        <v>1537248</v>
      </c>
      <c r="J3763" s="0" t="n">
        <v>100006</v>
      </c>
      <c r="K3763" s="0" t="n">
        <v>7</v>
      </c>
      <c r="L3763" s="0" t="s">
        <v>2228</v>
      </c>
      <c r="N3763" s="0" t="n">
        <v>3.742</v>
      </c>
      <c r="O3763" s="60" t="n">
        <v>125.5</v>
      </c>
    </row>
    <row r="3764" customFormat="false" ht="15" hidden="false" customHeight="false" outlineLevel="0" collapsed="false">
      <c r="A3764" s="0" t="n">
        <v>3</v>
      </c>
      <c r="B3764" s="59" t="n">
        <v>46246</v>
      </c>
      <c r="C3764" s="0" t="n">
        <v>100</v>
      </c>
      <c r="D3764" s="0" t="s">
        <v>2181</v>
      </c>
      <c r="E3764" s="0" t="n">
        <v>42</v>
      </c>
      <c r="F3764" s="0" t="s">
        <v>81</v>
      </c>
      <c r="I3764" s="0" t="n">
        <v>1537248</v>
      </c>
      <c r="J3764" s="0" t="n">
        <v>100007</v>
      </c>
      <c r="K3764" s="0" t="n">
        <v>8</v>
      </c>
      <c r="L3764" s="0" t="s">
        <v>2177</v>
      </c>
      <c r="N3764" s="0" t="n">
        <v>3.266</v>
      </c>
      <c r="O3764" s="60" t="n">
        <v>93.1</v>
      </c>
    </row>
    <row r="3765" customFormat="false" ht="15" hidden="false" customHeight="false" outlineLevel="0" collapsed="false">
      <c r="A3765" s="0" t="n">
        <v>3</v>
      </c>
      <c r="B3765" s="59" t="n">
        <v>46246</v>
      </c>
      <c r="C3765" s="0" t="n">
        <v>100</v>
      </c>
      <c r="D3765" s="0" t="s">
        <v>2181</v>
      </c>
      <c r="E3765" s="0" t="n">
        <v>42</v>
      </c>
      <c r="F3765" s="0" t="s">
        <v>81</v>
      </c>
      <c r="I3765" s="0" t="n">
        <v>1537248</v>
      </c>
      <c r="J3765" s="0" t="n">
        <v>100008</v>
      </c>
      <c r="K3765" s="0" t="n">
        <v>9</v>
      </c>
      <c r="L3765" s="0" t="s">
        <v>2229</v>
      </c>
      <c r="N3765" s="0" t="n">
        <v>10.69</v>
      </c>
      <c r="O3765" s="60" t="n">
        <v>367.49</v>
      </c>
    </row>
    <row r="3766" customFormat="false" ht="15" hidden="false" customHeight="false" outlineLevel="0" collapsed="false">
      <c r="A3766" s="0" t="n">
        <v>3</v>
      </c>
      <c r="B3766" s="59" t="n">
        <v>46246</v>
      </c>
      <c r="C3766" s="0" t="n">
        <v>100</v>
      </c>
      <c r="D3766" s="0" t="s">
        <v>2181</v>
      </c>
      <c r="E3766" s="0" t="n">
        <v>42</v>
      </c>
      <c r="F3766" s="0" t="s">
        <v>81</v>
      </c>
      <c r="I3766" s="0" t="n">
        <v>1537248</v>
      </c>
      <c r="J3766" s="0" t="n">
        <v>100011</v>
      </c>
      <c r="K3766" s="0" t="n">
        <v>12</v>
      </c>
      <c r="L3766" s="0" t="s">
        <v>2231</v>
      </c>
      <c r="N3766" s="0" t="n">
        <v>7.855</v>
      </c>
      <c r="O3766" s="60" t="n">
        <v>309.56</v>
      </c>
    </row>
    <row r="3767" customFormat="false" ht="15" hidden="false" customHeight="false" outlineLevel="0" collapsed="false">
      <c r="A3767" s="0" t="n">
        <v>3</v>
      </c>
      <c r="B3767" s="59" t="n">
        <v>46246</v>
      </c>
      <c r="C3767" s="0" t="n">
        <v>100</v>
      </c>
      <c r="D3767" s="0" t="s">
        <v>2181</v>
      </c>
      <c r="E3767" s="0" t="n">
        <v>42</v>
      </c>
      <c r="F3767" s="0" t="s">
        <v>81</v>
      </c>
      <c r="I3767" s="0" t="n">
        <v>1537248</v>
      </c>
      <c r="J3767" s="0" t="n">
        <v>100012</v>
      </c>
      <c r="K3767" s="0" t="n">
        <v>13</v>
      </c>
      <c r="L3767" s="0" t="s">
        <v>2232</v>
      </c>
      <c r="N3767" s="0" t="n">
        <v>4.346</v>
      </c>
      <c r="O3767" s="60" t="n">
        <v>185.85</v>
      </c>
    </row>
    <row r="3768" customFormat="false" ht="15" hidden="false" customHeight="false" outlineLevel="0" collapsed="false">
      <c r="A3768" s="0" t="n">
        <v>3</v>
      </c>
      <c r="B3768" s="59" t="n">
        <v>46246</v>
      </c>
      <c r="C3768" s="0" t="n">
        <v>100</v>
      </c>
      <c r="D3768" s="0" t="s">
        <v>2181</v>
      </c>
      <c r="E3768" s="0" t="n">
        <v>42</v>
      </c>
      <c r="F3768" s="0" t="s">
        <v>81</v>
      </c>
      <c r="I3768" s="0" t="n">
        <v>1537248</v>
      </c>
      <c r="J3768" s="0" t="n">
        <v>100013</v>
      </c>
      <c r="K3768" s="0" t="n">
        <v>14</v>
      </c>
      <c r="L3768" s="0" t="s">
        <v>2233</v>
      </c>
      <c r="N3768" s="0" t="n">
        <v>7.845</v>
      </c>
      <c r="O3768" s="60" t="n">
        <v>361.8</v>
      </c>
    </row>
    <row r="3769" customFormat="false" ht="15" hidden="false" customHeight="false" outlineLevel="0" collapsed="false">
      <c r="A3769" s="0" t="n">
        <v>3</v>
      </c>
      <c r="B3769" s="59" t="n">
        <v>46246</v>
      </c>
      <c r="C3769" s="0" t="n">
        <v>100</v>
      </c>
      <c r="D3769" s="0" t="s">
        <v>2181</v>
      </c>
      <c r="E3769" s="0" t="n">
        <v>42</v>
      </c>
      <c r="F3769" s="0" t="s">
        <v>81</v>
      </c>
      <c r="I3769" s="0" t="n">
        <v>1537248</v>
      </c>
      <c r="J3769" s="0" t="n">
        <v>100014</v>
      </c>
      <c r="K3769" s="0" t="n">
        <v>15</v>
      </c>
      <c r="L3769" s="0" t="s">
        <v>2234</v>
      </c>
      <c r="N3769" s="0" t="n">
        <v>3.452</v>
      </c>
      <c r="O3769" s="60" t="n">
        <v>162.1</v>
      </c>
    </row>
    <row r="3770" customFormat="false" ht="15" hidden="false" customHeight="false" outlineLevel="0" collapsed="false">
      <c r="A3770" s="0" t="n">
        <v>3</v>
      </c>
      <c r="B3770" s="59" t="n">
        <v>46246</v>
      </c>
      <c r="C3770" s="0" t="n">
        <v>100</v>
      </c>
      <c r="D3770" s="0" t="s">
        <v>2181</v>
      </c>
      <c r="E3770" s="0" t="n">
        <v>42</v>
      </c>
      <c r="F3770" s="0" t="s">
        <v>81</v>
      </c>
      <c r="I3770" s="0" t="n">
        <v>1537248</v>
      </c>
      <c r="J3770" s="0" t="n">
        <v>100015</v>
      </c>
      <c r="K3770" s="0" t="n">
        <v>16</v>
      </c>
      <c r="L3770" s="0" t="s">
        <v>2235</v>
      </c>
      <c r="N3770" s="0" t="n">
        <v>1.656</v>
      </c>
      <c r="O3770" s="60" t="n">
        <v>70.82</v>
      </c>
    </row>
    <row r="3771" customFormat="false" ht="15" hidden="false" customHeight="false" outlineLevel="0" collapsed="false">
      <c r="A3771" s="0" t="n">
        <v>3</v>
      </c>
      <c r="B3771" s="59" t="n">
        <v>46246</v>
      </c>
      <c r="C3771" s="0" t="n">
        <v>100</v>
      </c>
      <c r="D3771" s="0" t="s">
        <v>2181</v>
      </c>
      <c r="E3771" s="0" t="n">
        <v>42</v>
      </c>
      <c r="F3771" s="0" t="s">
        <v>81</v>
      </c>
      <c r="I3771" s="0" t="n">
        <v>1537248</v>
      </c>
      <c r="J3771" s="0" t="n">
        <v>100016</v>
      </c>
      <c r="K3771" s="0" t="n">
        <v>17</v>
      </c>
      <c r="L3771" s="0" t="s">
        <v>2236</v>
      </c>
      <c r="N3771" s="0" t="n">
        <v>1.526</v>
      </c>
      <c r="O3771" s="60" t="n">
        <v>70.38</v>
      </c>
    </row>
    <row r="3772" customFormat="false" ht="15" hidden="false" customHeight="false" outlineLevel="0" collapsed="false">
      <c r="A3772" s="0" t="n">
        <v>3</v>
      </c>
      <c r="B3772" s="59" t="n">
        <v>46246</v>
      </c>
      <c r="C3772" s="0" t="n">
        <v>100</v>
      </c>
      <c r="D3772" s="0" t="s">
        <v>2181</v>
      </c>
      <c r="E3772" s="0" t="n">
        <v>42</v>
      </c>
      <c r="F3772" s="0" t="s">
        <v>81</v>
      </c>
      <c r="I3772" s="0" t="n">
        <v>1537248</v>
      </c>
      <c r="J3772" s="0" t="n">
        <v>100017</v>
      </c>
      <c r="K3772" s="0" t="n">
        <v>18</v>
      </c>
      <c r="L3772" s="0" t="s">
        <v>2237</v>
      </c>
      <c r="N3772" s="0" t="n">
        <v>1.466</v>
      </c>
      <c r="O3772" s="60" t="n">
        <v>79.9</v>
      </c>
    </row>
    <row r="3773" customFormat="false" ht="15" hidden="false" customHeight="false" outlineLevel="0" collapsed="false">
      <c r="A3773" s="0" t="n">
        <v>3</v>
      </c>
      <c r="B3773" s="59" t="n">
        <v>46246</v>
      </c>
      <c r="C3773" s="0" t="n">
        <v>100</v>
      </c>
      <c r="D3773" s="0" t="s">
        <v>2181</v>
      </c>
      <c r="E3773" s="0" t="n">
        <v>42</v>
      </c>
      <c r="F3773" s="0" t="s">
        <v>81</v>
      </c>
      <c r="I3773" s="0" t="n">
        <v>1537248</v>
      </c>
      <c r="J3773" s="0" t="n">
        <v>100053</v>
      </c>
      <c r="K3773" s="0" t="n">
        <v>54</v>
      </c>
      <c r="L3773" s="0" t="s">
        <v>2238</v>
      </c>
      <c r="N3773" s="0" t="n">
        <v>2.872</v>
      </c>
      <c r="O3773" s="60" t="n">
        <v>108.37</v>
      </c>
    </row>
    <row r="3774" customFormat="false" ht="15" hidden="false" customHeight="false" outlineLevel="0" collapsed="false">
      <c r="A3774" s="0" t="n">
        <v>3</v>
      </c>
      <c r="B3774" s="59" t="n">
        <v>46246</v>
      </c>
      <c r="C3774" s="0" t="n">
        <v>100</v>
      </c>
      <c r="D3774" s="0" t="s">
        <v>2181</v>
      </c>
      <c r="E3774" s="0" t="n">
        <v>42</v>
      </c>
      <c r="F3774" s="0" t="s">
        <v>81</v>
      </c>
      <c r="I3774" s="0" t="n">
        <v>1537248</v>
      </c>
      <c r="J3774" s="0" t="n">
        <v>100638</v>
      </c>
      <c r="K3774" s="0" t="n">
        <v>508</v>
      </c>
      <c r="L3774" s="0" t="s">
        <v>2178</v>
      </c>
      <c r="N3774" s="0" t="n">
        <v>2.05</v>
      </c>
      <c r="O3774" s="60" t="n">
        <v>3.42</v>
      </c>
    </row>
    <row r="3775" customFormat="false" ht="15" hidden="false" customHeight="false" outlineLevel="0" collapsed="false">
      <c r="A3775" s="0" t="n">
        <v>3</v>
      </c>
      <c r="B3775" s="59" t="n">
        <v>46246</v>
      </c>
      <c r="C3775" s="0" t="n">
        <v>100</v>
      </c>
      <c r="D3775" s="0" t="s">
        <v>2181</v>
      </c>
      <c r="E3775" s="0" t="n">
        <v>42</v>
      </c>
      <c r="F3775" s="0" t="s">
        <v>81</v>
      </c>
      <c r="I3775" s="0" t="n">
        <v>1537248</v>
      </c>
      <c r="J3775" s="0" t="n">
        <v>100520</v>
      </c>
      <c r="K3775" s="0" t="n">
        <v>507</v>
      </c>
      <c r="L3775" s="0" t="s">
        <v>2179</v>
      </c>
      <c r="N3775" s="0" t="n">
        <v>9.937</v>
      </c>
      <c r="O3775" s="60" t="n">
        <v>24.92</v>
      </c>
    </row>
    <row r="3776" customFormat="false" ht="15" hidden="false" customHeight="false" outlineLevel="0" collapsed="false">
      <c r="A3776" s="0" t="n">
        <v>3</v>
      </c>
      <c r="B3776" s="59" t="n">
        <v>46246</v>
      </c>
      <c r="C3776" s="0" t="n">
        <v>100</v>
      </c>
      <c r="D3776" s="0" t="s">
        <v>2181</v>
      </c>
      <c r="E3776" s="0" t="n">
        <v>42</v>
      </c>
      <c r="F3776" s="0" t="s">
        <v>81</v>
      </c>
      <c r="I3776" s="0" t="n">
        <v>1537248</v>
      </c>
      <c r="J3776" s="0" t="n">
        <v>110455</v>
      </c>
      <c r="K3776" s="0" t="n">
        <v>53212</v>
      </c>
      <c r="L3776" s="0" t="s">
        <v>2180</v>
      </c>
      <c r="N3776" s="0" t="n">
        <v>0.647</v>
      </c>
      <c r="O3776" s="60" t="n">
        <v>0</v>
      </c>
    </row>
    <row r="3777" customFormat="false" ht="15" hidden="false" customHeight="false" outlineLevel="0" collapsed="false">
      <c r="A3777" s="0" t="n">
        <v>3</v>
      </c>
      <c r="B3777" s="59" t="n">
        <v>46247</v>
      </c>
      <c r="C3777" s="0" t="n">
        <v>6</v>
      </c>
      <c r="D3777" s="0" t="s">
        <v>2125</v>
      </c>
      <c r="E3777" s="0" t="n">
        <v>42</v>
      </c>
      <c r="F3777" s="0" t="s">
        <v>81</v>
      </c>
      <c r="I3777" s="0" t="n">
        <v>4494</v>
      </c>
      <c r="J3777" s="0" t="n">
        <v>27510</v>
      </c>
      <c r="K3777" s="0" t="n">
        <v>7898306020241</v>
      </c>
      <c r="L3777" s="0" t="s">
        <v>2979</v>
      </c>
      <c r="N3777" s="0" t="n">
        <v>100</v>
      </c>
      <c r="O3777" s="60" t="n">
        <v>1040</v>
      </c>
    </row>
    <row r="3778" customFormat="false" ht="15" hidden="false" customHeight="false" outlineLevel="0" collapsed="false">
      <c r="A3778" s="0" t="n">
        <v>3</v>
      </c>
      <c r="B3778" s="59" t="n">
        <v>46247</v>
      </c>
      <c r="C3778" s="0" t="n">
        <v>6</v>
      </c>
      <c r="D3778" s="0" t="s">
        <v>2125</v>
      </c>
      <c r="E3778" s="0" t="n">
        <v>42</v>
      </c>
      <c r="F3778" s="0" t="s">
        <v>81</v>
      </c>
      <c r="I3778" s="0" t="n">
        <v>4494</v>
      </c>
      <c r="J3778" s="0" t="n">
        <v>74674</v>
      </c>
      <c r="K3778" s="0" t="n">
        <v>741</v>
      </c>
      <c r="L3778" s="0" t="s">
        <v>2473</v>
      </c>
      <c r="N3778" s="0" t="n">
        <v>50</v>
      </c>
      <c r="O3778" s="60" t="n">
        <v>600</v>
      </c>
    </row>
    <row r="3779" customFormat="false" ht="15" hidden="false" customHeight="false" outlineLevel="0" collapsed="false">
      <c r="A3779" s="0" t="n">
        <v>3</v>
      </c>
      <c r="B3779" s="59" t="n">
        <v>46247</v>
      </c>
      <c r="C3779" s="0" t="n">
        <v>6</v>
      </c>
      <c r="D3779" s="0" t="s">
        <v>2125</v>
      </c>
      <c r="E3779" s="0" t="n">
        <v>42</v>
      </c>
      <c r="F3779" s="0" t="s">
        <v>81</v>
      </c>
      <c r="I3779" s="0" t="n">
        <v>4494</v>
      </c>
      <c r="J3779" s="0" t="n">
        <v>75374</v>
      </c>
      <c r="K3779" s="0" t="n">
        <v>7898996471521</v>
      </c>
      <c r="L3779" s="0" t="s">
        <v>3682</v>
      </c>
      <c r="N3779" s="0" t="n">
        <v>50</v>
      </c>
      <c r="O3779" s="60" t="n">
        <v>240</v>
      </c>
    </row>
    <row r="3780" customFormat="false" ht="15" hidden="false" customHeight="false" outlineLevel="0" collapsed="false">
      <c r="A3780" s="0" t="n">
        <v>3</v>
      </c>
      <c r="B3780" s="59" t="n">
        <v>46247</v>
      </c>
      <c r="C3780" s="0" t="n">
        <v>6</v>
      </c>
      <c r="D3780" s="0" t="s">
        <v>2125</v>
      </c>
      <c r="E3780" s="0" t="n">
        <v>42</v>
      </c>
      <c r="F3780" s="0" t="s">
        <v>81</v>
      </c>
      <c r="I3780" s="0" t="n">
        <v>4495</v>
      </c>
      <c r="J3780" s="0" t="n">
        <v>100103</v>
      </c>
      <c r="K3780" s="0" t="n">
        <v>104</v>
      </c>
      <c r="L3780" s="0" t="s">
        <v>2193</v>
      </c>
      <c r="N3780" s="0" t="n">
        <v>40</v>
      </c>
      <c r="O3780" s="60" t="n">
        <v>250</v>
      </c>
    </row>
    <row r="3781" customFormat="false" ht="15" hidden="false" customHeight="false" outlineLevel="0" collapsed="false">
      <c r="A3781" s="0" t="n">
        <v>3</v>
      </c>
      <c r="B3781" s="59" t="n">
        <v>46247</v>
      </c>
      <c r="C3781" s="0" t="n">
        <v>6</v>
      </c>
      <c r="D3781" s="0" t="s">
        <v>2125</v>
      </c>
      <c r="E3781" s="0" t="n">
        <v>42</v>
      </c>
      <c r="F3781" s="0" t="s">
        <v>81</v>
      </c>
      <c r="I3781" s="0" t="n">
        <v>4496</v>
      </c>
      <c r="J3781" s="0" t="n">
        <v>109791</v>
      </c>
      <c r="K3781" s="0" t="n">
        <v>9667</v>
      </c>
      <c r="L3781" s="0" t="s">
        <v>2123</v>
      </c>
      <c r="N3781" s="0" t="n">
        <v>8</v>
      </c>
      <c r="O3781" s="60" t="n">
        <v>20</v>
      </c>
    </row>
    <row r="3782" customFormat="false" ht="15" hidden="false" customHeight="false" outlineLevel="0" collapsed="false">
      <c r="A3782" s="0" t="n">
        <v>3</v>
      </c>
      <c r="B3782" s="59" t="n">
        <v>46247</v>
      </c>
      <c r="C3782" s="0" t="n">
        <v>6</v>
      </c>
      <c r="D3782" s="0" t="s">
        <v>2125</v>
      </c>
      <c r="E3782" s="0" t="n">
        <v>42</v>
      </c>
      <c r="F3782" s="0" t="s">
        <v>81</v>
      </c>
      <c r="I3782" s="0" t="n">
        <v>4496</v>
      </c>
      <c r="J3782" s="0" t="n">
        <v>37359</v>
      </c>
      <c r="K3782" s="0" t="n">
        <v>55526</v>
      </c>
      <c r="L3782" s="0" t="s">
        <v>2194</v>
      </c>
      <c r="N3782" s="0" t="n">
        <v>4</v>
      </c>
      <c r="O3782" s="60" t="n">
        <v>24</v>
      </c>
    </row>
    <row r="3783" customFormat="false" ht="15" hidden="false" customHeight="false" outlineLevel="0" collapsed="false">
      <c r="A3783" s="0" t="n">
        <v>3</v>
      </c>
      <c r="B3783" s="59" t="n">
        <v>46247</v>
      </c>
      <c r="C3783" s="0" t="n">
        <v>6</v>
      </c>
      <c r="D3783" s="0" t="s">
        <v>2125</v>
      </c>
      <c r="E3783" s="0" t="n">
        <v>42</v>
      </c>
      <c r="F3783" s="0" t="s">
        <v>81</v>
      </c>
      <c r="I3783" s="0" t="n">
        <v>4496</v>
      </c>
      <c r="J3783" s="0" t="n">
        <v>37361</v>
      </c>
      <c r="K3783" s="0" t="n">
        <v>2240817</v>
      </c>
      <c r="L3783" s="0" t="s">
        <v>2124</v>
      </c>
      <c r="N3783" s="0" t="n">
        <v>50</v>
      </c>
      <c r="O3783" s="60" t="n">
        <v>100</v>
      </c>
    </row>
    <row r="3784" customFormat="false" ht="15" hidden="false" customHeight="false" outlineLevel="0" collapsed="false">
      <c r="A3784" s="0" t="n">
        <v>3</v>
      </c>
      <c r="B3784" s="59" t="n">
        <v>46247</v>
      </c>
      <c r="C3784" s="0" t="n">
        <v>11</v>
      </c>
      <c r="D3784" s="0" t="s">
        <v>2126</v>
      </c>
      <c r="E3784" s="0" t="n">
        <v>1814</v>
      </c>
      <c r="F3784" s="0" t="s">
        <v>341</v>
      </c>
      <c r="I3784" s="0" t="n">
        <v>28353</v>
      </c>
      <c r="J3784" s="0" t="n">
        <v>25090</v>
      </c>
      <c r="K3784" s="0" t="n">
        <v>7898951519152</v>
      </c>
      <c r="L3784" s="0" t="s">
        <v>2302</v>
      </c>
      <c r="N3784" s="0" t="n">
        <v>60</v>
      </c>
      <c r="O3784" s="60" t="n">
        <v>129.62</v>
      </c>
    </row>
    <row r="3785" customFormat="false" ht="15" hidden="false" customHeight="false" outlineLevel="0" collapsed="false">
      <c r="A3785" s="0" t="n">
        <v>3</v>
      </c>
      <c r="B3785" s="59" t="n">
        <v>46247</v>
      </c>
      <c r="C3785" s="0" t="n">
        <v>11</v>
      </c>
      <c r="D3785" s="0" t="s">
        <v>2126</v>
      </c>
      <c r="E3785" s="0" t="n">
        <v>1814</v>
      </c>
      <c r="F3785" s="0" t="s">
        <v>341</v>
      </c>
      <c r="I3785" s="0" t="n">
        <v>28353</v>
      </c>
      <c r="J3785" s="0" t="n">
        <v>25091</v>
      </c>
      <c r="K3785" s="0" t="n">
        <v>7898951519176</v>
      </c>
      <c r="L3785" s="0" t="s">
        <v>2303</v>
      </c>
      <c r="N3785" s="0" t="n">
        <v>60</v>
      </c>
      <c r="O3785" s="60" t="n">
        <v>182.08</v>
      </c>
    </row>
    <row r="3786" customFormat="false" ht="15" hidden="false" customHeight="false" outlineLevel="0" collapsed="false">
      <c r="A3786" s="0" t="n">
        <v>3</v>
      </c>
      <c r="B3786" s="59" t="n">
        <v>46247</v>
      </c>
      <c r="C3786" s="0" t="n">
        <v>11</v>
      </c>
      <c r="D3786" s="0" t="s">
        <v>2126</v>
      </c>
      <c r="E3786" s="0" t="n">
        <v>1814</v>
      </c>
      <c r="F3786" s="0" t="s">
        <v>341</v>
      </c>
      <c r="I3786" s="0" t="n">
        <v>28353</v>
      </c>
      <c r="J3786" s="0" t="n">
        <v>25092</v>
      </c>
      <c r="K3786" s="0" t="n">
        <v>7896883601105</v>
      </c>
      <c r="L3786" s="0" t="s">
        <v>2304</v>
      </c>
      <c r="N3786" s="0" t="n">
        <v>50</v>
      </c>
      <c r="O3786" s="60" t="n">
        <v>86.92</v>
      </c>
    </row>
    <row r="3787" customFormat="false" ht="15" hidden="false" customHeight="false" outlineLevel="0" collapsed="false">
      <c r="A3787" s="0" t="n">
        <v>3</v>
      </c>
      <c r="B3787" s="59" t="n">
        <v>46247</v>
      </c>
      <c r="C3787" s="0" t="n">
        <v>11</v>
      </c>
      <c r="D3787" s="0" t="s">
        <v>2126</v>
      </c>
      <c r="E3787" s="0" t="n">
        <v>1814</v>
      </c>
      <c r="F3787" s="0" t="s">
        <v>341</v>
      </c>
      <c r="I3787" s="0" t="n">
        <v>28353</v>
      </c>
      <c r="J3787" s="0" t="n">
        <v>25093</v>
      </c>
      <c r="K3787" s="0" t="n">
        <v>7898951519169</v>
      </c>
      <c r="L3787" s="0" t="s">
        <v>2305</v>
      </c>
      <c r="N3787" s="0" t="n">
        <v>60</v>
      </c>
      <c r="O3787" s="60" t="n">
        <v>67.89</v>
      </c>
    </row>
    <row r="3788" customFormat="false" ht="15" hidden="false" customHeight="false" outlineLevel="0" collapsed="false">
      <c r="A3788" s="0" t="n">
        <v>3</v>
      </c>
      <c r="B3788" s="59" t="n">
        <v>46247</v>
      </c>
      <c r="C3788" s="0" t="n">
        <v>11</v>
      </c>
      <c r="D3788" s="0" t="s">
        <v>2126</v>
      </c>
      <c r="E3788" s="0" t="n">
        <v>1814</v>
      </c>
      <c r="F3788" s="0" t="s">
        <v>341</v>
      </c>
      <c r="I3788" s="0" t="n">
        <v>28353</v>
      </c>
      <c r="J3788" s="0" t="n">
        <v>25095</v>
      </c>
      <c r="K3788" s="0" t="n">
        <v>7898951519145</v>
      </c>
      <c r="L3788" s="0" t="s">
        <v>2306</v>
      </c>
      <c r="N3788" s="0" t="n">
        <v>100</v>
      </c>
      <c r="O3788" s="60" t="n">
        <v>128.59</v>
      </c>
    </row>
    <row r="3789" customFormat="false" ht="15" hidden="false" customHeight="false" outlineLevel="0" collapsed="false">
      <c r="A3789" s="0" t="n">
        <v>3</v>
      </c>
      <c r="B3789" s="59" t="n">
        <v>46247</v>
      </c>
      <c r="C3789" s="0" t="n">
        <v>11</v>
      </c>
      <c r="D3789" s="0" t="s">
        <v>2126</v>
      </c>
      <c r="E3789" s="0" t="n">
        <v>1814</v>
      </c>
      <c r="F3789" s="0" t="s">
        <v>341</v>
      </c>
      <c r="I3789" s="0" t="n">
        <v>28353</v>
      </c>
      <c r="J3789" s="0" t="n">
        <v>25096</v>
      </c>
      <c r="K3789" s="0" t="n">
        <v>7898951519138</v>
      </c>
      <c r="L3789" s="0" t="s">
        <v>2307</v>
      </c>
      <c r="N3789" s="0" t="n">
        <v>60</v>
      </c>
      <c r="O3789" s="60" t="n">
        <v>107.4</v>
      </c>
    </row>
    <row r="3790" customFormat="false" ht="15" hidden="false" customHeight="false" outlineLevel="0" collapsed="false">
      <c r="A3790" s="0" t="n">
        <v>3</v>
      </c>
      <c r="B3790" s="59" t="n">
        <v>46247</v>
      </c>
      <c r="C3790" s="0" t="n">
        <v>11</v>
      </c>
      <c r="D3790" s="0" t="s">
        <v>2126</v>
      </c>
      <c r="E3790" s="0" t="n">
        <v>1814</v>
      </c>
      <c r="F3790" s="0" t="s">
        <v>341</v>
      </c>
      <c r="I3790" s="0" t="n">
        <v>28353</v>
      </c>
      <c r="J3790" s="0" t="n">
        <v>25097</v>
      </c>
      <c r="K3790" s="0" t="n">
        <v>7898951519121</v>
      </c>
      <c r="L3790" s="0" t="s">
        <v>3237</v>
      </c>
      <c r="N3790" s="0" t="n">
        <v>20</v>
      </c>
      <c r="O3790" s="60" t="n">
        <v>22.63</v>
      </c>
    </row>
    <row r="3791" customFormat="false" ht="15" hidden="false" customHeight="false" outlineLevel="0" collapsed="false">
      <c r="A3791" s="0" t="n">
        <v>3</v>
      </c>
      <c r="B3791" s="59" t="n">
        <v>46247</v>
      </c>
      <c r="C3791" s="0" t="n">
        <v>11</v>
      </c>
      <c r="D3791" s="0" t="s">
        <v>2126</v>
      </c>
      <c r="E3791" s="0" t="n">
        <v>1814</v>
      </c>
      <c r="F3791" s="0" t="s">
        <v>341</v>
      </c>
      <c r="I3791" s="0" t="n">
        <v>28353</v>
      </c>
      <c r="J3791" s="0" t="n">
        <v>25134</v>
      </c>
      <c r="K3791" s="0" t="n">
        <v>7898951519114</v>
      </c>
      <c r="L3791" s="0" t="s">
        <v>2308</v>
      </c>
      <c r="N3791" s="0" t="n">
        <v>100</v>
      </c>
      <c r="O3791" s="60" t="n">
        <v>138.87</v>
      </c>
    </row>
    <row r="3792" customFormat="false" ht="15" hidden="false" customHeight="false" outlineLevel="0" collapsed="false">
      <c r="A3792" s="0" t="n">
        <v>3</v>
      </c>
      <c r="B3792" s="59" t="n">
        <v>46247</v>
      </c>
      <c r="C3792" s="0" t="n">
        <v>11</v>
      </c>
      <c r="D3792" s="0" t="s">
        <v>2126</v>
      </c>
      <c r="E3792" s="0" t="n">
        <v>1814</v>
      </c>
      <c r="F3792" s="0" t="s">
        <v>341</v>
      </c>
      <c r="I3792" s="0" t="n">
        <v>28353</v>
      </c>
      <c r="J3792" s="0" t="n">
        <v>39927</v>
      </c>
      <c r="K3792" s="0" t="n">
        <v>7898951519077</v>
      </c>
      <c r="L3792" s="0" t="s">
        <v>2309</v>
      </c>
      <c r="N3792" s="0" t="n">
        <v>6</v>
      </c>
      <c r="O3792" s="60" t="n">
        <v>57.4</v>
      </c>
    </row>
    <row r="3793" customFormat="false" ht="15" hidden="false" customHeight="false" outlineLevel="0" collapsed="false">
      <c r="A3793" s="0" t="n">
        <v>3</v>
      </c>
      <c r="B3793" s="59" t="n">
        <v>46247</v>
      </c>
      <c r="C3793" s="0" t="n">
        <v>11</v>
      </c>
      <c r="D3793" s="0" t="s">
        <v>2126</v>
      </c>
      <c r="E3793" s="0" t="n">
        <v>1814</v>
      </c>
      <c r="F3793" s="0" t="s">
        <v>341</v>
      </c>
      <c r="I3793" s="0" t="n">
        <v>28353</v>
      </c>
      <c r="J3793" s="0" t="n">
        <v>39930</v>
      </c>
      <c r="K3793" s="0" t="n">
        <v>7898951519060</v>
      </c>
      <c r="L3793" s="0" t="s">
        <v>2759</v>
      </c>
      <c r="N3793" s="0" t="n">
        <v>5</v>
      </c>
      <c r="O3793" s="60" t="n">
        <v>90.02</v>
      </c>
    </row>
    <row r="3794" customFormat="false" ht="15" hidden="false" customHeight="false" outlineLevel="0" collapsed="false">
      <c r="A3794" s="0" t="n">
        <v>3</v>
      </c>
      <c r="B3794" s="59" t="n">
        <v>46247</v>
      </c>
      <c r="C3794" s="0" t="n">
        <v>11</v>
      </c>
      <c r="D3794" s="0" t="s">
        <v>2126</v>
      </c>
      <c r="E3794" s="0" t="n">
        <v>1814</v>
      </c>
      <c r="F3794" s="0" t="s">
        <v>341</v>
      </c>
      <c r="I3794" s="0" t="n">
        <v>28353</v>
      </c>
      <c r="J3794" s="0" t="n">
        <v>39932</v>
      </c>
      <c r="K3794" s="0" t="n">
        <v>7898951519091</v>
      </c>
      <c r="L3794" s="0" t="s">
        <v>2310</v>
      </c>
      <c r="N3794" s="0" t="n">
        <v>5</v>
      </c>
      <c r="O3794" s="60" t="n">
        <v>74.58</v>
      </c>
    </row>
    <row r="3795" customFormat="false" ht="15" hidden="false" customHeight="false" outlineLevel="0" collapsed="false">
      <c r="A3795" s="0" t="n">
        <v>3</v>
      </c>
      <c r="B3795" s="59" t="n">
        <v>46247</v>
      </c>
      <c r="C3795" s="0" t="n">
        <v>11</v>
      </c>
      <c r="D3795" s="0" t="s">
        <v>2126</v>
      </c>
      <c r="E3795" s="0" t="n">
        <v>1814</v>
      </c>
      <c r="F3795" s="0" t="s">
        <v>341</v>
      </c>
      <c r="I3795" s="0" t="n">
        <v>28353</v>
      </c>
      <c r="J3795" s="0" t="n">
        <v>39933</v>
      </c>
      <c r="K3795" s="0" t="n">
        <v>7898951519046</v>
      </c>
      <c r="L3795" s="0" t="s">
        <v>2311</v>
      </c>
      <c r="N3795" s="0" t="n">
        <v>5</v>
      </c>
      <c r="O3795" s="60" t="n">
        <v>79.5</v>
      </c>
    </row>
    <row r="3796" customFormat="false" ht="15" hidden="false" customHeight="false" outlineLevel="0" collapsed="false">
      <c r="A3796" s="0" t="n">
        <v>3</v>
      </c>
      <c r="B3796" s="59" t="n">
        <v>46247</v>
      </c>
      <c r="C3796" s="0" t="n">
        <v>11</v>
      </c>
      <c r="D3796" s="0" t="s">
        <v>2126</v>
      </c>
      <c r="E3796" s="0" t="n">
        <v>1814</v>
      </c>
      <c r="F3796" s="0" t="s">
        <v>341</v>
      </c>
      <c r="I3796" s="0" t="n">
        <v>28353</v>
      </c>
      <c r="J3796" s="0" t="n">
        <v>39935</v>
      </c>
      <c r="K3796" s="0" t="n">
        <v>7898951519053</v>
      </c>
      <c r="L3796" s="0" t="s">
        <v>2312</v>
      </c>
      <c r="N3796" s="0" t="n">
        <v>15</v>
      </c>
      <c r="O3796" s="60" t="n">
        <v>143.51</v>
      </c>
    </row>
    <row r="3797" customFormat="false" ht="15" hidden="false" customHeight="false" outlineLevel="0" collapsed="false">
      <c r="A3797" s="0" t="n">
        <v>3</v>
      </c>
      <c r="B3797" s="59" t="n">
        <v>46247</v>
      </c>
      <c r="C3797" s="0" t="n">
        <v>11</v>
      </c>
      <c r="D3797" s="0" t="s">
        <v>2126</v>
      </c>
      <c r="E3797" s="0" t="n">
        <v>1814</v>
      </c>
      <c r="F3797" s="0" t="s">
        <v>341</v>
      </c>
      <c r="I3797" s="0" t="n">
        <v>28353</v>
      </c>
      <c r="J3797" s="0" t="n">
        <v>39937</v>
      </c>
      <c r="K3797" s="0" t="n">
        <v>7898951519022</v>
      </c>
      <c r="L3797" s="0" t="s">
        <v>2313</v>
      </c>
      <c r="N3797" s="0" t="n">
        <v>10</v>
      </c>
      <c r="O3797" s="60" t="n">
        <v>122.42</v>
      </c>
    </row>
    <row r="3798" customFormat="false" ht="15" hidden="false" customHeight="false" outlineLevel="0" collapsed="false">
      <c r="A3798" s="0" t="n">
        <v>3</v>
      </c>
      <c r="B3798" s="59" t="n">
        <v>46247</v>
      </c>
      <c r="C3798" s="0" t="n">
        <v>11</v>
      </c>
      <c r="D3798" s="0" t="s">
        <v>2126</v>
      </c>
      <c r="E3798" s="0" t="n">
        <v>1814</v>
      </c>
      <c r="F3798" s="0" t="s">
        <v>341</v>
      </c>
      <c r="I3798" s="0" t="n">
        <v>28353</v>
      </c>
      <c r="J3798" s="0" t="n">
        <v>81422</v>
      </c>
      <c r="K3798" s="0" t="n">
        <v>7898951519336</v>
      </c>
      <c r="L3798" s="0" t="s">
        <v>2314</v>
      </c>
      <c r="N3798" s="0" t="n">
        <v>2</v>
      </c>
      <c r="O3798" s="60" t="n">
        <v>30</v>
      </c>
    </row>
    <row r="3799" customFormat="false" ht="15" hidden="false" customHeight="false" outlineLevel="0" collapsed="false">
      <c r="A3799" s="0" t="n">
        <v>3</v>
      </c>
      <c r="B3799" s="59" t="n">
        <v>46247</v>
      </c>
      <c r="C3799" s="0" t="n">
        <v>11</v>
      </c>
      <c r="D3799" s="0" t="s">
        <v>2126</v>
      </c>
      <c r="E3799" s="0" t="n">
        <v>1605</v>
      </c>
      <c r="F3799" s="0" t="s">
        <v>114</v>
      </c>
      <c r="I3799" s="0" t="n">
        <v>222948</v>
      </c>
      <c r="J3799" s="0" t="n">
        <v>102577</v>
      </c>
      <c r="K3799" s="0" t="n">
        <v>7898080640222</v>
      </c>
      <c r="L3799" s="0" t="s">
        <v>3244</v>
      </c>
      <c r="N3799" s="0" t="n">
        <v>120</v>
      </c>
      <c r="O3799" s="60" t="n">
        <v>390</v>
      </c>
    </row>
    <row r="3800" customFormat="false" ht="15" hidden="false" customHeight="false" outlineLevel="0" collapsed="false">
      <c r="A3800" s="0" t="n">
        <v>3</v>
      </c>
      <c r="B3800" s="59" t="n">
        <v>46247</v>
      </c>
      <c r="C3800" s="0" t="n">
        <v>11</v>
      </c>
      <c r="D3800" s="0" t="s">
        <v>2126</v>
      </c>
      <c r="E3800" s="0" t="n">
        <v>1605</v>
      </c>
      <c r="F3800" s="0" t="s">
        <v>114</v>
      </c>
      <c r="I3800" s="0" t="n">
        <v>222948</v>
      </c>
      <c r="J3800" s="0" t="n">
        <v>26145</v>
      </c>
      <c r="K3800" s="0" t="n">
        <v>7896096007688</v>
      </c>
      <c r="L3800" s="0" t="s">
        <v>3683</v>
      </c>
      <c r="N3800" s="0" t="n">
        <v>6</v>
      </c>
      <c r="O3800" s="60" t="n">
        <v>125.16</v>
      </c>
    </row>
    <row r="3801" customFormat="false" ht="15" hidden="false" customHeight="false" outlineLevel="0" collapsed="false">
      <c r="A3801" s="0" t="n">
        <v>3</v>
      </c>
      <c r="B3801" s="59" t="n">
        <v>46247</v>
      </c>
      <c r="C3801" s="0" t="n">
        <v>11</v>
      </c>
      <c r="D3801" s="0" t="s">
        <v>2126</v>
      </c>
      <c r="E3801" s="0" t="n">
        <v>1657</v>
      </c>
      <c r="F3801" s="0" t="s">
        <v>257</v>
      </c>
      <c r="I3801" s="0" t="n">
        <v>297049</v>
      </c>
      <c r="J3801" s="0" t="n">
        <v>100453</v>
      </c>
      <c r="K3801" s="0" t="n">
        <v>7896806700076</v>
      </c>
      <c r="L3801" s="0" t="s">
        <v>3684</v>
      </c>
      <c r="N3801" s="0" t="n">
        <v>12</v>
      </c>
      <c r="O3801" s="60" t="n">
        <v>62.95</v>
      </c>
    </row>
    <row r="3802" customFormat="false" ht="15" hidden="false" customHeight="false" outlineLevel="0" collapsed="false">
      <c r="A3802" s="0" t="n">
        <v>3</v>
      </c>
      <c r="B3802" s="59" t="n">
        <v>46247</v>
      </c>
      <c r="C3802" s="0" t="n">
        <v>11</v>
      </c>
      <c r="D3802" s="0" t="s">
        <v>2126</v>
      </c>
      <c r="E3802" s="0" t="n">
        <v>1657</v>
      </c>
      <c r="F3802" s="0" t="s">
        <v>257</v>
      </c>
      <c r="I3802" s="0" t="n">
        <v>297049</v>
      </c>
      <c r="J3802" s="0" t="n">
        <v>100454</v>
      </c>
      <c r="K3802" s="0" t="n">
        <v>7896806700069</v>
      </c>
      <c r="L3802" s="0" t="s">
        <v>3658</v>
      </c>
      <c r="N3802" s="0" t="n">
        <v>12</v>
      </c>
      <c r="O3802" s="60" t="n">
        <v>48.95</v>
      </c>
    </row>
    <row r="3803" customFormat="false" ht="15" hidden="false" customHeight="false" outlineLevel="0" collapsed="false">
      <c r="A3803" s="0" t="n">
        <v>3</v>
      </c>
      <c r="B3803" s="59" t="n">
        <v>46247</v>
      </c>
      <c r="C3803" s="0" t="n">
        <v>11</v>
      </c>
      <c r="D3803" s="0" t="s">
        <v>2126</v>
      </c>
      <c r="E3803" s="0" t="n">
        <v>1657</v>
      </c>
      <c r="F3803" s="0" t="s">
        <v>257</v>
      </c>
      <c r="I3803" s="0" t="n">
        <v>297049</v>
      </c>
      <c r="J3803" s="0" t="n">
        <v>102096</v>
      </c>
      <c r="K3803" s="0" t="n">
        <v>7896104993835</v>
      </c>
      <c r="L3803" s="0" t="s">
        <v>3685</v>
      </c>
      <c r="N3803" s="0" t="n">
        <v>12</v>
      </c>
      <c r="O3803" s="60" t="n">
        <v>58.95</v>
      </c>
    </row>
    <row r="3804" customFormat="false" ht="15" hidden="false" customHeight="false" outlineLevel="0" collapsed="false">
      <c r="A3804" s="0" t="n">
        <v>3</v>
      </c>
      <c r="B3804" s="59" t="n">
        <v>46247</v>
      </c>
      <c r="C3804" s="0" t="n">
        <v>11</v>
      </c>
      <c r="D3804" s="0" t="s">
        <v>2126</v>
      </c>
      <c r="E3804" s="0" t="n">
        <v>1657</v>
      </c>
      <c r="F3804" s="0" t="s">
        <v>257</v>
      </c>
      <c r="I3804" s="0" t="n">
        <v>297049</v>
      </c>
      <c r="J3804" s="0" t="n">
        <v>102260</v>
      </c>
      <c r="K3804" s="0" t="n">
        <v>7898916462028</v>
      </c>
      <c r="L3804" s="0" t="s">
        <v>3686</v>
      </c>
      <c r="N3804" s="0" t="n">
        <v>160</v>
      </c>
      <c r="O3804" s="60" t="n">
        <v>239.8</v>
      </c>
    </row>
    <row r="3805" customFormat="false" ht="15" hidden="false" customHeight="false" outlineLevel="0" collapsed="false">
      <c r="A3805" s="0" t="n">
        <v>3</v>
      </c>
      <c r="B3805" s="59" t="n">
        <v>46247</v>
      </c>
      <c r="C3805" s="0" t="n">
        <v>11</v>
      </c>
      <c r="D3805" s="0" t="s">
        <v>2126</v>
      </c>
      <c r="E3805" s="0" t="n">
        <v>1657</v>
      </c>
      <c r="F3805" s="0" t="s">
        <v>257</v>
      </c>
      <c r="I3805" s="0" t="n">
        <v>297049</v>
      </c>
      <c r="J3805" s="0" t="n">
        <v>104137</v>
      </c>
      <c r="K3805" s="0" t="n">
        <v>7896369611093</v>
      </c>
      <c r="L3805" s="0" t="s">
        <v>3687</v>
      </c>
      <c r="N3805" s="0" t="n">
        <v>24</v>
      </c>
      <c r="O3805" s="60" t="n">
        <v>129.95</v>
      </c>
    </row>
    <row r="3806" customFormat="false" ht="15" hidden="false" customHeight="false" outlineLevel="0" collapsed="false">
      <c r="A3806" s="0" t="n">
        <v>3</v>
      </c>
      <c r="B3806" s="59" t="n">
        <v>46247</v>
      </c>
      <c r="C3806" s="0" t="n">
        <v>11</v>
      </c>
      <c r="D3806" s="0" t="s">
        <v>2126</v>
      </c>
      <c r="E3806" s="0" t="n">
        <v>1657</v>
      </c>
      <c r="F3806" s="0" t="s">
        <v>257</v>
      </c>
      <c r="I3806" s="0" t="n">
        <v>297049</v>
      </c>
      <c r="J3806" s="0" t="n">
        <v>104845</v>
      </c>
      <c r="K3806" s="0" t="n">
        <v>70330909229</v>
      </c>
      <c r="L3806" s="0" t="s">
        <v>2557</v>
      </c>
      <c r="N3806" s="0" t="n">
        <v>60</v>
      </c>
      <c r="O3806" s="60" t="n">
        <v>249.75</v>
      </c>
    </row>
    <row r="3807" customFormat="false" ht="15" hidden="false" customHeight="false" outlineLevel="0" collapsed="false">
      <c r="A3807" s="0" t="n">
        <v>3</v>
      </c>
      <c r="B3807" s="59" t="n">
        <v>46247</v>
      </c>
      <c r="C3807" s="0" t="n">
        <v>11</v>
      </c>
      <c r="D3807" s="0" t="s">
        <v>2126</v>
      </c>
      <c r="E3807" s="0" t="n">
        <v>1657</v>
      </c>
      <c r="F3807" s="0" t="s">
        <v>257</v>
      </c>
      <c r="I3807" s="0" t="n">
        <v>297049</v>
      </c>
      <c r="J3807" s="0" t="n">
        <v>108113</v>
      </c>
      <c r="K3807" s="0" t="n">
        <v>7896050500071</v>
      </c>
      <c r="L3807" s="0" t="s">
        <v>3688</v>
      </c>
      <c r="N3807" s="0" t="n">
        <v>12</v>
      </c>
      <c r="O3807" s="60" t="n">
        <v>74.95</v>
      </c>
    </row>
    <row r="3808" customFormat="false" ht="15" hidden="false" customHeight="false" outlineLevel="0" collapsed="false">
      <c r="A3808" s="0" t="n">
        <v>3</v>
      </c>
      <c r="B3808" s="59" t="n">
        <v>46247</v>
      </c>
      <c r="C3808" s="0" t="n">
        <v>11</v>
      </c>
      <c r="D3808" s="0" t="s">
        <v>2126</v>
      </c>
      <c r="E3808" s="0" t="n">
        <v>1657</v>
      </c>
      <c r="F3808" s="0" t="s">
        <v>257</v>
      </c>
      <c r="I3808" s="0" t="n">
        <v>297049</v>
      </c>
      <c r="J3808" s="0" t="n">
        <v>108996</v>
      </c>
      <c r="K3808" s="0" t="n">
        <v>7891200007899</v>
      </c>
      <c r="L3808" s="0" t="s">
        <v>3689</v>
      </c>
      <c r="N3808" s="0" t="n">
        <v>12</v>
      </c>
      <c r="O3808" s="60" t="n">
        <v>94.95</v>
      </c>
    </row>
    <row r="3809" customFormat="false" ht="15" hidden="false" customHeight="false" outlineLevel="0" collapsed="false">
      <c r="A3809" s="0" t="n">
        <v>3</v>
      </c>
      <c r="B3809" s="59" t="n">
        <v>46247</v>
      </c>
      <c r="C3809" s="0" t="n">
        <v>11</v>
      </c>
      <c r="D3809" s="0" t="s">
        <v>2126</v>
      </c>
      <c r="E3809" s="0" t="n">
        <v>1657</v>
      </c>
      <c r="F3809" s="0" t="s">
        <v>257</v>
      </c>
      <c r="I3809" s="0" t="n">
        <v>297049</v>
      </c>
      <c r="J3809" s="0" t="n">
        <v>110051</v>
      </c>
      <c r="K3809" s="0" t="n">
        <v>7896481130267</v>
      </c>
      <c r="L3809" s="0" t="s">
        <v>3690</v>
      </c>
      <c r="N3809" s="0" t="n">
        <v>10</v>
      </c>
      <c r="O3809" s="60" t="n">
        <v>45.49</v>
      </c>
    </row>
    <row r="3810" customFormat="false" ht="15" hidden="false" customHeight="false" outlineLevel="0" collapsed="false">
      <c r="A3810" s="0" t="n">
        <v>3</v>
      </c>
      <c r="B3810" s="59" t="n">
        <v>46247</v>
      </c>
      <c r="C3810" s="0" t="n">
        <v>11</v>
      </c>
      <c r="D3810" s="0" t="s">
        <v>2126</v>
      </c>
      <c r="E3810" s="0" t="n">
        <v>1657</v>
      </c>
      <c r="F3810" s="0" t="s">
        <v>257</v>
      </c>
      <c r="I3810" s="0" t="n">
        <v>297049</v>
      </c>
      <c r="J3810" s="0" t="n">
        <v>12541</v>
      </c>
      <c r="K3810" s="0" t="n">
        <v>7896180782392</v>
      </c>
      <c r="L3810" s="0" t="s">
        <v>3691</v>
      </c>
      <c r="N3810" s="0" t="n">
        <v>48</v>
      </c>
      <c r="O3810" s="60" t="n">
        <v>159.8</v>
      </c>
    </row>
    <row r="3811" customFormat="false" ht="15" hidden="false" customHeight="false" outlineLevel="0" collapsed="false">
      <c r="A3811" s="0" t="n">
        <v>3</v>
      </c>
      <c r="B3811" s="59" t="n">
        <v>46247</v>
      </c>
      <c r="C3811" s="0" t="n">
        <v>11</v>
      </c>
      <c r="D3811" s="0" t="s">
        <v>2126</v>
      </c>
      <c r="E3811" s="0" t="n">
        <v>1657</v>
      </c>
      <c r="F3811" s="0" t="s">
        <v>257</v>
      </c>
      <c r="I3811" s="0" t="n">
        <v>297049</v>
      </c>
      <c r="J3811" s="0" t="n">
        <v>12703</v>
      </c>
      <c r="K3811" s="0" t="n">
        <v>70330710221</v>
      </c>
      <c r="L3811" s="0" t="s">
        <v>2559</v>
      </c>
      <c r="N3811" s="0" t="n">
        <v>40</v>
      </c>
      <c r="O3811" s="60" t="n">
        <v>119.8</v>
      </c>
    </row>
    <row r="3812" customFormat="false" ht="15" hidden="false" customHeight="false" outlineLevel="0" collapsed="false">
      <c r="A3812" s="0" t="n">
        <v>3</v>
      </c>
      <c r="B3812" s="59" t="n">
        <v>46247</v>
      </c>
      <c r="C3812" s="0" t="n">
        <v>11</v>
      </c>
      <c r="D3812" s="0" t="s">
        <v>2126</v>
      </c>
      <c r="E3812" s="0" t="n">
        <v>1657</v>
      </c>
      <c r="F3812" s="0" t="s">
        <v>257</v>
      </c>
      <c r="I3812" s="0" t="n">
        <v>297049</v>
      </c>
      <c r="J3812" s="0" t="n">
        <v>15397</v>
      </c>
      <c r="K3812" s="0" t="n">
        <v>7898927045012</v>
      </c>
      <c r="L3812" s="0" t="s">
        <v>3037</v>
      </c>
      <c r="N3812" s="0" t="n">
        <v>30</v>
      </c>
      <c r="O3812" s="60" t="n">
        <v>119.9</v>
      </c>
    </row>
    <row r="3813" customFormat="false" ht="15" hidden="false" customHeight="false" outlineLevel="0" collapsed="false">
      <c r="A3813" s="0" t="n">
        <v>3</v>
      </c>
      <c r="B3813" s="59" t="n">
        <v>46247</v>
      </c>
      <c r="C3813" s="0" t="n">
        <v>11</v>
      </c>
      <c r="D3813" s="0" t="s">
        <v>2126</v>
      </c>
      <c r="E3813" s="0" t="n">
        <v>1657</v>
      </c>
      <c r="F3813" s="0" t="s">
        <v>257</v>
      </c>
      <c r="I3813" s="0" t="n">
        <v>297049</v>
      </c>
      <c r="J3813" s="0" t="n">
        <v>18957</v>
      </c>
      <c r="K3813" s="0" t="n">
        <v>7896072902921</v>
      </c>
      <c r="L3813" s="0" t="s">
        <v>3692</v>
      </c>
      <c r="N3813" s="0" t="n">
        <v>12</v>
      </c>
      <c r="O3813" s="60" t="n">
        <v>139.95</v>
      </c>
    </row>
    <row r="3814" customFormat="false" ht="15" hidden="false" customHeight="false" outlineLevel="0" collapsed="false">
      <c r="A3814" s="0" t="n">
        <v>3</v>
      </c>
      <c r="B3814" s="59" t="n">
        <v>46247</v>
      </c>
      <c r="C3814" s="0" t="n">
        <v>11</v>
      </c>
      <c r="D3814" s="0" t="s">
        <v>2126</v>
      </c>
      <c r="E3814" s="0" t="n">
        <v>1657</v>
      </c>
      <c r="F3814" s="0" t="s">
        <v>257</v>
      </c>
      <c r="I3814" s="0" t="n">
        <v>297049</v>
      </c>
      <c r="J3814" s="0" t="n">
        <v>21479</v>
      </c>
      <c r="K3814" s="0" t="n">
        <v>7898956358077</v>
      </c>
      <c r="L3814" s="0" t="s">
        <v>3693</v>
      </c>
      <c r="N3814" s="0" t="n">
        <v>24</v>
      </c>
      <c r="O3814" s="60" t="n">
        <v>205.9</v>
      </c>
    </row>
    <row r="3815" customFormat="false" ht="15" hidden="false" customHeight="false" outlineLevel="0" collapsed="false">
      <c r="A3815" s="0" t="n">
        <v>3</v>
      </c>
      <c r="B3815" s="59" t="n">
        <v>46247</v>
      </c>
      <c r="C3815" s="0" t="n">
        <v>11</v>
      </c>
      <c r="D3815" s="0" t="s">
        <v>2126</v>
      </c>
      <c r="E3815" s="0" t="n">
        <v>1657</v>
      </c>
      <c r="F3815" s="0" t="s">
        <v>257</v>
      </c>
      <c r="I3815" s="0" t="n">
        <v>297049</v>
      </c>
      <c r="J3815" s="0" t="n">
        <v>21781</v>
      </c>
      <c r="K3815" s="0" t="n">
        <v>7896547500171</v>
      </c>
      <c r="L3815" s="0" t="s">
        <v>3694</v>
      </c>
      <c r="N3815" s="0" t="n">
        <v>12</v>
      </c>
      <c r="O3815" s="60" t="n">
        <v>51.95</v>
      </c>
    </row>
    <row r="3816" customFormat="false" ht="15" hidden="false" customHeight="false" outlineLevel="0" collapsed="false">
      <c r="A3816" s="0" t="n">
        <v>3</v>
      </c>
      <c r="B3816" s="59" t="n">
        <v>46247</v>
      </c>
      <c r="C3816" s="0" t="n">
        <v>11</v>
      </c>
      <c r="D3816" s="0" t="s">
        <v>2126</v>
      </c>
      <c r="E3816" s="0" t="n">
        <v>1657</v>
      </c>
      <c r="F3816" s="0" t="s">
        <v>257</v>
      </c>
      <c r="I3816" s="0" t="n">
        <v>297049</v>
      </c>
      <c r="J3816" s="0" t="n">
        <v>27196</v>
      </c>
      <c r="K3816" s="0" t="n">
        <v>7896180783795</v>
      </c>
      <c r="L3816" s="0" t="s">
        <v>3695</v>
      </c>
      <c r="N3816" s="0" t="n">
        <v>12</v>
      </c>
      <c r="O3816" s="60" t="n">
        <v>104.95</v>
      </c>
    </row>
    <row r="3817" customFormat="false" ht="15" hidden="false" customHeight="false" outlineLevel="0" collapsed="false">
      <c r="A3817" s="0" t="n">
        <v>3</v>
      </c>
      <c r="B3817" s="59" t="n">
        <v>46247</v>
      </c>
      <c r="C3817" s="0" t="n">
        <v>11</v>
      </c>
      <c r="D3817" s="0" t="s">
        <v>2126</v>
      </c>
      <c r="E3817" s="0" t="n">
        <v>1657</v>
      </c>
      <c r="F3817" s="0" t="s">
        <v>257</v>
      </c>
      <c r="I3817" s="0" t="n">
        <v>297049</v>
      </c>
      <c r="J3817" s="0" t="n">
        <v>29497</v>
      </c>
      <c r="K3817" s="0" t="n">
        <v>7891030300207</v>
      </c>
      <c r="L3817" s="0" t="s">
        <v>3696</v>
      </c>
      <c r="N3817" s="0" t="n">
        <v>54</v>
      </c>
      <c r="O3817" s="60" t="n">
        <v>229.9</v>
      </c>
    </row>
    <row r="3818" customFormat="false" ht="15" hidden="false" customHeight="false" outlineLevel="0" collapsed="false">
      <c r="A3818" s="0" t="n">
        <v>3</v>
      </c>
      <c r="B3818" s="59" t="n">
        <v>46247</v>
      </c>
      <c r="C3818" s="0" t="n">
        <v>11</v>
      </c>
      <c r="D3818" s="0" t="s">
        <v>2126</v>
      </c>
      <c r="E3818" s="0" t="n">
        <v>1657</v>
      </c>
      <c r="F3818" s="0" t="s">
        <v>257</v>
      </c>
      <c r="I3818" s="0" t="n">
        <v>297049</v>
      </c>
      <c r="J3818" s="0" t="n">
        <v>31312</v>
      </c>
      <c r="K3818" s="0" t="n">
        <v>7891030300306</v>
      </c>
      <c r="L3818" s="0" t="s">
        <v>3697</v>
      </c>
      <c r="N3818" s="0" t="n">
        <v>135</v>
      </c>
      <c r="O3818" s="60" t="n">
        <v>258.5</v>
      </c>
    </row>
    <row r="3819" customFormat="false" ht="15" hidden="false" customHeight="false" outlineLevel="0" collapsed="false">
      <c r="A3819" s="0" t="n">
        <v>3</v>
      </c>
      <c r="B3819" s="59" t="n">
        <v>46247</v>
      </c>
      <c r="C3819" s="0" t="n">
        <v>11</v>
      </c>
      <c r="D3819" s="0" t="s">
        <v>2126</v>
      </c>
      <c r="E3819" s="0" t="n">
        <v>1657</v>
      </c>
      <c r="F3819" s="0" t="s">
        <v>257</v>
      </c>
      <c r="I3819" s="0" t="n">
        <v>297049</v>
      </c>
      <c r="J3819" s="0" t="n">
        <v>34936</v>
      </c>
      <c r="K3819" s="0" t="n">
        <v>7898916462127</v>
      </c>
      <c r="L3819" s="0" t="s">
        <v>3698</v>
      </c>
      <c r="N3819" s="0" t="n">
        <v>80</v>
      </c>
      <c r="O3819" s="60" t="n">
        <v>215.8</v>
      </c>
    </row>
    <row r="3820" customFormat="false" ht="15" hidden="false" customHeight="false" outlineLevel="0" collapsed="false">
      <c r="A3820" s="0" t="n">
        <v>3</v>
      </c>
      <c r="B3820" s="59" t="n">
        <v>46247</v>
      </c>
      <c r="C3820" s="0" t="n">
        <v>11</v>
      </c>
      <c r="D3820" s="0" t="s">
        <v>2126</v>
      </c>
      <c r="E3820" s="0" t="n">
        <v>1657</v>
      </c>
      <c r="F3820" s="0" t="s">
        <v>257</v>
      </c>
      <c r="I3820" s="0" t="n">
        <v>297049</v>
      </c>
      <c r="J3820" s="0" t="n">
        <v>41880</v>
      </c>
      <c r="K3820" s="0" t="n">
        <v>70330631328</v>
      </c>
      <c r="L3820" s="0" t="s">
        <v>2560</v>
      </c>
      <c r="N3820" s="0" t="n">
        <v>60</v>
      </c>
      <c r="O3820" s="60" t="n">
        <v>174.75</v>
      </c>
    </row>
    <row r="3821" customFormat="false" ht="15" hidden="false" customHeight="false" outlineLevel="0" collapsed="false">
      <c r="A3821" s="0" t="n">
        <v>3</v>
      </c>
      <c r="B3821" s="59" t="n">
        <v>46247</v>
      </c>
      <c r="C3821" s="0" t="n">
        <v>11</v>
      </c>
      <c r="D3821" s="0" t="s">
        <v>2126</v>
      </c>
      <c r="E3821" s="0" t="n">
        <v>1657</v>
      </c>
      <c r="F3821" s="0" t="s">
        <v>257</v>
      </c>
      <c r="I3821" s="0" t="n">
        <v>297049</v>
      </c>
      <c r="J3821" s="0" t="n">
        <v>48072</v>
      </c>
      <c r="K3821" s="0" t="n">
        <v>7896090100101</v>
      </c>
      <c r="L3821" s="0" t="s">
        <v>3699</v>
      </c>
      <c r="N3821" s="0" t="n">
        <v>100</v>
      </c>
      <c r="O3821" s="60" t="n">
        <v>129.75</v>
      </c>
    </row>
    <row r="3822" customFormat="false" ht="15" hidden="false" customHeight="false" outlineLevel="0" collapsed="false">
      <c r="A3822" s="0" t="n">
        <v>3</v>
      </c>
      <c r="B3822" s="59" t="n">
        <v>46247</v>
      </c>
      <c r="C3822" s="0" t="n">
        <v>11</v>
      </c>
      <c r="D3822" s="0" t="s">
        <v>2126</v>
      </c>
      <c r="E3822" s="0" t="n">
        <v>1657</v>
      </c>
      <c r="F3822" s="0" t="s">
        <v>257</v>
      </c>
      <c r="I3822" s="0" t="n">
        <v>297049</v>
      </c>
      <c r="J3822" s="0" t="n">
        <v>64788</v>
      </c>
      <c r="K3822" s="0" t="n">
        <v>7898029650022</v>
      </c>
      <c r="L3822" s="0" t="s">
        <v>3265</v>
      </c>
      <c r="N3822" s="0" t="n">
        <v>24</v>
      </c>
      <c r="O3822" s="60" t="n">
        <v>55.95</v>
      </c>
    </row>
    <row r="3823" customFormat="false" ht="15" hidden="false" customHeight="false" outlineLevel="0" collapsed="false">
      <c r="A3823" s="0" t="n">
        <v>3</v>
      </c>
      <c r="B3823" s="59" t="n">
        <v>46247</v>
      </c>
      <c r="C3823" s="0" t="n">
        <v>11</v>
      </c>
      <c r="D3823" s="0" t="s">
        <v>2126</v>
      </c>
      <c r="E3823" s="0" t="n">
        <v>1657</v>
      </c>
      <c r="F3823" s="0" t="s">
        <v>257</v>
      </c>
      <c r="I3823" s="0" t="n">
        <v>297049</v>
      </c>
      <c r="J3823" s="0" t="n">
        <v>77034</v>
      </c>
      <c r="K3823" s="0" t="n">
        <v>27896104993891</v>
      </c>
      <c r="L3823" s="0" t="s">
        <v>3700</v>
      </c>
      <c r="N3823" s="0" t="n">
        <v>24</v>
      </c>
      <c r="O3823" s="60" t="n">
        <v>111.9</v>
      </c>
    </row>
    <row r="3824" customFormat="false" ht="15" hidden="false" customHeight="false" outlineLevel="0" collapsed="false">
      <c r="A3824" s="0" t="n">
        <v>3</v>
      </c>
      <c r="B3824" s="59" t="n">
        <v>46247</v>
      </c>
      <c r="C3824" s="0" t="n">
        <v>11</v>
      </c>
      <c r="D3824" s="0" t="s">
        <v>2126</v>
      </c>
      <c r="E3824" s="0" t="n">
        <v>1616</v>
      </c>
      <c r="F3824" s="0" t="s">
        <v>699</v>
      </c>
      <c r="I3824" s="0" t="n">
        <v>654077</v>
      </c>
      <c r="J3824" s="0" t="n">
        <v>17883</v>
      </c>
      <c r="K3824" s="0" t="n">
        <v>7898142853720</v>
      </c>
      <c r="L3824" s="0" t="s">
        <v>3701</v>
      </c>
      <c r="N3824" s="0" t="n">
        <v>12</v>
      </c>
      <c r="O3824" s="60" t="n">
        <v>37.7</v>
      </c>
    </row>
    <row r="3825" customFormat="false" ht="15" hidden="false" customHeight="false" outlineLevel="0" collapsed="false">
      <c r="A3825" s="0" t="n">
        <v>3</v>
      </c>
      <c r="B3825" s="59" t="n">
        <v>46247</v>
      </c>
      <c r="C3825" s="0" t="n">
        <v>11</v>
      </c>
      <c r="D3825" s="0" t="s">
        <v>2126</v>
      </c>
      <c r="E3825" s="0" t="n">
        <v>1616</v>
      </c>
      <c r="F3825" s="0" t="s">
        <v>699</v>
      </c>
      <c r="I3825" s="0" t="n">
        <v>654077</v>
      </c>
      <c r="J3825" s="0" t="n">
        <v>26648</v>
      </c>
      <c r="K3825" s="0" t="n">
        <v>7896058257670</v>
      </c>
      <c r="L3825" s="0" t="s">
        <v>3702</v>
      </c>
      <c r="N3825" s="0" t="n">
        <v>25</v>
      </c>
      <c r="O3825" s="60" t="n">
        <v>36.5</v>
      </c>
    </row>
    <row r="3826" customFormat="false" ht="15" hidden="false" customHeight="false" outlineLevel="0" collapsed="false">
      <c r="A3826" s="0" t="n">
        <v>3</v>
      </c>
      <c r="B3826" s="59" t="n">
        <v>46247</v>
      </c>
      <c r="C3826" s="0" t="n">
        <v>11</v>
      </c>
      <c r="D3826" s="0" t="s">
        <v>2126</v>
      </c>
      <c r="E3826" s="0" t="n">
        <v>1616</v>
      </c>
      <c r="F3826" s="0" t="s">
        <v>699</v>
      </c>
      <c r="I3826" s="0" t="n">
        <v>654077</v>
      </c>
      <c r="J3826" s="0" t="n">
        <v>26649</v>
      </c>
      <c r="K3826" s="0" t="n">
        <v>7896058257656</v>
      </c>
      <c r="L3826" s="0" t="s">
        <v>3703</v>
      </c>
      <c r="N3826" s="0" t="n">
        <v>25</v>
      </c>
      <c r="O3826" s="60" t="n">
        <v>38.75</v>
      </c>
    </row>
    <row r="3827" customFormat="false" ht="15" hidden="false" customHeight="false" outlineLevel="0" collapsed="false">
      <c r="A3827" s="0" t="n">
        <v>3</v>
      </c>
      <c r="B3827" s="59" t="n">
        <v>46247</v>
      </c>
      <c r="C3827" s="0" t="n">
        <v>11</v>
      </c>
      <c r="D3827" s="0" t="s">
        <v>2126</v>
      </c>
      <c r="E3827" s="0" t="n">
        <v>1616</v>
      </c>
      <c r="F3827" s="0" t="s">
        <v>699</v>
      </c>
      <c r="I3827" s="0" t="n">
        <v>654077</v>
      </c>
      <c r="J3827" s="0" t="n">
        <v>27322</v>
      </c>
      <c r="K3827" s="0" t="n">
        <v>7896058257663</v>
      </c>
      <c r="L3827" s="0" t="s">
        <v>3704</v>
      </c>
      <c r="N3827" s="0" t="n">
        <v>25</v>
      </c>
      <c r="O3827" s="60" t="n">
        <v>38.75</v>
      </c>
    </row>
    <row r="3828" customFormat="false" ht="15" hidden="false" customHeight="false" outlineLevel="0" collapsed="false">
      <c r="A3828" s="0" t="n">
        <v>3</v>
      </c>
      <c r="B3828" s="59" t="n">
        <v>46247</v>
      </c>
      <c r="C3828" s="0" t="n">
        <v>11</v>
      </c>
      <c r="D3828" s="0" t="s">
        <v>2126</v>
      </c>
      <c r="E3828" s="0" t="n">
        <v>1616</v>
      </c>
      <c r="F3828" s="0" t="s">
        <v>699</v>
      </c>
      <c r="I3828" s="0" t="n">
        <v>654077</v>
      </c>
      <c r="J3828" s="0" t="n">
        <v>29289</v>
      </c>
      <c r="K3828" s="0" t="n">
        <v>7896058256406</v>
      </c>
      <c r="L3828" s="0" t="s">
        <v>3705</v>
      </c>
      <c r="N3828" s="0" t="n">
        <v>42</v>
      </c>
      <c r="O3828" s="60" t="n">
        <v>84</v>
      </c>
    </row>
    <row r="3829" customFormat="false" ht="15" hidden="false" customHeight="false" outlineLevel="0" collapsed="false">
      <c r="A3829" s="0" t="n">
        <v>3</v>
      </c>
      <c r="B3829" s="59" t="n">
        <v>46247</v>
      </c>
      <c r="C3829" s="0" t="n">
        <v>11</v>
      </c>
      <c r="D3829" s="0" t="s">
        <v>2126</v>
      </c>
      <c r="E3829" s="0" t="n">
        <v>1616</v>
      </c>
      <c r="F3829" s="0" t="s">
        <v>699</v>
      </c>
      <c r="I3829" s="0" t="n">
        <v>654077</v>
      </c>
      <c r="J3829" s="0" t="n">
        <v>31641</v>
      </c>
      <c r="K3829" s="0" t="n">
        <v>7898142853638</v>
      </c>
      <c r="L3829" s="0" t="s">
        <v>3706</v>
      </c>
      <c r="N3829" s="0" t="n">
        <v>10</v>
      </c>
      <c r="O3829" s="60" t="n">
        <v>34.4</v>
      </c>
    </row>
    <row r="3830" customFormat="false" ht="15" hidden="false" customHeight="false" outlineLevel="0" collapsed="false">
      <c r="A3830" s="0" t="n">
        <v>3</v>
      </c>
      <c r="B3830" s="59" t="n">
        <v>46247</v>
      </c>
      <c r="C3830" s="0" t="n">
        <v>11</v>
      </c>
      <c r="D3830" s="0" t="s">
        <v>2126</v>
      </c>
      <c r="E3830" s="0" t="n">
        <v>1616</v>
      </c>
      <c r="F3830" s="0" t="s">
        <v>699</v>
      </c>
      <c r="I3830" s="0" t="n">
        <v>654077</v>
      </c>
      <c r="J3830" s="0" t="n">
        <v>45713</v>
      </c>
      <c r="K3830" s="0" t="n">
        <v>7896058200485</v>
      </c>
      <c r="L3830" s="0" t="s">
        <v>3707</v>
      </c>
      <c r="N3830" s="0" t="n">
        <v>30</v>
      </c>
      <c r="O3830" s="60" t="n">
        <v>89.7</v>
      </c>
    </row>
    <row r="3831" customFormat="false" ht="15" hidden="false" customHeight="false" outlineLevel="0" collapsed="false">
      <c r="A3831" s="0" t="n">
        <v>3</v>
      </c>
      <c r="B3831" s="59" t="n">
        <v>46247</v>
      </c>
      <c r="C3831" s="0" t="n">
        <v>11</v>
      </c>
      <c r="D3831" s="0" t="s">
        <v>2126</v>
      </c>
      <c r="E3831" s="0" t="n">
        <v>1616</v>
      </c>
      <c r="F3831" s="0" t="s">
        <v>699</v>
      </c>
      <c r="I3831" s="0" t="n">
        <v>654077</v>
      </c>
      <c r="J3831" s="0" t="n">
        <v>45714</v>
      </c>
      <c r="K3831" s="0" t="n">
        <v>7896058200492</v>
      </c>
      <c r="L3831" s="0" t="s">
        <v>3708</v>
      </c>
      <c r="N3831" s="0" t="n">
        <v>30</v>
      </c>
      <c r="O3831" s="60" t="n">
        <v>89.7</v>
      </c>
    </row>
    <row r="3832" customFormat="false" ht="15" hidden="false" customHeight="false" outlineLevel="0" collapsed="false">
      <c r="A3832" s="0" t="n">
        <v>3</v>
      </c>
      <c r="B3832" s="59" t="n">
        <v>46247</v>
      </c>
      <c r="C3832" s="0" t="n">
        <v>11</v>
      </c>
      <c r="D3832" s="0" t="s">
        <v>2126</v>
      </c>
      <c r="E3832" s="0" t="n">
        <v>1616</v>
      </c>
      <c r="F3832" s="0" t="s">
        <v>699</v>
      </c>
      <c r="I3832" s="0" t="n">
        <v>654077</v>
      </c>
      <c r="J3832" s="0" t="n">
        <v>47296</v>
      </c>
      <c r="K3832" s="0" t="n">
        <v>7891118025664</v>
      </c>
      <c r="L3832" s="0" t="s">
        <v>3709</v>
      </c>
      <c r="N3832" s="0" t="n">
        <v>24</v>
      </c>
      <c r="O3832" s="60" t="n">
        <v>42</v>
      </c>
    </row>
    <row r="3833" customFormat="false" ht="15" hidden="false" customHeight="false" outlineLevel="0" collapsed="false">
      <c r="A3833" s="0" t="n">
        <v>3</v>
      </c>
      <c r="B3833" s="59" t="n">
        <v>46247</v>
      </c>
      <c r="C3833" s="0" t="n">
        <v>11</v>
      </c>
      <c r="D3833" s="0" t="s">
        <v>2126</v>
      </c>
      <c r="E3833" s="0" t="n">
        <v>1616</v>
      </c>
      <c r="F3833" s="0" t="s">
        <v>699</v>
      </c>
      <c r="I3833" s="0" t="n">
        <v>654077</v>
      </c>
      <c r="J3833" s="0" t="n">
        <v>48988</v>
      </c>
      <c r="K3833" s="0" t="n">
        <v>7898142863132</v>
      </c>
      <c r="L3833" s="0" t="s">
        <v>3710</v>
      </c>
      <c r="N3833" s="0" t="n">
        <v>12</v>
      </c>
      <c r="O3833" s="60" t="n">
        <v>35.72</v>
      </c>
    </row>
    <row r="3834" customFormat="false" ht="15" hidden="false" customHeight="false" outlineLevel="0" collapsed="false">
      <c r="A3834" s="0" t="n">
        <v>3</v>
      </c>
      <c r="B3834" s="59" t="n">
        <v>46247</v>
      </c>
      <c r="C3834" s="0" t="n">
        <v>11</v>
      </c>
      <c r="D3834" s="0" t="s">
        <v>2126</v>
      </c>
      <c r="E3834" s="0" t="n">
        <v>1616</v>
      </c>
      <c r="F3834" s="0" t="s">
        <v>699</v>
      </c>
      <c r="I3834" s="0" t="n">
        <v>654077</v>
      </c>
      <c r="J3834" s="0" t="n">
        <v>50281</v>
      </c>
      <c r="K3834" s="0" t="n">
        <v>7891022860863</v>
      </c>
      <c r="L3834" s="0" t="s">
        <v>3711</v>
      </c>
      <c r="N3834" s="0" t="n">
        <v>6</v>
      </c>
      <c r="O3834" s="60" t="n">
        <v>23.94</v>
      </c>
    </row>
    <row r="3835" customFormat="false" ht="15" hidden="false" customHeight="false" outlineLevel="0" collapsed="false">
      <c r="A3835" s="0" t="n">
        <v>3</v>
      </c>
      <c r="B3835" s="59" t="n">
        <v>46247</v>
      </c>
      <c r="C3835" s="0" t="n">
        <v>11</v>
      </c>
      <c r="D3835" s="0" t="s">
        <v>2126</v>
      </c>
      <c r="E3835" s="0" t="n">
        <v>1616</v>
      </c>
      <c r="F3835" s="0" t="s">
        <v>699</v>
      </c>
      <c r="I3835" s="0" t="n">
        <v>654077</v>
      </c>
      <c r="J3835" s="0" t="n">
        <v>52407</v>
      </c>
      <c r="K3835" s="0" t="n">
        <v>7891022860870</v>
      </c>
      <c r="L3835" s="0" t="s">
        <v>3712</v>
      </c>
      <c r="N3835" s="0" t="n">
        <v>6</v>
      </c>
      <c r="O3835" s="60" t="n">
        <v>23.94</v>
      </c>
    </row>
    <row r="3836" customFormat="false" ht="15" hidden="false" customHeight="false" outlineLevel="0" collapsed="false">
      <c r="A3836" s="0" t="n">
        <v>3</v>
      </c>
      <c r="B3836" s="59" t="n">
        <v>46247</v>
      </c>
      <c r="C3836" s="0" t="n">
        <v>11</v>
      </c>
      <c r="D3836" s="0" t="s">
        <v>2126</v>
      </c>
      <c r="E3836" s="0" t="n">
        <v>1616</v>
      </c>
      <c r="F3836" s="0" t="s">
        <v>699</v>
      </c>
      <c r="I3836" s="0" t="n">
        <v>654077</v>
      </c>
      <c r="J3836" s="0" t="n">
        <v>52408</v>
      </c>
      <c r="K3836" s="0" t="n">
        <v>7891022860887</v>
      </c>
      <c r="L3836" s="0" t="s">
        <v>3713</v>
      </c>
      <c r="N3836" s="0" t="n">
        <v>6</v>
      </c>
      <c r="O3836" s="60" t="n">
        <v>23.94</v>
      </c>
    </row>
    <row r="3837" customFormat="false" ht="15" hidden="false" customHeight="false" outlineLevel="0" collapsed="false">
      <c r="A3837" s="0" t="n">
        <v>3</v>
      </c>
      <c r="B3837" s="59" t="n">
        <v>46247</v>
      </c>
      <c r="C3837" s="0" t="n">
        <v>11</v>
      </c>
      <c r="D3837" s="0" t="s">
        <v>2126</v>
      </c>
      <c r="E3837" s="0" t="n">
        <v>1616</v>
      </c>
      <c r="F3837" s="0" t="s">
        <v>699</v>
      </c>
      <c r="I3837" s="0" t="n">
        <v>654077</v>
      </c>
      <c r="J3837" s="0" t="n">
        <v>78487</v>
      </c>
      <c r="K3837" s="0" t="n">
        <v>7891022867794</v>
      </c>
      <c r="L3837" s="0" t="s">
        <v>3714</v>
      </c>
      <c r="N3837" s="0" t="n">
        <v>6</v>
      </c>
      <c r="O3837" s="60" t="n">
        <v>23.94</v>
      </c>
    </row>
    <row r="3838" customFormat="false" ht="15" hidden="false" customHeight="false" outlineLevel="0" collapsed="false">
      <c r="A3838" s="0" t="n">
        <v>3</v>
      </c>
      <c r="B3838" s="59" t="n">
        <v>46247</v>
      </c>
      <c r="C3838" s="0" t="n">
        <v>11</v>
      </c>
      <c r="D3838" s="0" t="s">
        <v>2126</v>
      </c>
      <c r="E3838" s="0" t="n">
        <v>1642</v>
      </c>
      <c r="F3838" s="0" t="s">
        <v>276</v>
      </c>
      <c r="I3838" s="0" t="n">
        <v>1036555</v>
      </c>
      <c r="J3838" s="0" t="n">
        <v>105780</v>
      </c>
      <c r="K3838" s="0" t="n">
        <v>7896289210017</v>
      </c>
      <c r="L3838" s="0" t="s">
        <v>2186</v>
      </c>
      <c r="N3838" s="0" t="n">
        <v>10</v>
      </c>
      <c r="O3838" s="60" t="n">
        <v>106.7</v>
      </c>
    </row>
    <row r="3839" customFormat="false" ht="15" hidden="false" customHeight="false" outlineLevel="0" collapsed="false">
      <c r="A3839" s="0" t="n">
        <v>3</v>
      </c>
      <c r="B3839" s="59" t="n">
        <v>46247</v>
      </c>
      <c r="C3839" s="0" t="n">
        <v>11</v>
      </c>
      <c r="D3839" s="0" t="s">
        <v>2126</v>
      </c>
      <c r="E3839" s="0" t="n">
        <v>1642</v>
      </c>
      <c r="F3839" s="0" t="s">
        <v>276</v>
      </c>
      <c r="I3839" s="0" t="n">
        <v>1036555</v>
      </c>
      <c r="J3839" s="0" t="n">
        <v>105782</v>
      </c>
      <c r="K3839" s="0" t="n">
        <v>7896289210352</v>
      </c>
      <c r="L3839" s="0" t="s">
        <v>2187</v>
      </c>
      <c r="N3839" s="0" t="n">
        <v>10</v>
      </c>
      <c r="O3839" s="60" t="n">
        <v>68.6</v>
      </c>
    </row>
    <row r="3840" customFormat="false" ht="15" hidden="false" customHeight="false" outlineLevel="0" collapsed="false">
      <c r="A3840" s="0" t="n">
        <v>3</v>
      </c>
      <c r="B3840" s="59" t="n">
        <v>46247</v>
      </c>
      <c r="C3840" s="0" t="n">
        <v>11</v>
      </c>
      <c r="D3840" s="0" t="s">
        <v>2126</v>
      </c>
      <c r="E3840" s="0" t="n">
        <v>1642</v>
      </c>
      <c r="F3840" s="0" t="s">
        <v>276</v>
      </c>
      <c r="I3840" s="0" t="n">
        <v>1036555</v>
      </c>
      <c r="J3840" s="0" t="n">
        <v>106079</v>
      </c>
      <c r="K3840" s="0" t="n">
        <v>7896289210130</v>
      </c>
      <c r="L3840" s="0" t="s">
        <v>2188</v>
      </c>
      <c r="N3840" s="0" t="n">
        <v>8</v>
      </c>
      <c r="O3840" s="60" t="n">
        <v>109.6</v>
      </c>
    </row>
    <row r="3841" customFormat="false" ht="15" hidden="false" customHeight="false" outlineLevel="0" collapsed="false">
      <c r="A3841" s="0" t="n">
        <v>3</v>
      </c>
      <c r="B3841" s="59" t="n">
        <v>46247</v>
      </c>
      <c r="C3841" s="0" t="n">
        <v>11</v>
      </c>
      <c r="D3841" s="0" t="s">
        <v>2126</v>
      </c>
      <c r="E3841" s="0" t="n">
        <v>1642</v>
      </c>
      <c r="F3841" s="0" t="s">
        <v>276</v>
      </c>
      <c r="I3841" s="0" t="n">
        <v>1036555</v>
      </c>
      <c r="J3841" s="0" t="n">
        <v>106274</v>
      </c>
      <c r="K3841" s="0" t="n">
        <v>7896289210086</v>
      </c>
      <c r="L3841" s="0" t="s">
        <v>2189</v>
      </c>
      <c r="N3841" s="0" t="n">
        <v>6</v>
      </c>
      <c r="O3841" s="60" t="n">
        <v>75.36</v>
      </c>
    </row>
    <row r="3842" customFormat="false" ht="15" hidden="false" customHeight="false" outlineLevel="0" collapsed="false">
      <c r="A3842" s="0" t="n">
        <v>3</v>
      </c>
      <c r="B3842" s="59" t="n">
        <v>46247</v>
      </c>
      <c r="C3842" s="0" t="n">
        <v>11</v>
      </c>
      <c r="D3842" s="0" t="s">
        <v>2126</v>
      </c>
      <c r="E3842" s="0" t="n">
        <v>1642</v>
      </c>
      <c r="F3842" s="0" t="s">
        <v>276</v>
      </c>
      <c r="I3842" s="0" t="n">
        <v>1036555</v>
      </c>
      <c r="J3842" s="0" t="n">
        <v>106280</v>
      </c>
      <c r="K3842" s="0" t="n">
        <v>7896289210062</v>
      </c>
      <c r="L3842" s="0" t="s">
        <v>2190</v>
      </c>
      <c r="N3842" s="0" t="n">
        <v>6</v>
      </c>
      <c r="O3842" s="60" t="n">
        <v>75.36</v>
      </c>
    </row>
    <row r="3843" customFormat="false" ht="15" hidden="false" customHeight="false" outlineLevel="0" collapsed="false">
      <c r="A3843" s="0" t="n">
        <v>3</v>
      </c>
      <c r="B3843" s="59" t="n">
        <v>46247</v>
      </c>
      <c r="C3843" s="0" t="n">
        <v>11</v>
      </c>
      <c r="D3843" s="0" t="s">
        <v>2126</v>
      </c>
      <c r="E3843" s="0" t="n">
        <v>1642</v>
      </c>
      <c r="F3843" s="0" t="s">
        <v>276</v>
      </c>
      <c r="I3843" s="0" t="n">
        <v>1036555</v>
      </c>
      <c r="J3843" s="0" t="n">
        <v>106407</v>
      </c>
      <c r="K3843" s="0" t="n">
        <v>7896289210031</v>
      </c>
      <c r="L3843" s="0" t="s">
        <v>2191</v>
      </c>
      <c r="N3843" s="0" t="n">
        <v>10</v>
      </c>
      <c r="O3843" s="60" t="n">
        <v>116.4</v>
      </c>
    </row>
    <row r="3844" customFormat="false" ht="15" hidden="false" customHeight="false" outlineLevel="0" collapsed="false">
      <c r="A3844" s="0" t="n">
        <v>3</v>
      </c>
      <c r="B3844" s="59" t="n">
        <v>46247</v>
      </c>
      <c r="C3844" s="0" t="n">
        <v>11</v>
      </c>
      <c r="D3844" s="0" t="s">
        <v>2126</v>
      </c>
      <c r="E3844" s="0" t="n">
        <v>1740</v>
      </c>
      <c r="F3844" s="0" t="s">
        <v>171</v>
      </c>
      <c r="I3844" s="0" t="n">
        <v>1258988</v>
      </c>
      <c r="J3844" s="0" t="n">
        <v>106130</v>
      </c>
      <c r="K3844" s="0" t="n">
        <v>7891000340004</v>
      </c>
      <c r="L3844" s="0" t="s">
        <v>2158</v>
      </c>
      <c r="N3844" s="0" t="n">
        <v>5</v>
      </c>
      <c r="O3844" s="60" t="n">
        <v>18.9</v>
      </c>
    </row>
    <row r="3845" customFormat="false" ht="15" hidden="false" customHeight="false" outlineLevel="0" collapsed="false">
      <c r="A3845" s="0" t="n">
        <v>3</v>
      </c>
      <c r="B3845" s="59" t="n">
        <v>46247</v>
      </c>
      <c r="C3845" s="0" t="n">
        <v>11</v>
      </c>
      <c r="D3845" s="0" t="s">
        <v>2126</v>
      </c>
      <c r="E3845" s="0" t="n">
        <v>1740</v>
      </c>
      <c r="F3845" s="0" t="s">
        <v>171</v>
      </c>
      <c r="I3845" s="0" t="n">
        <v>1258988</v>
      </c>
      <c r="J3845" s="0" t="n">
        <v>14218</v>
      </c>
      <c r="K3845" s="0" t="n">
        <v>7891000072974</v>
      </c>
      <c r="L3845" s="0" t="s">
        <v>3715</v>
      </c>
      <c r="N3845" s="0" t="n">
        <v>5</v>
      </c>
      <c r="O3845" s="60" t="n">
        <v>22.7</v>
      </c>
    </row>
    <row r="3846" customFormat="false" ht="15" hidden="false" customHeight="false" outlineLevel="0" collapsed="false">
      <c r="A3846" s="0" t="n">
        <v>3</v>
      </c>
      <c r="B3846" s="59" t="n">
        <v>46247</v>
      </c>
      <c r="C3846" s="0" t="n">
        <v>11</v>
      </c>
      <c r="D3846" s="0" t="s">
        <v>2126</v>
      </c>
      <c r="E3846" s="0" t="n">
        <v>1740</v>
      </c>
      <c r="F3846" s="0" t="s">
        <v>171</v>
      </c>
      <c r="I3846" s="0" t="n">
        <v>1258988</v>
      </c>
      <c r="J3846" s="0" t="n">
        <v>14284</v>
      </c>
      <c r="K3846" s="0" t="n">
        <v>7891000073018</v>
      </c>
      <c r="L3846" s="0" t="s">
        <v>3716</v>
      </c>
      <c r="N3846" s="0" t="n">
        <v>5</v>
      </c>
      <c r="O3846" s="60" t="n">
        <v>21.7</v>
      </c>
    </row>
    <row r="3847" customFormat="false" ht="15" hidden="false" customHeight="false" outlineLevel="0" collapsed="false">
      <c r="A3847" s="0" t="n">
        <v>3</v>
      </c>
      <c r="B3847" s="59" t="n">
        <v>46247</v>
      </c>
      <c r="C3847" s="0" t="n">
        <v>11</v>
      </c>
      <c r="D3847" s="0" t="s">
        <v>2126</v>
      </c>
      <c r="E3847" s="0" t="n">
        <v>1740</v>
      </c>
      <c r="F3847" s="0" t="s">
        <v>171</v>
      </c>
      <c r="I3847" s="0" t="n">
        <v>1258988</v>
      </c>
      <c r="J3847" s="0" t="n">
        <v>16602</v>
      </c>
      <c r="K3847" s="0" t="n">
        <v>7891000084649</v>
      </c>
      <c r="L3847" s="0" t="s">
        <v>2159</v>
      </c>
      <c r="N3847" s="0" t="n">
        <v>6</v>
      </c>
      <c r="O3847" s="60" t="n">
        <v>65.94</v>
      </c>
    </row>
    <row r="3848" customFormat="false" ht="15" hidden="false" customHeight="false" outlineLevel="0" collapsed="false">
      <c r="A3848" s="0" t="n">
        <v>3</v>
      </c>
      <c r="B3848" s="59" t="n">
        <v>46247</v>
      </c>
      <c r="C3848" s="0" t="n">
        <v>11</v>
      </c>
      <c r="D3848" s="0" t="s">
        <v>2126</v>
      </c>
      <c r="E3848" s="0" t="n">
        <v>1740</v>
      </c>
      <c r="F3848" s="0" t="s">
        <v>171</v>
      </c>
      <c r="I3848" s="0" t="n">
        <v>1258988</v>
      </c>
      <c r="J3848" s="0" t="n">
        <v>16644</v>
      </c>
      <c r="K3848" s="0" t="n">
        <v>7891000084663</v>
      </c>
      <c r="L3848" s="0" t="s">
        <v>2160</v>
      </c>
      <c r="N3848" s="0" t="n">
        <v>4</v>
      </c>
      <c r="O3848" s="60" t="n">
        <v>43.96</v>
      </c>
    </row>
    <row r="3849" customFormat="false" ht="15" hidden="false" customHeight="false" outlineLevel="0" collapsed="false">
      <c r="A3849" s="0" t="n">
        <v>3</v>
      </c>
      <c r="B3849" s="59" t="n">
        <v>46247</v>
      </c>
      <c r="C3849" s="0" t="n">
        <v>11</v>
      </c>
      <c r="D3849" s="0" t="s">
        <v>2126</v>
      </c>
      <c r="E3849" s="0" t="n">
        <v>1740</v>
      </c>
      <c r="F3849" s="0" t="s">
        <v>171</v>
      </c>
      <c r="I3849" s="0" t="n">
        <v>1258988</v>
      </c>
      <c r="J3849" s="0" t="n">
        <v>20583</v>
      </c>
      <c r="K3849" s="0" t="n">
        <v>7891000103852</v>
      </c>
      <c r="L3849" s="0" t="s">
        <v>2683</v>
      </c>
      <c r="N3849" s="0" t="n">
        <v>3</v>
      </c>
      <c r="O3849" s="60" t="n">
        <v>10.26</v>
      </c>
    </row>
    <row r="3850" customFormat="false" ht="15" hidden="false" customHeight="false" outlineLevel="0" collapsed="false">
      <c r="A3850" s="0" t="n">
        <v>3</v>
      </c>
      <c r="B3850" s="59" t="n">
        <v>46247</v>
      </c>
      <c r="C3850" s="0" t="n">
        <v>11</v>
      </c>
      <c r="D3850" s="0" t="s">
        <v>2126</v>
      </c>
      <c r="E3850" s="0" t="n">
        <v>1740</v>
      </c>
      <c r="F3850" s="0" t="s">
        <v>171</v>
      </c>
      <c r="I3850" s="0" t="n">
        <v>1258988</v>
      </c>
      <c r="J3850" s="0" t="n">
        <v>20584</v>
      </c>
      <c r="K3850" s="0" t="n">
        <v>7891000103876</v>
      </c>
      <c r="L3850" s="0" t="s">
        <v>2684</v>
      </c>
      <c r="N3850" s="0" t="n">
        <v>3</v>
      </c>
      <c r="O3850" s="60" t="n">
        <v>10.26</v>
      </c>
    </row>
    <row r="3851" customFormat="false" ht="15" hidden="false" customHeight="false" outlineLevel="0" collapsed="false">
      <c r="A3851" s="0" t="n">
        <v>3</v>
      </c>
      <c r="B3851" s="59" t="n">
        <v>46247</v>
      </c>
      <c r="C3851" s="0" t="n">
        <v>11</v>
      </c>
      <c r="D3851" s="0" t="s">
        <v>2126</v>
      </c>
      <c r="E3851" s="0" t="n">
        <v>1740</v>
      </c>
      <c r="F3851" s="0" t="s">
        <v>171</v>
      </c>
      <c r="I3851" s="0" t="n">
        <v>1258988</v>
      </c>
      <c r="J3851" s="0" t="n">
        <v>25112</v>
      </c>
      <c r="K3851" s="0" t="n">
        <v>7891000244425</v>
      </c>
      <c r="L3851" s="0" t="s">
        <v>2685</v>
      </c>
      <c r="N3851" s="0" t="n">
        <v>3</v>
      </c>
      <c r="O3851" s="60" t="n">
        <v>36.87</v>
      </c>
    </row>
    <row r="3852" customFormat="false" ht="15" hidden="false" customHeight="false" outlineLevel="0" collapsed="false">
      <c r="A3852" s="0" t="n">
        <v>3</v>
      </c>
      <c r="B3852" s="59" t="n">
        <v>46247</v>
      </c>
      <c r="C3852" s="0" t="n">
        <v>11</v>
      </c>
      <c r="D3852" s="0" t="s">
        <v>2126</v>
      </c>
      <c r="E3852" s="0" t="n">
        <v>1740</v>
      </c>
      <c r="F3852" s="0" t="s">
        <v>171</v>
      </c>
      <c r="I3852" s="0" t="n">
        <v>1258988</v>
      </c>
      <c r="J3852" s="0" t="n">
        <v>25113</v>
      </c>
      <c r="K3852" s="0" t="n">
        <v>7891000244265</v>
      </c>
      <c r="L3852" s="0" t="s">
        <v>3119</v>
      </c>
      <c r="N3852" s="0" t="n">
        <v>3</v>
      </c>
      <c r="O3852" s="60" t="n">
        <v>8.73</v>
      </c>
    </row>
    <row r="3853" customFormat="false" ht="15" hidden="false" customHeight="false" outlineLevel="0" collapsed="false">
      <c r="A3853" s="0" t="n">
        <v>3</v>
      </c>
      <c r="B3853" s="59" t="n">
        <v>46247</v>
      </c>
      <c r="C3853" s="0" t="n">
        <v>11</v>
      </c>
      <c r="D3853" s="0" t="s">
        <v>2126</v>
      </c>
      <c r="E3853" s="0" t="n">
        <v>1740</v>
      </c>
      <c r="F3853" s="0" t="s">
        <v>171</v>
      </c>
      <c r="I3853" s="0" t="n">
        <v>1258988</v>
      </c>
      <c r="J3853" s="0" t="n">
        <v>27874</v>
      </c>
      <c r="K3853" s="0" t="n">
        <v>7891000260609</v>
      </c>
      <c r="L3853" s="0" t="s">
        <v>3717</v>
      </c>
      <c r="N3853" s="0" t="n">
        <v>3</v>
      </c>
      <c r="O3853" s="60" t="n">
        <v>10.65</v>
      </c>
    </row>
    <row r="3854" customFormat="false" ht="15" hidden="false" customHeight="false" outlineLevel="0" collapsed="false">
      <c r="A3854" s="0" t="n">
        <v>3</v>
      </c>
      <c r="B3854" s="59" t="n">
        <v>46247</v>
      </c>
      <c r="C3854" s="0" t="n">
        <v>11</v>
      </c>
      <c r="D3854" s="0" t="s">
        <v>2126</v>
      </c>
      <c r="E3854" s="0" t="n">
        <v>1740</v>
      </c>
      <c r="F3854" s="0" t="s">
        <v>171</v>
      </c>
      <c r="I3854" s="0" t="n">
        <v>1258988</v>
      </c>
      <c r="J3854" s="0" t="n">
        <v>27878</v>
      </c>
      <c r="K3854" s="0" t="n">
        <v>7891000261026</v>
      </c>
      <c r="L3854" s="0" t="s">
        <v>2162</v>
      </c>
      <c r="N3854" s="0" t="n">
        <v>6</v>
      </c>
      <c r="O3854" s="60" t="n">
        <v>53.1</v>
      </c>
    </row>
    <row r="3855" customFormat="false" ht="15" hidden="false" customHeight="false" outlineLevel="0" collapsed="false">
      <c r="A3855" s="0" t="n">
        <v>3</v>
      </c>
      <c r="B3855" s="59" t="n">
        <v>46247</v>
      </c>
      <c r="C3855" s="0" t="n">
        <v>11</v>
      </c>
      <c r="D3855" s="0" t="s">
        <v>2126</v>
      </c>
      <c r="E3855" s="0" t="n">
        <v>1740</v>
      </c>
      <c r="F3855" s="0" t="s">
        <v>171</v>
      </c>
      <c r="I3855" s="0" t="n">
        <v>1258988</v>
      </c>
      <c r="J3855" s="0" t="n">
        <v>47788</v>
      </c>
      <c r="K3855" s="0" t="n">
        <v>7891000363256</v>
      </c>
      <c r="L3855" s="0" t="s">
        <v>2184</v>
      </c>
      <c r="N3855" s="0" t="n">
        <v>6</v>
      </c>
      <c r="O3855" s="60" t="n">
        <v>49.14</v>
      </c>
    </row>
    <row r="3856" customFormat="false" ht="15" hidden="false" customHeight="false" outlineLevel="0" collapsed="false">
      <c r="A3856" s="0" t="n">
        <v>3</v>
      </c>
      <c r="B3856" s="59" t="n">
        <v>46247</v>
      </c>
      <c r="C3856" s="0" t="n">
        <v>11</v>
      </c>
      <c r="D3856" s="0" t="s">
        <v>2126</v>
      </c>
      <c r="E3856" s="0" t="n">
        <v>1740</v>
      </c>
      <c r="F3856" s="0" t="s">
        <v>171</v>
      </c>
      <c r="I3856" s="0" t="n">
        <v>1258988</v>
      </c>
      <c r="J3856" s="0" t="n">
        <v>47983</v>
      </c>
      <c r="K3856" s="0" t="n">
        <v>7891000360323</v>
      </c>
      <c r="L3856" s="0" t="s">
        <v>3718</v>
      </c>
      <c r="N3856" s="0" t="n">
        <v>6</v>
      </c>
      <c r="O3856" s="60" t="n">
        <v>49.74</v>
      </c>
    </row>
    <row r="3857" customFormat="false" ht="15" hidden="false" customHeight="false" outlineLevel="0" collapsed="false">
      <c r="A3857" s="0" t="n">
        <v>3</v>
      </c>
      <c r="B3857" s="59" t="n">
        <v>46247</v>
      </c>
      <c r="C3857" s="0" t="n">
        <v>11</v>
      </c>
      <c r="D3857" s="0" t="s">
        <v>2126</v>
      </c>
      <c r="E3857" s="0" t="n">
        <v>1740</v>
      </c>
      <c r="F3857" s="0" t="s">
        <v>171</v>
      </c>
      <c r="I3857" s="0" t="n">
        <v>1258988</v>
      </c>
      <c r="J3857" s="0" t="n">
        <v>50424</v>
      </c>
      <c r="K3857" s="0" t="n">
        <v>7898953148169</v>
      </c>
      <c r="L3857" s="0" t="s">
        <v>2166</v>
      </c>
      <c r="N3857" s="0" t="n">
        <v>6</v>
      </c>
      <c r="O3857" s="60" t="n">
        <v>59.88</v>
      </c>
    </row>
    <row r="3858" customFormat="false" ht="15" hidden="false" customHeight="false" outlineLevel="0" collapsed="false">
      <c r="A3858" s="0" t="n">
        <v>3</v>
      </c>
      <c r="B3858" s="59" t="n">
        <v>46247</v>
      </c>
      <c r="C3858" s="0" t="n">
        <v>11</v>
      </c>
      <c r="D3858" s="0" t="s">
        <v>2126</v>
      </c>
      <c r="E3858" s="0" t="n">
        <v>1740</v>
      </c>
      <c r="F3858" s="0" t="s">
        <v>171</v>
      </c>
      <c r="I3858" s="0" t="n">
        <v>1258988</v>
      </c>
      <c r="J3858" s="0" t="n">
        <v>62472</v>
      </c>
      <c r="K3858" s="0" t="n">
        <v>7891000390078</v>
      </c>
      <c r="L3858" s="0" t="s">
        <v>3719</v>
      </c>
      <c r="N3858" s="0" t="n">
        <v>5</v>
      </c>
      <c r="O3858" s="60" t="n">
        <v>18.9</v>
      </c>
    </row>
    <row r="3859" customFormat="false" ht="15" hidden="false" customHeight="false" outlineLevel="0" collapsed="false">
      <c r="A3859" s="0" t="n">
        <v>3</v>
      </c>
      <c r="B3859" s="59" t="n">
        <v>46247</v>
      </c>
      <c r="C3859" s="0" t="n">
        <v>11</v>
      </c>
      <c r="D3859" s="0" t="s">
        <v>2126</v>
      </c>
      <c r="E3859" s="0" t="n">
        <v>1740</v>
      </c>
      <c r="F3859" s="0" t="s">
        <v>171</v>
      </c>
      <c r="I3859" s="0" t="n">
        <v>1258988</v>
      </c>
      <c r="J3859" s="0" t="n">
        <v>64165</v>
      </c>
      <c r="K3859" s="0" t="n">
        <v>7891000396452</v>
      </c>
      <c r="L3859" s="0" t="s">
        <v>3720</v>
      </c>
      <c r="N3859" s="0" t="n">
        <v>2</v>
      </c>
      <c r="O3859" s="60" t="n">
        <v>9.18</v>
      </c>
    </row>
    <row r="3860" customFormat="false" ht="15" hidden="false" customHeight="false" outlineLevel="0" collapsed="false">
      <c r="A3860" s="0" t="n">
        <v>3</v>
      </c>
      <c r="B3860" s="59" t="n">
        <v>46247</v>
      </c>
      <c r="C3860" s="0" t="n">
        <v>11</v>
      </c>
      <c r="D3860" s="0" t="s">
        <v>2126</v>
      </c>
      <c r="E3860" s="0" t="n">
        <v>1740</v>
      </c>
      <c r="F3860" s="0" t="s">
        <v>171</v>
      </c>
      <c r="I3860" s="0" t="n">
        <v>1258988</v>
      </c>
      <c r="J3860" s="0" t="n">
        <v>64795</v>
      </c>
      <c r="K3860" s="0" t="n">
        <v>7891097105739</v>
      </c>
      <c r="L3860" s="0" t="s">
        <v>2687</v>
      </c>
      <c r="N3860" s="0" t="n">
        <v>12</v>
      </c>
      <c r="O3860" s="60" t="n">
        <v>99.96</v>
      </c>
    </row>
    <row r="3861" customFormat="false" ht="15" hidden="false" customHeight="false" outlineLevel="0" collapsed="false">
      <c r="A3861" s="0" t="n">
        <v>3</v>
      </c>
      <c r="B3861" s="59" t="n">
        <v>46247</v>
      </c>
      <c r="C3861" s="0" t="n">
        <v>11</v>
      </c>
      <c r="D3861" s="0" t="s">
        <v>2126</v>
      </c>
      <c r="E3861" s="0" t="n">
        <v>1740</v>
      </c>
      <c r="F3861" s="0" t="s">
        <v>171</v>
      </c>
      <c r="I3861" s="0" t="n">
        <v>1258988</v>
      </c>
      <c r="J3861" s="0" t="n">
        <v>69214</v>
      </c>
      <c r="K3861" s="0" t="n">
        <v>7898755200041</v>
      </c>
      <c r="L3861" s="0" t="s">
        <v>2688</v>
      </c>
      <c r="N3861" s="0" t="n">
        <v>3</v>
      </c>
      <c r="O3861" s="60" t="n">
        <v>10.32</v>
      </c>
    </row>
    <row r="3862" customFormat="false" ht="15" hidden="false" customHeight="false" outlineLevel="0" collapsed="false">
      <c r="A3862" s="0" t="n">
        <v>3</v>
      </c>
      <c r="B3862" s="59" t="n">
        <v>46247</v>
      </c>
      <c r="C3862" s="0" t="n">
        <v>11</v>
      </c>
      <c r="D3862" s="0" t="s">
        <v>2126</v>
      </c>
      <c r="E3862" s="0" t="n">
        <v>1740</v>
      </c>
      <c r="F3862" s="0" t="s">
        <v>171</v>
      </c>
      <c r="I3862" s="0" t="n">
        <v>1258988</v>
      </c>
      <c r="J3862" s="0" t="n">
        <v>75890</v>
      </c>
      <c r="K3862" s="0" t="n">
        <v>7898953148879</v>
      </c>
      <c r="L3862" s="0" t="s">
        <v>2166</v>
      </c>
      <c r="N3862" s="0" t="n">
        <v>6</v>
      </c>
      <c r="O3862" s="60" t="n">
        <v>95.88</v>
      </c>
    </row>
    <row r="3863" customFormat="false" ht="15" hidden="false" customHeight="false" outlineLevel="0" collapsed="false">
      <c r="A3863" s="0" t="n">
        <v>3</v>
      </c>
      <c r="B3863" s="59" t="n">
        <v>46247</v>
      </c>
      <c r="C3863" s="0" t="n">
        <v>11</v>
      </c>
      <c r="D3863" s="0" t="s">
        <v>2126</v>
      </c>
      <c r="E3863" s="0" t="n">
        <v>1740</v>
      </c>
      <c r="F3863" s="0" t="s">
        <v>171</v>
      </c>
      <c r="I3863" s="0" t="n">
        <v>1258988</v>
      </c>
      <c r="J3863" s="0" t="n">
        <v>81553</v>
      </c>
      <c r="K3863" s="0" t="n">
        <v>7891000027974</v>
      </c>
      <c r="L3863" s="0" t="s">
        <v>3721</v>
      </c>
      <c r="N3863" s="0" t="n">
        <v>6</v>
      </c>
      <c r="O3863" s="60" t="n">
        <v>12.34</v>
      </c>
    </row>
    <row r="3864" customFormat="false" ht="15" hidden="false" customHeight="false" outlineLevel="0" collapsed="false">
      <c r="A3864" s="0" t="n">
        <v>3</v>
      </c>
      <c r="B3864" s="59" t="n">
        <v>46247</v>
      </c>
      <c r="C3864" s="0" t="n">
        <v>11</v>
      </c>
      <c r="D3864" s="0" t="s">
        <v>2126</v>
      </c>
      <c r="E3864" s="0" t="n">
        <v>1672</v>
      </c>
      <c r="F3864" s="0" t="s">
        <v>68</v>
      </c>
      <c r="I3864" s="0" t="n">
        <v>1417319</v>
      </c>
      <c r="J3864" s="0" t="n">
        <v>101308</v>
      </c>
      <c r="K3864" s="0" t="n">
        <v>7896579330098</v>
      </c>
      <c r="L3864" s="0" t="s">
        <v>2471</v>
      </c>
      <c r="N3864" s="0" t="n">
        <v>50</v>
      </c>
      <c r="O3864" s="60" t="n">
        <v>375</v>
      </c>
    </row>
    <row r="3865" customFormat="false" ht="15" hidden="false" customHeight="false" outlineLevel="0" collapsed="false">
      <c r="A3865" s="0" t="n">
        <v>3</v>
      </c>
      <c r="B3865" s="59" t="n">
        <v>46247</v>
      </c>
      <c r="C3865" s="0" t="n">
        <v>11</v>
      </c>
      <c r="D3865" s="0" t="s">
        <v>2126</v>
      </c>
      <c r="E3865" s="0" t="n">
        <v>1672</v>
      </c>
      <c r="F3865" s="0" t="s">
        <v>68</v>
      </c>
      <c r="I3865" s="0" t="n">
        <v>1417319</v>
      </c>
      <c r="J3865" s="0" t="n">
        <v>37507</v>
      </c>
      <c r="K3865" s="0" t="n">
        <v>7896579310854</v>
      </c>
      <c r="L3865" s="0" t="s">
        <v>2472</v>
      </c>
      <c r="N3865" s="0" t="n">
        <v>50</v>
      </c>
      <c r="O3865" s="60" t="n">
        <v>350</v>
      </c>
    </row>
    <row r="3866" customFormat="false" ht="15" hidden="false" customHeight="false" outlineLevel="0" collapsed="false">
      <c r="A3866" s="0" t="n">
        <v>3</v>
      </c>
      <c r="B3866" s="59" t="n">
        <v>46247</v>
      </c>
      <c r="C3866" s="0" t="n">
        <v>11</v>
      </c>
      <c r="D3866" s="0" t="s">
        <v>2126</v>
      </c>
      <c r="E3866" s="0" t="n">
        <v>1636</v>
      </c>
      <c r="F3866" s="0" t="s">
        <v>50</v>
      </c>
      <c r="I3866" s="0" t="n">
        <v>3234932</v>
      </c>
      <c r="J3866" s="0" t="n">
        <v>100838</v>
      </c>
      <c r="K3866" s="0" t="n">
        <v>7897664130012</v>
      </c>
      <c r="L3866" s="0" t="s">
        <v>3722</v>
      </c>
      <c r="N3866" s="0" t="n">
        <v>48</v>
      </c>
      <c r="O3866" s="60" t="n">
        <v>95.63</v>
      </c>
    </row>
    <row r="3867" customFormat="false" ht="15" hidden="false" customHeight="false" outlineLevel="0" collapsed="false">
      <c r="A3867" s="0" t="n">
        <v>3</v>
      </c>
      <c r="B3867" s="59" t="n">
        <v>46247</v>
      </c>
      <c r="C3867" s="0" t="n">
        <v>11</v>
      </c>
      <c r="D3867" s="0" t="s">
        <v>2126</v>
      </c>
      <c r="E3867" s="0" t="n">
        <v>1636</v>
      </c>
      <c r="F3867" s="0" t="s">
        <v>50</v>
      </c>
      <c r="I3867" s="0" t="n">
        <v>3234932</v>
      </c>
      <c r="J3867" s="0" t="n">
        <v>100841</v>
      </c>
      <c r="K3867" s="0" t="n">
        <v>7897664130319</v>
      </c>
      <c r="L3867" s="0" t="s">
        <v>3723</v>
      </c>
      <c r="N3867" s="0" t="n">
        <v>48</v>
      </c>
      <c r="O3867" s="60" t="n">
        <v>95.63</v>
      </c>
    </row>
    <row r="3868" customFormat="false" ht="15" hidden="false" customHeight="false" outlineLevel="0" collapsed="false">
      <c r="A3868" s="0" t="n">
        <v>3</v>
      </c>
      <c r="B3868" s="59" t="n">
        <v>46247</v>
      </c>
      <c r="C3868" s="0" t="n">
        <v>11</v>
      </c>
      <c r="D3868" s="0" t="s">
        <v>2126</v>
      </c>
      <c r="E3868" s="0" t="n">
        <v>1636</v>
      </c>
      <c r="F3868" s="0" t="s">
        <v>50</v>
      </c>
      <c r="I3868" s="0" t="n">
        <v>3234932</v>
      </c>
      <c r="J3868" s="0" t="n">
        <v>103451</v>
      </c>
      <c r="K3868" s="0" t="n">
        <v>7897664130036</v>
      </c>
      <c r="L3868" s="0" t="s">
        <v>3724</v>
      </c>
      <c r="N3868" s="0" t="n">
        <v>48</v>
      </c>
      <c r="O3868" s="60" t="n">
        <v>95.63</v>
      </c>
    </row>
    <row r="3869" customFormat="false" ht="15" hidden="false" customHeight="false" outlineLevel="0" collapsed="false">
      <c r="A3869" s="0" t="n">
        <v>3</v>
      </c>
      <c r="B3869" s="59" t="n">
        <v>46247</v>
      </c>
      <c r="C3869" s="0" t="n">
        <v>11</v>
      </c>
      <c r="D3869" s="0" t="s">
        <v>2126</v>
      </c>
      <c r="E3869" s="0" t="n">
        <v>1636</v>
      </c>
      <c r="F3869" s="0" t="s">
        <v>50</v>
      </c>
      <c r="I3869" s="0" t="n">
        <v>3234932</v>
      </c>
      <c r="J3869" s="0" t="n">
        <v>103468</v>
      </c>
      <c r="K3869" s="0" t="n">
        <v>7897664130029</v>
      </c>
      <c r="L3869" s="0" t="s">
        <v>3725</v>
      </c>
      <c r="N3869" s="0" t="n">
        <v>48</v>
      </c>
      <c r="O3869" s="60" t="n">
        <v>95.63</v>
      </c>
    </row>
    <row r="3870" customFormat="false" ht="15" hidden="false" customHeight="false" outlineLevel="0" collapsed="false">
      <c r="A3870" s="0" t="n">
        <v>3</v>
      </c>
      <c r="B3870" s="59" t="n">
        <v>46247</v>
      </c>
      <c r="C3870" s="0" t="n">
        <v>11</v>
      </c>
      <c r="D3870" s="0" t="s">
        <v>2126</v>
      </c>
      <c r="E3870" s="0" t="n">
        <v>1636</v>
      </c>
      <c r="F3870" s="0" t="s">
        <v>50</v>
      </c>
      <c r="I3870" s="0" t="n">
        <v>3234933</v>
      </c>
      <c r="J3870" s="0" t="n">
        <v>20236</v>
      </c>
      <c r="K3870" s="0" t="n">
        <v>7896036096437</v>
      </c>
      <c r="L3870" s="0" t="s">
        <v>3726</v>
      </c>
      <c r="N3870" s="0" t="n">
        <v>6</v>
      </c>
      <c r="O3870" s="60" t="n">
        <v>77.52</v>
      </c>
    </row>
    <row r="3871" customFormat="false" ht="15" hidden="false" customHeight="false" outlineLevel="0" collapsed="false">
      <c r="A3871" s="0" t="n">
        <v>3</v>
      </c>
      <c r="B3871" s="59" t="n">
        <v>46247</v>
      </c>
      <c r="C3871" s="0" t="n">
        <v>11</v>
      </c>
      <c r="D3871" s="0" t="s">
        <v>2126</v>
      </c>
      <c r="E3871" s="0" t="n">
        <v>1636</v>
      </c>
      <c r="F3871" s="0" t="s">
        <v>50</v>
      </c>
      <c r="I3871" s="0" t="n">
        <v>3234933</v>
      </c>
      <c r="J3871" s="0" t="n">
        <v>102446</v>
      </c>
      <c r="K3871" s="0" t="n">
        <v>7891167011748</v>
      </c>
      <c r="L3871" s="0" t="s">
        <v>3727</v>
      </c>
      <c r="N3871" s="0" t="n">
        <v>6</v>
      </c>
      <c r="O3871" s="60" t="n">
        <v>37.02</v>
      </c>
    </row>
    <row r="3872" customFormat="false" ht="15" hidden="false" customHeight="false" outlineLevel="0" collapsed="false">
      <c r="A3872" s="0" t="n">
        <v>3</v>
      </c>
      <c r="B3872" s="59" t="n">
        <v>46247</v>
      </c>
      <c r="C3872" s="0" t="n">
        <v>11</v>
      </c>
      <c r="D3872" s="0" t="s">
        <v>2126</v>
      </c>
      <c r="E3872" s="0" t="n">
        <v>1636</v>
      </c>
      <c r="F3872" s="0" t="s">
        <v>50</v>
      </c>
      <c r="I3872" s="0" t="n">
        <v>3234933</v>
      </c>
      <c r="J3872" s="0" t="n">
        <v>104145</v>
      </c>
      <c r="K3872" s="0" t="n">
        <v>7896031224583</v>
      </c>
      <c r="L3872" s="0" t="s">
        <v>3728</v>
      </c>
      <c r="N3872" s="0" t="n">
        <v>24</v>
      </c>
      <c r="O3872" s="60" t="n">
        <v>208.08</v>
      </c>
    </row>
    <row r="3873" customFormat="false" ht="15" hidden="false" customHeight="false" outlineLevel="0" collapsed="false">
      <c r="A3873" s="0" t="n">
        <v>3</v>
      </c>
      <c r="B3873" s="59" t="n">
        <v>46247</v>
      </c>
      <c r="C3873" s="0" t="n">
        <v>11</v>
      </c>
      <c r="D3873" s="0" t="s">
        <v>2126</v>
      </c>
      <c r="E3873" s="0" t="n">
        <v>1636</v>
      </c>
      <c r="F3873" s="0" t="s">
        <v>50</v>
      </c>
      <c r="I3873" s="0" t="n">
        <v>3234933</v>
      </c>
      <c r="J3873" s="0" t="n">
        <v>13723</v>
      </c>
      <c r="K3873" s="0" t="n">
        <v>7891167011953</v>
      </c>
      <c r="L3873" s="0" t="s">
        <v>3729</v>
      </c>
      <c r="N3873" s="0" t="n">
        <v>6</v>
      </c>
      <c r="O3873" s="60" t="n">
        <v>37.02</v>
      </c>
    </row>
    <row r="3874" customFormat="false" ht="15" hidden="false" customHeight="false" outlineLevel="0" collapsed="false">
      <c r="A3874" s="0" t="n">
        <v>3</v>
      </c>
      <c r="B3874" s="59" t="n">
        <v>46247</v>
      </c>
      <c r="C3874" s="0" t="n">
        <v>11</v>
      </c>
      <c r="D3874" s="0" t="s">
        <v>2126</v>
      </c>
      <c r="E3874" s="0" t="n">
        <v>1636</v>
      </c>
      <c r="F3874" s="0" t="s">
        <v>50</v>
      </c>
      <c r="I3874" s="0" t="n">
        <v>3234933</v>
      </c>
      <c r="J3874" s="0" t="n">
        <v>15633</v>
      </c>
      <c r="K3874" s="0" t="n">
        <v>7896036090619</v>
      </c>
      <c r="L3874" s="0" t="s">
        <v>3730</v>
      </c>
      <c r="N3874" s="0" t="n">
        <v>6</v>
      </c>
      <c r="O3874" s="60" t="n">
        <v>91.86</v>
      </c>
    </row>
    <row r="3875" customFormat="false" ht="15" hidden="false" customHeight="false" outlineLevel="0" collapsed="false">
      <c r="A3875" s="0" t="n">
        <v>3</v>
      </c>
      <c r="B3875" s="59" t="n">
        <v>46247</v>
      </c>
      <c r="C3875" s="0" t="n">
        <v>11</v>
      </c>
      <c r="D3875" s="0" t="s">
        <v>2126</v>
      </c>
      <c r="E3875" s="0" t="n">
        <v>1636</v>
      </c>
      <c r="F3875" s="0" t="s">
        <v>50</v>
      </c>
      <c r="I3875" s="0" t="n">
        <v>3234933</v>
      </c>
      <c r="J3875" s="0" t="n">
        <v>18509</v>
      </c>
      <c r="K3875" s="0" t="n">
        <v>7896036094815</v>
      </c>
      <c r="L3875" s="0" t="s">
        <v>2857</v>
      </c>
      <c r="N3875" s="0" t="n">
        <v>24</v>
      </c>
      <c r="O3875" s="60" t="n">
        <v>47.76</v>
      </c>
    </row>
    <row r="3876" customFormat="false" ht="15" hidden="false" customHeight="false" outlineLevel="0" collapsed="false">
      <c r="A3876" s="0" t="n">
        <v>3</v>
      </c>
      <c r="B3876" s="59" t="n">
        <v>46247</v>
      </c>
      <c r="C3876" s="0" t="n">
        <v>11</v>
      </c>
      <c r="D3876" s="0" t="s">
        <v>2126</v>
      </c>
      <c r="E3876" s="0" t="n">
        <v>1636</v>
      </c>
      <c r="F3876" s="0" t="s">
        <v>50</v>
      </c>
      <c r="I3876" s="0" t="n">
        <v>3234933</v>
      </c>
      <c r="J3876" s="0" t="n">
        <v>18806</v>
      </c>
      <c r="K3876" s="0" t="n">
        <v>7891167011779</v>
      </c>
      <c r="L3876" s="0" t="s">
        <v>3731</v>
      </c>
      <c r="N3876" s="0" t="n">
        <v>6</v>
      </c>
      <c r="O3876" s="60" t="n">
        <v>37.02</v>
      </c>
    </row>
    <row r="3877" customFormat="false" ht="15" hidden="false" customHeight="false" outlineLevel="0" collapsed="false">
      <c r="A3877" s="0" t="n">
        <v>3</v>
      </c>
      <c r="B3877" s="59" t="n">
        <v>46247</v>
      </c>
      <c r="C3877" s="0" t="n">
        <v>11</v>
      </c>
      <c r="D3877" s="0" t="s">
        <v>2126</v>
      </c>
      <c r="E3877" s="0" t="n">
        <v>1636</v>
      </c>
      <c r="F3877" s="0" t="s">
        <v>50</v>
      </c>
      <c r="I3877" s="0" t="n">
        <v>3234933</v>
      </c>
      <c r="J3877" s="0" t="n">
        <v>29032</v>
      </c>
      <c r="K3877" s="0" t="n">
        <v>7896423419276</v>
      </c>
      <c r="L3877" s="0" t="s">
        <v>2858</v>
      </c>
      <c r="N3877" s="0" t="n">
        <v>24</v>
      </c>
      <c r="O3877" s="60" t="n">
        <v>90.82</v>
      </c>
    </row>
    <row r="3878" customFormat="false" ht="15" hidden="false" customHeight="false" outlineLevel="0" collapsed="false">
      <c r="A3878" s="0" t="n">
        <v>3</v>
      </c>
      <c r="B3878" s="59" t="n">
        <v>46247</v>
      </c>
      <c r="C3878" s="0" t="n">
        <v>11</v>
      </c>
      <c r="D3878" s="0" t="s">
        <v>2126</v>
      </c>
      <c r="E3878" s="0" t="n">
        <v>1636</v>
      </c>
      <c r="F3878" s="0" t="s">
        <v>50</v>
      </c>
      <c r="I3878" s="0" t="n">
        <v>3234933</v>
      </c>
      <c r="J3878" s="0" t="n">
        <v>30015</v>
      </c>
      <c r="K3878" s="0" t="n">
        <v>7896423420180</v>
      </c>
      <c r="L3878" s="0" t="s">
        <v>2860</v>
      </c>
      <c r="N3878" s="0" t="n">
        <v>40</v>
      </c>
      <c r="O3878" s="60" t="n">
        <v>111.6</v>
      </c>
    </row>
    <row r="3879" customFormat="false" ht="15" hidden="false" customHeight="false" outlineLevel="0" collapsed="false">
      <c r="A3879" s="0" t="n">
        <v>3</v>
      </c>
      <c r="B3879" s="59" t="n">
        <v>46247</v>
      </c>
      <c r="C3879" s="0" t="n">
        <v>11</v>
      </c>
      <c r="D3879" s="0" t="s">
        <v>2126</v>
      </c>
      <c r="E3879" s="0" t="n">
        <v>1636</v>
      </c>
      <c r="F3879" s="0" t="s">
        <v>50</v>
      </c>
      <c r="I3879" s="0" t="n">
        <v>3234933</v>
      </c>
      <c r="J3879" s="0" t="n">
        <v>37688</v>
      </c>
      <c r="K3879" s="0" t="n">
        <v>7896423481853</v>
      </c>
      <c r="L3879" s="0" t="s">
        <v>3732</v>
      </c>
      <c r="N3879" s="0" t="n">
        <v>20</v>
      </c>
      <c r="O3879" s="60" t="n">
        <v>55.8</v>
      </c>
    </row>
    <row r="3880" customFormat="false" ht="15" hidden="false" customHeight="false" outlineLevel="0" collapsed="false">
      <c r="A3880" s="0" t="n">
        <v>3</v>
      </c>
      <c r="B3880" s="59" t="n">
        <v>46247</v>
      </c>
      <c r="C3880" s="0" t="n">
        <v>11</v>
      </c>
      <c r="D3880" s="0" t="s">
        <v>2126</v>
      </c>
      <c r="E3880" s="0" t="n">
        <v>1636</v>
      </c>
      <c r="F3880" s="0" t="s">
        <v>50</v>
      </c>
      <c r="I3880" s="0" t="n">
        <v>3234933</v>
      </c>
      <c r="J3880" s="0" t="n">
        <v>41237</v>
      </c>
      <c r="K3880" s="0" t="n">
        <v>7899567248559</v>
      </c>
      <c r="L3880" s="0" t="s">
        <v>3733</v>
      </c>
      <c r="N3880" s="0" t="n">
        <v>24</v>
      </c>
      <c r="O3880" s="60" t="n">
        <v>170.4</v>
      </c>
    </row>
    <row r="3881" customFormat="false" ht="15" hidden="false" customHeight="false" outlineLevel="0" collapsed="false">
      <c r="A3881" s="0" t="n">
        <v>3</v>
      </c>
      <c r="B3881" s="59" t="n">
        <v>46247</v>
      </c>
      <c r="C3881" s="0" t="n">
        <v>11</v>
      </c>
      <c r="D3881" s="0" t="s">
        <v>2126</v>
      </c>
      <c r="E3881" s="0" t="n">
        <v>1636</v>
      </c>
      <c r="F3881" s="0" t="s">
        <v>50</v>
      </c>
      <c r="I3881" s="0" t="n">
        <v>3234933</v>
      </c>
      <c r="J3881" s="0" t="n">
        <v>45365</v>
      </c>
      <c r="K3881" s="0" t="n">
        <v>7896036098981</v>
      </c>
      <c r="L3881" s="0" t="s">
        <v>3734</v>
      </c>
      <c r="N3881" s="0" t="n">
        <v>24</v>
      </c>
      <c r="O3881" s="60" t="n">
        <v>35.76</v>
      </c>
    </row>
    <row r="3882" customFormat="false" ht="15" hidden="false" customHeight="false" outlineLevel="0" collapsed="false">
      <c r="A3882" s="0" t="n">
        <v>3</v>
      </c>
      <c r="B3882" s="59" t="n">
        <v>46247</v>
      </c>
      <c r="C3882" s="0" t="n">
        <v>11</v>
      </c>
      <c r="D3882" s="0" t="s">
        <v>2126</v>
      </c>
      <c r="E3882" s="0" t="n">
        <v>1636</v>
      </c>
      <c r="F3882" s="0" t="s">
        <v>50</v>
      </c>
      <c r="I3882" s="0" t="n">
        <v>3234933</v>
      </c>
      <c r="J3882" s="0" t="n">
        <v>48493</v>
      </c>
      <c r="K3882" s="0" t="n">
        <v>7896036099544</v>
      </c>
      <c r="L3882" s="0" t="s">
        <v>3735</v>
      </c>
      <c r="N3882" s="0" t="n">
        <v>24</v>
      </c>
      <c r="O3882" s="60" t="n">
        <v>42</v>
      </c>
    </row>
    <row r="3883" customFormat="false" ht="15" hidden="false" customHeight="false" outlineLevel="0" collapsed="false">
      <c r="A3883" s="0" t="n">
        <v>3</v>
      </c>
      <c r="B3883" s="59" t="n">
        <v>46247</v>
      </c>
      <c r="C3883" s="0" t="n">
        <v>11</v>
      </c>
      <c r="D3883" s="0" t="s">
        <v>2126</v>
      </c>
      <c r="E3883" s="0" t="n">
        <v>1636</v>
      </c>
      <c r="F3883" s="0" t="s">
        <v>50</v>
      </c>
      <c r="I3883" s="0" t="n">
        <v>3234933</v>
      </c>
      <c r="J3883" s="0" t="n">
        <v>57653</v>
      </c>
      <c r="K3883" s="0" t="n">
        <v>7896036000809</v>
      </c>
      <c r="L3883" s="0" t="s">
        <v>3736</v>
      </c>
      <c r="N3883" s="0" t="n">
        <v>6</v>
      </c>
      <c r="O3883" s="60" t="n">
        <v>28.92</v>
      </c>
    </row>
    <row r="3884" customFormat="false" ht="15" hidden="false" customHeight="false" outlineLevel="0" collapsed="false">
      <c r="A3884" s="0" t="n">
        <v>3</v>
      </c>
      <c r="B3884" s="59" t="n">
        <v>46247</v>
      </c>
      <c r="C3884" s="0" t="n">
        <v>11</v>
      </c>
      <c r="D3884" s="0" t="s">
        <v>2126</v>
      </c>
      <c r="E3884" s="0" t="n">
        <v>1636</v>
      </c>
      <c r="F3884" s="0" t="s">
        <v>50</v>
      </c>
      <c r="I3884" s="0" t="n">
        <v>3234933</v>
      </c>
      <c r="J3884" s="0" t="n">
        <v>71380</v>
      </c>
      <c r="K3884" s="0" t="n">
        <v>7896423488883</v>
      </c>
      <c r="L3884" s="0" t="s">
        <v>3737</v>
      </c>
      <c r="N3884" s="0" t="n">
        <v>20</v>
      </c>
      <c r="O3884" s="60" t="n">
        <v>55.8</v>
      </c>
    </row>
    <row r="3885" customFormat="false" ht="15" hidden="false" customHeight="false" outlineLevel="0" collapsed="false">
      <c r="A3885" s="0" t="n">
        <v>3</v>
      </c>
      <c r="B3885" s="59" t="n">
        <v>46247</v>
      </c>
      <c r="C3885" s="0" t="n">
        <v>11</v>
      </c>
      <c r="D3885" s="0" t="s">
        <v>2126</v>
      </c>
      <c r="E3885" s="0" t="n">
        <v>1636</v>
      </c>
      <c r="F3885" s="0" t="s">
        <v>50</v>
      </c>
      <c r="I3885" s="0" t="n">
        <v>3234933</v>
      </c>
      <c r="J3885" s="0" t="n">
        <v>78138</v>
      </c>
      <c r="K3885" s="0" t="n">
        <v>7896423438703</v>
      </c>
      <c r="L3885" s="0" t="s">
        <v>2874</v>
      </c>
      <c r="N3885" s="0" t="n">
        <v>18</v>
      </c>
      <c r="O3885" s="60" t="n">
        <v>66.23</v>
      </c>
    </row>
    <row r="3886" customFormat="false" ht="15" hidden="false" customHeight="false" outlineLevel="0" collapsed="false">
      <c r="A3886" s="0" t="n">
        <v>3</v>
      </c>
      <c r="B3886" s="59" t="n">
        <v>46247</v>
      </c>
      <c r="C3886" s="0" t="n">
        <v>11</v>
      </c>
      <c r="D3886" s="0" t="s">
        <v>2126</v>
      </c>
      <c r="E3886" s="0" t="n">
        <v>1636</v>
      </c>
      <c r="F3886" s="0" t="s">
        <v>50</v>
      </c>
      <c r="I3886" s="0" t="n">
        <v>3234933</v>
      </c>
      <c r="J3886" s="0" t="n">
        <v>78481</v>
      </c>
      <c r="K3886" s="0" t="n">
        <v>7896423438727</v>
      </c>
      <c r="L3886" s="0" t="s">
        <v>2875</v>
      </c>
      <c r="N3886" s="0" t="n">
        <v>18</v>
      </c>
      <c r="O3886" s="60" t="n">
        <v>66.23</v>
      </c>
    </row>
    <row r="3887" customFormat="false" ht="15" hidden="false" customHeight="false" outlineLevel="0" collapsed="false">
      <c r="A3887" s="0" t="n">
        <v>3</v>
      </c>
      <c r="B3887" s="59" t="n">
        <v>46247</v>
      </c>
      <c r="C3887" s="0" t="n">
        <v>171</v>
      </c>
      <c r="D3887" s="0" t="s">
        <v>2182</v>
      </c>
      <c r="E3887" s="0" t="n">
        <v>1678</v>
      </c>
      <c r="F3887" s="0" t="s">
        <v>191</v>
      </c>
      <c r="I3887" s="0" t="n">
        <v>163829</v>
      </c>
      <c r="J3887" s="0" t="n">
        <v>40246</v>
      </c>
      <c r="K3887" s="0" t="n">
        <v>7898927045654</v>
      </c>
      <c r="L3887" s="0" t="s">
        <v>3738</v>
      </c>
      <c r="N3887" s="0" t="n">
        <v>6</v>
      </c>
      <c r="O3887" s="60" t="n">
        <v>39.5</v>
      </c>
    </row>
    <row r="3888" customFormat="false" ht="15" hidden="false" customHeight="false" outlineLevel="0" collapsed="false">
      <c r="A3888" s="0" t="n">
        <v>3</v>
      </c>
      <c r="B3888" s="59" t="n">
        <v>46247</v>
      </c>
      <c r="C3888" s="0" t="n">
        <v>171</v>
      </c>
      <c r="D3888" s="0" t="s">
        <v>2182</v>
      </c>
      <c r="E3888" s="0" t="n">
        <v>1636</v>
      </c>
      <c r="F3888" s="0" t="s">
        <v>50</v>
      </c>
      <c r="I3888" s="0" t="n">
        <v>3234934</v>
      </c>
      <c r="J3888" s="0" t="n">
        <v>61667</v>
      </c>
      <c r="K3888" s="0" t="n">
        <v>7896004006284</v>
      </c>
      <c r="L3888" s="0" t="s">
        <v>2866</v>
      </c>
      <c r="N3888" s="0" t="n">
        <v>6</v>
      </c>
      <c r="O3888" s="60" t="n">
        <v>72.74</v>
      </c>
    </row>
    <row r="3889" customFormat="false" ht="15" hidden="false" customHeight="false" outlineLevel="0" collapsed="false">
      <c r="A3889" s="0" t="n">
        <v>3</v>
      </c>
      <c r="B3889" s="59" t="n">
        <v>46248</v>
      </c>
      <c r="C3889" s="0" t="n">
        <v>1</v>
      </c>
      <c r="D3889" s="0" t="s">
        <v>2118</v>
      </c>
      <c r="E3889" s="0" t="n">
        <v>10035</v>
      </c>
      <c r="F3889" s="0" t="s">
        <v>229</v>
      </c>
      <c r="I3889" s="0" t="n">
        <v>400</v>
      </c>
      <c r="J3889" s="0" t="n">
        <v>38652</v>
      </c>
      <c r="K3889" s="0" t="n">
        <v>7898994684220</v>
      </c>
      <c r="L3889" s="0" t="s">
        <v>2246</v>
      </c>
      <c r="N3889" s="0" t="n">
        <v>70</v>
      </c>
      <c r="O3889" s="60" t="n">
        <v>630</v>
      </c>
    </row>
    <row r="3890" customFormat="false" ht="15" hidden="false" customHeight="false" outlineLevel="0" collapsed="false">
      <c r="A3890" s="0" t="n">
        <v>3</v>
      </c>
      <c r="B3890" s="59" t="n">
        <v>46248</v>
      </c>
      <c r="C3890" s="0" t="n">
        <v>1</v>
      </c>
      <c r="D3890" s="0" t="s">
        <v>2118</v>
      </c>
      <c r="E3890" s="0" t="n">
        <v>10035</v>
      </c>
      <c r="F3890" s="0" t="s">
        <v>229</v>
      </c>
      <c r="I3890" s="0" t="n">
        <v>400</v>
      </c>
      <c r="J3890" s="0" t="n">
        <v>38653</v>
      </c>
      <c r="K3890" s="0" t="n">
        <v>7898994684275</v>
      </c>
      <c r="L3890" s="0" t="s">
        <v>2338</v>
      </c>
      <c r="N3890" s="0" t="n">
        <v>50</v>
      </c>
      <c r="O3890" s="60" t="n">
        <v>240</v>
      </c>
    </row>
    <row r="3891" customFormat="false" ht="15" hidden="false" customHeight="false" outlineLevel="0" collapsed="false">
      <c r="A3891" s="0" t="n">
        <v>3</v>
      </c>
      <c r="B3891" s="59" t="n">
        <v>46248</v>
      </c>
      <c r="C3891" s="0" t="n">
        <v>1</v>
      </c>
      <c r="D3891" s="0" t="s">
        <v>2118</v>
      </c>
      <c r="E3891" s="0" t="n">
        <v>10035</v>
      </c>
      <c r="F3891" s="0" t="s">
        <v>229</v>
      </c>
      <c r="I3891" s="0" t="n">
        <v>400</v>
      </c>
      <c r="J3891" s="0" t="n">
        <v>43726</v>
      </c>
      <c r="K3891" s="0" t="n">
        <v>2245461</v>
      </c>
      <c r="L3891" s="0" t="s">
        <v>2339</v>
      </c>
      <c r="N3891" s="0" t="n">
        <v>10</v>
      </c>
      <c r="O3891" s="60" t="n">
        <v>200</v>
      </c>
    </row>
    <row r="3892" customFormat="false" ht="15" hidden="false" customHeight="false" outlineLevel="0" collapsed="false">
      <c r="A3892" s="0" t="n">
        <v>3</v>
      </c>
      <c r="B3892" s="59" t="n">
        <v>46248</v>
      </c>
      <c r="C3892" s="0" t="n">
        <v>1</v>
      </c>
      <c r="D3892" s="0" t="s">
        <v>2118</v>
      </c>
      <c r="E3892" s="0" t="n">
        <v>978</v>
      </c>
      <c r="F3892" s="0" t="s">
        <v>184</v>
      </c>
      <c r="I3892" s="0" t="n">
        <v>478</v>
      </c>
      <c r="J3892" s="0" t="n">
        <v>61368</v>
      </c>
      <c r="K3892" s="0" t="n">
        <v>2257907</v>
      </c>
      <c r="L3892" s="0" t="s">
        <v>2645</v>
      </c>
      <c r="N3892" s="0" t="n">
        <v>20</v>
      </c>
      <c r="O3892" s="60" t="n">
        <v>160</v>
      </c>
    </row>
    <row r="3893" customFormat="false" ht="15" hidden="false" customHeight="false" outlineLevel="0" collapsed="false">
      <c r="A3893" s="0" t="n">
        <v>3</v>
      </c>
      <c r="B3893" s="59" t="n">
        <v>46248</v>
      </c>
      <c r="C3893" s="0" t="n">
        <v>1</v>
      </c>
      <c r="D3893" s="0" t="s">
        <v>2118</v>
      </c>
      <c r="E3893" s="0" t="n">
        <v>978</v>
      </c>
      <c r="F3893" s="0" t="s">
        <v>184</v>
      </c>
      <c r="I3893" s="0" t="n">
        <v>478</v>
      </c>
      <c r="J3893" s="0" t="n">
        <v>61378</v>
      </c>
      <c r="K3893" s="0" t="n">
        <v>2257914</v>
      </c>
      <c r="L3893" s="0" t="s">
        <v>2646</v>
      </c>
      <c r="N3893" s="0" t="n">
        <v>25</v>
      </c>
      <c r="O3893" s="60" t="n">
        <v>250</v>
      </c>
    </row>
    <row r="3894" customFormat="false" ht="15" hidden="false" customHeight="false" outlineLevel="0" collapsed="false">
      <c r="A3894" s="0" t="n">
        <v>3</v>
      </c>
      <c r="B3894" s="59" t="n">
        <v>46248</v>
      </c>
      <c r="C3894" s="0" t="n">
        <v>1</v>
      </c>
      <c r="D3894" s="0" t="s">
        <v>2118</v>
      </c>
      <c r="E3894" s="0" t="n">
        <v>978</v>
      </c>
      <c r="F3894" s="0" t="s">
        <v>184</v>
      </c>
      <c r="I3894" s="0" t="n">
        <v>478</v>
      </c>
      <c r="J3894" s="0" t="n">
        <v>61379</v>
      </c>
      <c r="K3894" s="0" t="n">
        <v>2257921</v>
      </c>
      <c r="L3894" s="0" t="s">
        <v>2647</v>
      </c>
      <c r="N3894" s="0" t="n">
        <v>6</v>
      </c>
      <c r="O3894" s="60" t="n">
        <v>72</v>
      </c>
    </row>
    <row r="3895" customFormat="false" ht="15" hidden="false" customHeight="false" outlineLevel="0" collapsed="false">
      <c r="A3895" s="0" t="n">
        <v>3</v>
      </c>
      <c r="B3895" s="59" t="n">
        <v>46248</v>
      </c>
      <c r="C3895" s="0" t="n">
        <v>1</v>
      </c>
      <c r="D3895" s="0" t="s">
        <v>2118</v>
      </c>
      <c r="E3895" s="0" t="n">
        <v>978</v>
      </c>
      <c r="F3895" s="0" t="s">
        <v>184</v>
      </c>
      <c r="I3895" s="0" t="n">
        <v>478</v>
      </c>
      <c r="J3895" s="0" t="n">
        <v>62178</v>
      </c>
      <c r="K3895" s="0" t="n">
        <v>144599</v>
      </c>
      <c r="L3895" s="0" t="s">
        <v>2648</v>
      </c>
      <c r="N3895" s="0" t="n">
        <v>5</v>
      </c>
      <c r="O3895" s="60" t="n">
        <v>75</v>
      </c>
    </row>
    <row r="3896" customFormat="false" ht="15" hidden="false" customHeight="false" outlineLevel="0" collapsed="false">
      <c r="A3896" s="0" t="n">
        <v>3</v>
      </c>
      <c r="B3896" s="59" t="n">
        <v>46248</v>
      </c>
      <c r="C3896" s="0" t="n">
        <v>6</v>
      </c>
      <c r="D3896" s="0" t="s">
        <v>2125</v>
      </c>
      <c r="E3896" s="0" t="n">
        <v>42</v>
      </c>
      <c r="F3896" s="0" t="s">
        <v>81</v>
      </c>
      <c r="I3896" s="0" t="n">
        <v>4497</v>
      </c>
      <c r="J3896" s="0" t="n">
        <v>37359</v>
      </c>
      <c r="K3896" s="0" t="n">
        <v>55526</v>
      </c>
      <c r="L3896" s="0" t="s">
        <v>2194</v>
      </c>
      <c r="N3896" s="0" t="n">
        <v>6</v>
      </c>
      <c r="O3896" s="60" t="n">
        <v>36</v>
      </c>
    </row>
    <row r="3897" customFormat="false" ht="15" hidden="false" customHeight="false" outlineLevel="0" collapsed="false">
      <c r="A3897" s="0" t="n">
        <v>3</v>
      </c>
      <c r="B3897" s="59" t="n">
        <v>46248</v>
      </c>
      <c r="C3897" s="0" t="n">
        <v>6</v>
      </c>
      <c r="D3897" s="0" t="s">
        <v>2125</v>
      </c>
      <c r="E3897" s="0" t="n">
        <v>42</v>
      </c>
      <c r="F3897" s="0" t="s">
        <v>81</v>
      </c>
      <c r="I3897" s="0" t="n">
        <v>4497</v>
      </c>
      <c r="J3897" s="0" t="n">
        <v>37361</v>
      </c>
      <c r="K3897" s="0" t="n">
        <v>2240817</v>
      </c>
      <c r="L3897" s="0" t="s">
        <v>2124</v>
      </c>
      <c r="N3897" s="0" t="n">
        <v>50</v>
      </c>
      <c r="O3897" s="60" t="n">
        <v>100</v>
      </c>
    </row>
    <row r="3898" customFormat="false" ht="15" hidden="false" customHeight="false" outlineLevel="0" collapsed="false">
      <c r="A3898" s="0" t="n">
        <v>3</v>
      </c>
      <c r="B3898" s="59" t="n">
        <v>46248</v>
      </c>
      <c r="C3898" s="0" t="n">
        <v>6</v>
      </c>
      <c r="D3898" s="0" t="s">
        <v>2125</v>
      </c>
      <c r="E3898" s="0" t="n">
        <v>42</v>
      </c>
      <c r="F3898" s="0" t="s">
        <v>81</v>
      </c>
      <c r="I3898" s="0" t="n">
        <v>4498</v>
      </c>
      <c r="J3898" s="0" t="n">
        <v>100103</v>
      </c>
      <c r="K3898" s="0" t="n">
        <v>104</v>
      </c>
      <c r="L3898" s="0" t="s">
        <v>2193</v>
      </c>
      <c r="N3898" s="0" t="n">
        <v>40</v>
      </c>
      <c r="O3898" s="60" t="n">
        <v>250</v>
      </c>
    </row>
    <row r="3899" customFormat="false" ht="15" hidden="false" customHeight="false" outlineLevel="0" collapsed="false">
      <c r="A3899" s="0" t="n">
        <v>3</v>
      </c>
      <c r="B3899" s="59" t="n">
        <v>46248</v>
      </c>
      <c r="C3899" s="0" t="n">
        <v>6</v>
      </c>
      <c r="D3899" s="0" t="s">
        <v>2125</v>
      </c>
      <c r="E3899" s="0" t="n">
        <v>42</v>
      </c>
      <c r="F3899" s="0" t="s">
        <v>81</v>
      </c>
      <c r="I3899" s="0" t="n">
        <v>4501</v>
      </c>
      <c r="J3899" s="0" t="n">
        <v>72679</v>
      </c>
      <c r="K3899" s="0" t="n">
        <v>246</v>
      </c>
      <c r="L3899" s="0" t="s">
        <v>2195</v>
      </c>
      <c r="N3899" s="0" t="n">
        <v>30</v>
      </c>
      <c r="O3899" s="60" t="n">
        <v>450</v>
      </c>
    </row>
    <row r="3900" customFormat="false" ht="15" hidden="false" customHeight="false" outlineLevel="0" collapsed="false">
      <c r="A3900" s="0" t="n">
        <v>3</v>
      </c>
      <c r="B3900" s="59" t="n">
        <v>46248</v>
      </c>
      <c r="C3900" s="0" t="n">
        <v>6</v>
      </c>
      <c r="D3900" s="0" t="s">
        <v>2125</v>
      </c>
      <c r="E3900" s="0" t="n">
        <v>42</v>
      </c>
      <c r="F3900" s="0" t="s">
        <v>81</v>
      </c>
      <c r="I3900" s="0" t="n">
        <v>4502</v>
      </c>
      <c r="J3900" s="0" t="n">
        <v>100062</v>
      </c>
      <c r="K3900" s="0" t="n">
        <v>63</v>
      </c>
      <c r="L3900" s="0" t="s">
        <v>2259</v>
      </c>
      <c r="N3900" s="0" t="n">
        <v>9.2</v>
      </c>
      <c r="O3900" s="60" t="n">
        <v>110</v>
      </c>
    </row>
    <row r="3901" customFormat="false" ht="15" hidden="false" customHeight="false" outlineLevel="0" collapsed="false">
      <c r="A3901" s="0" t="n">
        <v>3</v>
      </c>
      <c r="B3901" s="59" t="n">
        <v>46248</v>
      </c>
      <c r="C3901" s="0" t="n">
        <v>6</v>
      </c>
      <c r="D3901" s="0" t="s">
        <v>2125</v>
      </c>
      <c r="E3901" s="0" t="n">
        <v>42</v>
      </c>
      <c r="F3901" s="0" t="s">
        <v>81</v>
      </c>
      <c r="I3901" s="0" t="n">
        <v>4502</v>
      </c>
      <c r="J3901" s="0" t="n">
        <v>100104</v>
      </c>
      <c r="K3901" s="0" t="n">
        <v>105</v>
      </c>
      <c r="L3901" s="0" t="s">
        <v>2260</v>
      </c>
      <c r="N3901" s="0" t="n">
        <v>6</v>
      </c>
      <c r="O3901" s="60" t="n">
        <v>42</v>
      </c>
    </row>
    <row r="3902" customFormat="false" ht="15" hidden="false" customHeight="false" outlineLevel="0" collapsed="false">
      <c r="A3902" s="0" t="n">
        <v>3</v>
      </c>
      <c r="B3902" s="59" t="n">
        <v>46248</v>
      </c>
      <c r="C3902" s="0" t="n">
        <v>6</v>
      </c>
      <c r="D3902" s="0" t="s">
        <v>2125</v>
      </c>
      <c r="E3902" s="0" t="n">
        <v>42</v>
      </c>
      <c r="F3902" s="0" t="s">
        <v>81</v>
      </c>
      <c r="I3902" s="0" t="n">
        <v>4502</v>
      </c>
      <c r="J3902" s="0" t="n">
        <v>100105</v>
      </c>
      <c r="K3902" s="0" t="n">
        <v>106</v>
      </c>
      <c r="L3902" s="0" t="s">
        <v>2620</v>
      </c>
      <c r="N3902" s="0" t="n">
        <v>24</v>
      </c>
      <c r="O3902" s="60" t="n">
        <v>160</v>
      </c>
    </row>
    <row r="3903" customFormat="false" ht="15" hidden="false" customHeight="false" outlineLevel="0" collapsed="false">
      <c r="A3903" s="0" t="n">
        <v>3</v>
      </c>
      <c r="B3903" s="59" t="n">
        <v>46248</v>
      </c>
      <c r="C3903" s="0" t="n">
        <v>6</v>
      </c>
      <c r="D3903" s="0" t="s">
        <v>2125</v>
      </c>
      <c r="E3903" s="0" t="n">
        <v>42</v>
      </c>
      <c r="F3903" s="0" t="s">
        <v>81</v>
      </c>
      <c r="I3903" s="0" t="n">
        <v>4502</v>
      </c>
      <c r="J3903" s="0" t="n">
        <v>100107</v>
      </c>
      <c r="K3903" s="0" t="n">
        <v>108</v>
      </c>
      <c r="L3903" s="0" t="s">
        <v>2877</v>
      </c>
      <c r="N3903" s="0" t="n">
        <v>3</v>
      </c>
      <c r="O3903" s="60" t="n">
        <v>30</v>
      </c>
    </row>
    <row r="3904" customFormat="false" ht="15" hidden="false" customHeight="false" outlineLevel="0" collapsed="false">
      <c r="A3904" s="0" t="n">
        <v>3</v>
      </c>
      <c r="B3904" s="59" t="n">
        <v>46248</v>
      </c>
      <c r="C3904" s="0" t="n">
        <v>6</v>
      </c>
      <c r="D3904" s="0" t="s">
        <v>2125</v>
      </c>
      <c r="E3904" s="0" t="n">
        <v>42</v>
      </c>
      <c r="F3904" s="0" t="s">
        <v>81</v>
      </c>
      <c r="I3904" s="0" t="n">
        <v>4502</v>
      </c>
      <c r="J3904" s="0" t="n">
        <v>100109</v>
      </c>
      <c r="K3904" s="0" t="n">
        <v>110</v>
      </c>
      <c r="L3904" s="0" t="s">
        <v>2261</v>
      </c>
      <c r="N3904" s="0" t="n">
        <v>20</v>
      </c>
      <c r="O3904" s="60" t="n">
        <v>130</v>
      </c>
    </row>
    <row r="3905" customFormat="false" ht="15" hidden="false" customHeight="false" outlineLevel="0" collapsed="false">
      <c r="A3905" s="0" t="n">
        <v>3</v>
      </c>
      <c r="B3905" s="59" t="n">
        <v>46248</v>
      </c>
      <c r="C3905" s="0" t="n">
        <v>6</v>
      </c>
      <c r="D3905" s="0" t="s">
        <v>2125</v>
      </c>
      <c r="E3905" s="0" t="n">
        <v>42</v>
      </c>
      <c r="F3905" s="0" t="s">
        <v>81</v>
      </c>
      <c r="I3905" s="0" t="n">
        <v>4502</v>
      </c>
      <c r="J3905" s="0" t="n">
        <v>100110</v>
      </c>
      <c r="K3905" s="0" t="n">
        <v>111</v>
      </c>
      <c r="L3905" s="0" t="s">
        <v>2262</v>
      </c>
      <c r="N3905" s="0" t="n">
        <v>20</v>
      </c>
      <c r="O3905" s="60" t="n">
        <v>160</v>
      </c>
    </row>
    <row r="3906" customFormat="false" ht="15" hidden="false" customHeight="false" outlineLevel="0" collapsed="false">
      <c r="A3906" s="0" t="n">
        <v>3</v>
      </c>
      <c r="B3906" s="59" t="n">
        <v>46248</v>
      </c>
      <c r="C3906" s="0" t="n">
        <v>6</v>
      </c>
      <c r="D3906" s="0" t="s">
        <v>2125</v>
      </c>
      <c r="E3906" s="0" t="n">
        <v>42</v>
      </c>
      <c r="F3906" s="0" t="s">
        <v>81</v>
      </c>
      <c r="I3906" s="0" t="n">
        <v>4502</v>
      </c>
      <c r="J3906" s="0" t="n">
        <v>100113</v>
      </c>
      <c r="K3906" s="0" t="n">
        <v>114</v>
      </c>
      <c r="L3906" s="0" t="s">
        <v>2264</v>
      </c>
      <c r="N3906" s="0" t="n">
        <v>40</v>
      </c>
      <c r="O3906" s="60" t="n">
        <v>180</v>
      </c>
    </row>
    <row r="3907" customFormat="false" ht="15" hidden="false" customHeight="false" outlineLevel="0" collapsed="false">
      <c r="A3907" s="0" t="n">
        <v>3</v>
      </c>
      <c r="B3907" s="59" t="n">
        <v>46248</v>
      </c>
      <c r="C3907" s="0" t="n">
        <v>6</v>
      </c>
      <c r="D3907" s="0" t="s">
        <v>2125</v>
      </c>
      <c r="E3907" s="0" t="n">
        <v>42</v>
      </c>
      <c r="F3907" s="0" t="s">
        <v>81</v>
      </c>
      <c r="I3907" s="0" t="n">
        <v>4502</v>
      </c>
      <c r="J3907" s="0" t="n">
        <v>100115</v>
      </c>
      <c r="K3907" s="0" t="n">
        <v>116</v>
      </c>
      <c r="L3907" s="0" t="s">
        <v>2265</v>
      </c>
      <c r="N3907" s="0" t="n">
        <v>15</v>
      </c>
      <c r="O3907" s="60" t="n">
        <v>165</v>
      </c>
    </row>
    <row r="3908" customFormat="false" ht="15" hidden="false" customHeight="false" outlineLevel="0" collapsed="false">
      <c r="A3908" s="0" t="n">
        <v>3</v>
      </c>
      <c r="B3908" s="59" t="n">
        <v>46248</v>
      </c>
      <c r="C3908" s="0" t="n">
        <v>6</v>
      </c>
      <c r="D3908" s="0" t="s">
        <v>2125</v>
      </c>
      <c r="E3908" s="0" t="n">
        <v>42</v>
      </c>
      <c r="F3908" s="0" t="s">
        <v>81</v>
      </c>
      <c r="I3908" s="0" t="n">
        <v>4502</v>
      </c>
      <c r="J3908" s="0" t="n">
        <v>100118</v>
      </c>
      <c r="K3908" s="0" t="n">
        <v>119</v>
      </c>
      <c r="L3908" s="0" t="s">
        <v>2267</v>
      </c>
      <c r="N3908" s="0" t="n">
        <v>10</v>
      </c>
      <c r="O3908" s="60" t="n">
        <v>80</v>
      </c>
    </row>
    <row r="3909" customFormat="false" ht="15" hidden="false" customHeight="false" outlineLevel="0" collapsed="false">
      <c r="A3909" s="0" t="n">
        <v>3</v>
      </c>
      <c r="B3909" s="59" t="n">
        <v>46248</v>
      </c>
      <c r="C3909" s="0" t="n">
        <v>6</v>
      </c>
      <c r="D3909" s="0" t="s">
        <v>2125</v>
      </c>
      <c r="E3909" s="0" t="n">
        <v>42</v>
      </c>
      <c r="F3909" s="0" t="s">
        <v>81</v>
      </c>
      <c r="I3909" s="0" t="n">
        <v>4502</v>
      </c>
      <c r="J3909" s="0" t="n">
        <v>100121</v>
      </c>
      <c r="K3909" s="0" t="n">
        <v>122</v>
      </c>
      <c r="L3909" s="0" t="s">
        <v>2422</v>
      </c>
      <c r="N3909" s="0" t="n">
        <v>5</v>
      </c>
      <c r="O3909" s="60" t="n">
        <v>70</v>
      </c>
    </row>
    <row r="3910" customFormat="false" ht="15" hidden="false" customHeight="false" outlineLevel="0" collapsed="false">
      <c r="A3910" s="0" t="n">
        <v>3</v>
      </c>
      <c r="B3910" s="59" t="n">
        <v>46248</v>
      </c>
      <c r="C3910" s="0" t="n">
        <v>6</v>
      </c>
      <c r="D3910" s="0" t="s">
        <v>2125</v>
      </c>
      <c r="E3910" s="0" t="n">
        <v>42</v>
      </c>
      <c r="F3910" s="0" t="s">
        <v>81</v>
      </c>
      <c r="I3910" s="0" t="n">
        <v>4502</v>
      </c>
      <c r="J3910" s="0" t="n">
        <v>100122</v>
      </c>
      <c r="K3910" s="0" t="n">
        <v>123</v>
      </c>
      <c r="L3910" s="0" t="s">
        <v>2423</v>
      </c>
      <c r="N3910" s="0" t="n">
        <v>5</v>
      </c>
      <c r="O3910" s="60" t="n">
        <v>50</v>
      </c>
    </row>
    <row r="3911" customFormat="false" ht="15" hidden="false" customHeight="false" outlineLevel="0" collapsed="false">
      <c r="A3911" s="0" t="n">
        <v>3</v>
      </c>
      <c r="B3911" s="59" t="n">
        <v>46248</v>
      </c>
      <c r="C3911" s="0" t="n">
        <v>6</v>
      </c>
      <c r="D3911" s="0" t="s">
        <v>2125</v>
      </c>
      <c r="E3911" s="0" t="n">
        <v>42</v>
      </c>
      <c r="F3911" s="0" t="s">
        <v>81</v>
      </c>
      <c r="I3911" s="0" t="n">
        <v>4502</v>
      </c>
      <c r="J3911" s="0" t="n">
        <v>100124</v>
      </c>
      <c r="K3911" s="0" t="n">
        <v>125</v>
      </c>
      <c r="L3911" s="0" t="s">
        <v>2269</v>
      </c>
      <c r="N3911" s="0" t="n">
        <v>7.85</v>
      </c>
      <c r="O3911" s="60" t="n">
        <v>70.5</v>
      </c>
    </row>
    <row r="3912" customFormat="false" ht="15" hidden="false" customHeight="false" outlineLevel="0" collapsed="false">
      <c r="A3912" s="0" t="n">
        <v>3</v>
      </c>
      <c r="B3912" s="59" t="n">
        <v>46248</v>
      </c>
      <c r="C3912" s="0" t="n">
        <v>6</v>
      </c>
      <c r="D3912" s="0" t="s">
        <v>2125</v>
      </c>
      <c r="E3912" s="0" t="n">
        <v>42</v>
      </c>
      <c r="F3912" s="0" t="s">
        <v>81</v>
      </c>
      <c r="I3912" s="0" t="n">
        <v>4502</v>
      </c>
      <c r="J3912" s="0" t="n">
        <v>100125</v>
      </c>
      <c r="K3912" s="0" t="n">
        <v>126</v>
      </c>
      <c r="L3912" s="0" t="s">
        <v>2424</v>
      </c>
      <c r="N3912" s="0" t="n">
        <v>40</v>
      </c>
      <c r="O3912" s="60" t="n">
        <v>300</v>
      </c>
    </row>
    <row r="3913" customFormat="false" ht="15" hidden="false" customHeight="false" outlineLevel="0" collapsed="false">
      <c r="A3913" s="0" t="n">
        <v>3</v>
      </c>
      <c r="B3913" s="59" t="n">
        <v>46248</v>
      </c>
      <c r="C3913" s="0" t="n">
        <v>6</v>
      </c>
      <c r="D3913" s="0" t="s">
        <v>2125</v>
      </c>
      <c r="E3913" s="0" t="n">
        <v>42</v>
      </c>
      <c r="F3913" s="0" t="s">
        <v>81</v>
      </c>
      <c r="I3913" s="0" t="n">
        <v>4502</v>
      </c>
      <c r="J3913" s="0" t="n">
        <v>100130</v>
      </c>
      <c r="K3913" s="0" t="n">
        <v>131</v>
      </c>
      <c r="L3913" s="0" t="s">
        <v>2621</v>
      </c>
      <c r="N3913" s="0" t="n">
        <v>10</v>
      </c>
      <c r="O3913" s="60" t="n">
        <v>80</v>
      </c>
    </row>
    <row r="3914" customFormat="false" ht="15" hidden="false" customHeight="false" outlineLevel="0" collapsed="false">
      <c r="A3914" s="0" t="n">
        <v>3</v>
      </c>
      <c r="B3914" s="59" t="n">
        <v>46248</v>
      </c>
      <c r="C3914" s="0" t="n">
        <v>6</v>
      </c>
      <c r="D3914" s="0" t="s">
        <v>2125</v>
      </c>
      <c r="E3914" s="0" t="n">
        <v>42</v>
      </c>
      <c r="F3914" s="0" t="s">
        <v>81</v>
      </c>
      <c r="I3914" s="0" t="n">
        <v>4502</v>
      </c>
      <c r="J3914" s="0" t="n">
        <v>100133</v>
      </c>
      <c r="K3914" s="0" t="n">
        <v>134</v>
      </c>
      <c r="L3914" s="0" t="s">
        <v>2271</v>
      </c>
      <c r="N3914" s="0" t="n">
        <v>10</v>
      </c>
      <c r="O3914" s="60" t="n">
        <v>70</v>
      </c>
    </row>
    <row r="3915" customFormat="false" ht="15" hidden="false" customHeight="false" outlineLevel="0" collapsed="false">
      <c r="A3915" s="0" t="n">
        <v>3</v>
      </c>
      <c r="B3915" s="59" t="n">
        <v>46248</v>
      </c>
      <c r="C3915" s="0" t="n">
        <v>6</v>
      </c>
      <c r="D3915" s="0" t="s">
        <v>2125</v>
      </c>
      <c r="E3915" s="0" t="n">
        <v>42</v>
      </c>
      <c r="F3915" s="0" t="s">
        <v>81</v>
      </c>
      <c r="I3915" s="0" t="n">
        <v>4502</v>
      </c>
      <c r="J3915" s="0" t="n">
        <v>100148</v>
      </c>
      <c r="K3915" s="0" t="n">
        <v>149</v>
      </c>
      <c r="L3915" s="0" t="s">
        <v>2272</v>
      </c>
      <c r="N3915" s="0" t="n">
        <v>6.48</v>
      </c>
      <c r="O3915" s="60" t="n">
        <v>77.5</v>
      </c>
    </row>
    <row r="3916" customFormat="false" ht="15" hidden="false" customHeight="false" outlineLevel="0" collapsed="false">
      <c r="A3916" s="0" t="n">
        <v>3</v>
      </c>
      <c r="B3916" s="59" t="n">
        <v>46248</v>
      </c>
      <c r="C3916" s="0" t="n">
        <v>6</v>
      </c>
      <c r="D3916" s="0" t="s">
        <v>2125</v>
      </c>
      <c r="E3916" s="0" t="n">
        <v>42</v>
      </c>
      <c r="F3916" s="0" t="s">
        <v>81</v>
      </c>
      <c r="I3916" s="0" t="n">
        <v>4502</v>
      </c>
      <c r="J3916" s="0" t="n">
        <v>110265</v>
      </c>
      <c r="K3916" s="0" t="n">
        <v>41346</v>
      </c>
      <c r="L3916" s="0" t="s">
        <v>3007</v>
      </c>
      <c r="N3916" s="0" t="n">
        <v>7.8</v>
      </c>
      <c r="O3916" s="60" t="n">
        <v>109</v>
      </c>
    </row>
    <row r="3917" customFormat="false" ht="15" hidden="false" customHeight="false" outlineLevel="0" collapsed="false">
      <c r="A3917" s="0" t="n">
        <v>3</v>
      </c>
      <c r="B3917" s="59" t="n">
        <v>46248</v>
      </c>
      <c r="C3917" s="0" t="n">
        <v>6</v>
      </c>
      <c r="D3917" s="0" t="s">
        <v>2125</v>
      </c>
      <c r="E3917" s="0" t="n">
        <v>42</v>
      </c>
      <c r="F3917" s="0" t="s">
        <v>81</v>
      </c>
      <c r="I3917" s="0" t="n">
        <v>4505</v>
      </c>
      <c r="J3917" s="0" t="n">
        <v>100112</v>
      </c>
      <c r="K3917" s="0" t="n">
        <v>113</v>
      </c>
      <c r="L3917" s="0" t="s">
        <v>2263</v>
      </c>
      <c r="N3917" s="0" t="n">
        <v>14.366</v>
      </c>
      <c r="O3917" s="60" t="n">
        <v>43.1</v>
      </c>
    </row>
    <row r="3918" customFormat="false" ht="15" hidden="false" customHeight="false" outlineLevel="0" collapsed="false">
      <c r="A3918" s="0" t="n">
        <v>3</v>
      </c>
      <c r="B3918" s="59" t="n">
        <v>46248</v>
      </c>
      <c r="C3918" s="0" t="n">
        <v>6</v>
      </c>
      <c r="D3918" s="0" t="s">
        <v>2125</v>
      </c>
      <c r="E3918" s="0" t="n">
        <v>42</v>
      </c>
      <c r="F3918" s="0" t="s">
        <v>81</v>
      </c>
      <c r="I3918" s="0" t="n">
        <v>4505</v>
      </c>
      <c r="J3918" s="0" t="n">
        <v>100116</v>
      </c>
      <c r="K3918" s="0" t="n">
        <v>117</v>
      </c>
      <c r="L3918" s="0" t="s">
        <v>2266</v>
      </c>
      <c r="N3918" s="0" t="n">
        <v>3.662</v>
      </c>
      <c r="O3918" s="60" t="n">
        <v>43.94</v>
      </c>
    </row>
    <row r="3919" customFormat="false" ht="15" hidden="false" customHeight="false" outlineLevel="0" collapsed="false">
      <c r="A3919" s="0" t="n">
        <v>3</v>
      </c>
      <c r="B3919" s="59" t="n">
        <v>46248</v>
      </c>
      <c r="C3919" s="0" t="n">
        <v>11</v>
      </c>
      <c r="D3919" s="0" t="s">
        <v>2126</v>
      </c>
      <c r="E3919" s="0" t="n">
        <v>1916</v>
      </c>
      <c r="F3919" s="0" t="s">
        <v>353</v>
      </c>
      <c r="I3919" s="0" t="n">
        <v>111</v>
      </c>
      <c r="J3919" s="0" t="n">
        <v>43963</v>
      </c>
      <c r="K3919" s="0" t="n">
        <v>7890000002844</v>
      </c>
      <c r="L3919" s="0" t="s">
        <v>2256</v>
      </c>
      <c r="N3919" s="0" t="n">
        <v>40</v>
      </c>
      <c r="O3919" s="60" t="n">
        <v>112</v>
      </c>
    </row>
    <row r="3920" customFormat="false" ht="15" hidden="false" customHeight="false" outlineLevel="0" collapsed="false">
      <c r="A3920" s="0" t="n">
        <v>3</v>
      </c>
      <c r="B3920" s="59" t="n">
        <v>46248</v>
      </c>
      <c r="C3920" s="0" t="n">
        <v>11</v>
      </c>
      <c r="D3920" s="0" t="s">
        <v>2126</v>
      </c>
      <c r="E3920" s="0" t="n">
        <v>1916</v>
      </c>
      <c r="F3920" s="0" t="s">
        <v>353</v>
      </c>
      <c r="I3920" s="0" t="n">
        <v>111</v>
      </c>
      <c r="J3920" s="0" t="n">
        <v>43965</v>
      </c>
      <c r="K3920" s="0" t="n">
        <v>7898567710226</v>
      </c>
      <c r="L3920" s="0" t="s">
        <v>2257</v>
      </c>
      <c r="N3920" s="0" t="n">
        <v>25</v>
      </c>
      <c r="O3920" s="60" t="n">
        <v>137.5</v>
      </c>
    </row>
    <row r="3921" customFormat="false" ht="15" hidden="false" customHeight="false" outlineLevel="0" collapsed="false">
      <c r="A3921" s="0" t="n">
        <v>3</v>
      </c>
      <c r="B3921" s="59" t="n">
        <v>46248</v>
      </c>
      <c r="C3921" s="0" t="n">
        <v>11</v>
      </c>
      <c r="D3921" s="0" t="s">
        <v>2126</v>
      </c>
      <c r="E3921" s="0" t="n">
        <v>1828</v>
      </c>
      <c r="F3921" s="0" t="s">
        <v>280</v>
      </c>
      <c r="I3921" s="0" t="n">
        <v>1431</v>
      </c>
      <c r="J3921" s="0" t="n">
        <v>14247</v>
      </c>
      <c r="K3921" s="0" t="n">
        <v>2229416</v>
      </c>
      <c r="L3921" s="0" t="s">
        <v>2247</v>
      </c>
      <c r="N3921" s="0" t="n">
        <v>25</v>
      </c>
      <c r="O3921" s="60" t="n">
        <v>145</v>
      </c>
    </row>
    <row r="3922" customFormat="false" ht="15" hidden="false" customHeight="false" outlineLevel="0" collapsed="false">
      <c r="A3922" s="0" t="n">
        <v>3</v>
      </c>
      <c r="B3922" s="59" t="n">
        <v>46248</v>
      </c>
      <c r="C3922" s="0" t="n">
        <v>11</v>
      </c>
      <c r="D3922" s="0" t="s">
        <v>2126</v>
      </c>
      <c r="E3922" s="0" t="n">
        <v>1828</v>
      </c>
      <c r="F3922" s="0" t="s">
        <v>280</v>
      </c>
      <c r="I3922" s="0" t="n">
        <v>1431</v>
      </c>
      <c r="J3922" s="0" t="n">
        <v>14248</v>
      </c>
      <c r="K3922" s="0" t="n">
        <v>2229423</v>
      </c>
      <c r="L3922" s="0" t="s">
        <v>2248</v>
      </c>
      <c r="N3922" s="0" t="n">
        <v>35</v>
      </c>
      <c r="O3922" s="60" t="n">
        <v>245</v>
      </c>
    </row>
    <row r="3923" customFormat="false" ht="15" hidden="false" customHeight="false" outlineLevel="0" collapsed="false">
      <c r="A3923" s="0" t="n">
        <v>3</v>
      </c>
      <c r="B3923" s="59" t="n">
        <v>46248</v>
      </c>
      <c r="C3923" s="0" t="n">
        <v>11</v>
      </c>
      <c r="D3923" s="0" t="s">
        <v>2126</v>
      </c>
      <c r="E3923" s="0" t="n">
        <v>1828</v>
      </c>
      <c r="F3923" s="0" t="s">
        <v>280</v>
      </c>
      <c r="I3923" s="0" t="n">
        <v>1431</v>
      </c>
      <c r="J3923" s="0" t="n">
        <v>20541</v>
      </c>
      <c r="K3923" s="0" t="n">
        <v>2232829</v>
      </c>
      <c r="L3923" s="0" t="s">
        <v>2249</v>
      </c>
      <c r="N3923" s="0" t="n">
        <v>30</v>
      </c>
      <c r="O3923" s="60" t="n">
        <v>281.94</v>
      </c>
    </row>
    <row r="3924" customFormat="false" ht="15" hidden="false" customHeight="false" outlineLevel="0" collapsed="false">
      <c r="A3924" s="0" t="n">
        <v>3</v>
      </c>
      <c r="B3924" s="59" t="n">
        <v>46248</v>
      </c>
      <c r="C3924" s="0" t="n">
        <v>11</v>
      </c>
      <c r="D3924" s="0" t="s">
        <v>2126</v>
      </c>
      <c r="E3924" s="0" t="n">
        <v>1828</v>
      </c>
      <c r="F3924" s="0" t="s">
        <v>280</v>
      </c>
      <c r="I3924" s="0" t="n">
        <v>1431</v>
      </c>
      <c r="J3924" s="0" t="n">
        <v>81207</v>
      </c>
      <c r="K3924" s="0" t="n">
        <v>812085</v>
      </c>
      <c r="L3924" s="0" t="s">
        <v>3334</v>
      </c>
      <c r="N3924" s="0" t="n">
        <v>10</v>
      </c>
      <c r="O3924" s="60" t="n">
        <v>40</v>
      </c>
    </row>
    <row r="3925" customFormat="false" ht="15" hidden="false" customHeight="false" outlineLevel="0" collapsed="false">
      <c r="A3925" s="0" t="n">
        <v>3</v>
      </c>
      <c r="B3925" s="59" t="n">
        <v>46248</v>
      </c>
      <c r="C3925" s="0" t="n">
        <v>11</v>
      </c>
      <c r="D3925" s="0" t="s">
        <v>2126</v>
      </c>
      <c r="E3925" s="0" t="n">
        <v>10063</v>
      </c>
      <c r="F3925" s="0" t="s">
        <v>220</v>
      </c>
      <c r="I3925" s="0" t="n">
        <v>2703</v>
      </c>
      <c r="J3925" s="0" t="n">
        <v>100174</v>
      </c>
      <c r="K3925" s="0" t="n">
        <v>7898141930286</v>
      </c>
      <c r="L3925" s="0" t="s">
        <v>2250</v>
      </c>
      <c r="N3925" s="0" t="n">
        <v>1080</v>
      </c>
      <c r="O3925" s="60" t="n">
        <v>570</v>
      </c>
    </row>
    <row r="3926" customFormat="false" ht="15" hidden="false" customHeight="false" outlineLevel="0" collapsed="false">
      <c r="A3926" s="0" t="n">
        <v>3</v>
      </c>
      <c r="B3926" s="59" t="n">
        <v>46248</v>
      </c>
      <c r="C3926" s="0" t="n">
        <v>11</v>
      </c>
      <c r="D3926" s="0" t="s">
        <v>2126</v>
      </c>
      <c r="E3926" s="0" t="n">
        <v>10063</v>
      </c>
      <c r="F3926" s="0" t="s">
        <v>220</v>
      </c>
      <c r="I3926" s="0" t="n">
        <v>2703</v>
      </c>
      <c r="J3926" s="0" t="n">
        <v>100933</v>
      </c>
      <c r="K3926" s="0" t="n">
        <v>7896982100059</v>
      </c>
      <c r="L3926" s="0" t="s">
        <v>2251</v>
      </c>
      <c r="N3926" s="0" t="n">
        <v>2520</v>
      </c>
      <c r="O3926" s="60" t="n">
        <v>1295</v>
      </c>
    </row>
    <row r="3927" customFormat="false" ht="15" hidden="false" customHeight="false" outlineLevel="0" collapsed="false">
      <c r="A3927" s="0" t="n">
        <v>3</v>
      </c>
      <c r="B3927" s="59" t="n">
        <v>46248</v>
      </c>
      <c r="C3927" s="0" t="n">
        <v>11</v>
      </c>
      <c r="D3927" s="0" t="s">
        <v>2126</v>
      </c>
      <c r="E3927" s="0" t="n">
        <v>10048</v>
      </c>
      <c r="F3927" s="0" t="s">
        <v>1625</v>
      </c>
      <c r="I3927" s="0" t="n">
        <v>3032</v>
      </c>
      <c r="J3927" s="0" t="n">
        <v>14127</v>
      </c>
      <c r="K3927" s="0" t="n">
        <v>7898080640635</v>
      </c>
      <c r="L3927" s="0" t="s">
        <v>2516</v>
      </c>
      <c r="N3927" s="0" t="n">
        <v>12</v>
      </c>
      <c r="O3927" s="60" t="n">
        <v>80.28</v>
      </c>
    </row>
    <row r="3928" customFormat="false" ht="15" hidden="false" customHeight="false" outlineLevel="0" collapsed="false">
      <c r="A3928" s="0" t="n">
        <v>3</v>
      </c>
      <c r="B3928" s="59" t="n">
        <v>46248</v>
      </c>
      <c r="C3928" s="0" t="n">
        <v>11</v>
      </c>
      <c r="D3928" s="0" t="s">
        <v>2126</v>
      </c>
      <c r="E3928" s="0" t="n">
        <v>10048</v>
      </c>
      <c r="F3928" s="0" t="s">
        <v>1625</v>
      </c>
      <c r="I3928" s="0" t="n">
        <v>3032</v>
      </c>
      <c r="J3928" s="0" t="n">
        <v>14128</v>
      </c>
      <c r="K3928" s="0" t="n">
        <v>7898080640611</v>
      </c>
      <c r="L3928" s="0" t="s">
        <v>2517</v>
      </c>
      <c r="N3928" s="0" t="n">
        <v>108</v>
      </c>
      <c r="O3928" s="60" t="n">
        <v>722.52</v>
      </c>
    </row>
    <row r="3929" customFormat="false" ht="15" hidden="false" customHeight="false" outlineLevel="0" collapsed="false">
      <c r="A3929" s="0" t="n">
        <v>3</v>
      </c>
      <c r="B3929" s="59" t="n">
        <v>46248</v>
      </c>
      <c r="C3929" s="0" t="n">
        <v>11</v>
      </c>
      <c r="D3929" s="0" t="s">
        <v>2126</v>
      </c>
      <c r="E3929" s="0" t="n">
        <v>1615</v>
      </c>
      <c r="F3929" s="0" t="s">
        <v>131</v>
      </c>
      <c r="I3929" s="0" t="n">
        <v>15115</v>
      </c>
      <c r="J3929" s="0" t="n">
        <v>100101</v>
      </c>
      <c r="K3929" s="0" t="n">
        <v>102</v>
      </c>
      <c r="L3929" s="0" t="s">
        <v>2738</v>
      </c>
      <c r="N3929" s="0" t="n">
        <v>10</v>
      </c>
      <c r="O3929" s="60" t="n">
        <v>240</v>
      </c>
    </row>
    <row r="3930" customFormat="false" ht="15" hidden="false" customHeight="false" outlineLevel="0" collapsed="false">
      <c r="A3930" s="0" t="n">
        <v>3</v>
      </c>
      <c r="B3930" s="59" t="n">
        <v>46248</v>
      </c>
      <c r="C3930" s="0" t="n">
        <v>11</v>
      </c>
      <c r="D3930" s="0" t="s">
        <v>2126</v>
      </c>
      <c r="E3930" s="0" t="n">
        <v>1615</v>
      </c>
      <c r="F3930" s="0" t="s">
        <v>131</v>
      </c>
      <c r="I3930" s="0" t="n">
        <v>15115</v>
      </c>
      <c r="J3930" s="0" t="n">
        <v>100114</v>
      </c>
      <c r="K3930" s="0" t="n">
        <v>115</v>
      </c>
      <c r="L3930" s="0" t="s">
        <v>2253</v>
      </c>
      <c r="N3930" s="0" t="n">
        <v>18</v>
      </c>
      <c r="O3930" s="60" t="n">
        <v>180</v>
      </c>
    </row>
    <row r="3931" customFormat="false" ht="15" hidden="false" customHeight="false" outlineLevel="0" collapsed="false">
      <c r="A3931" s="0" t="n">
        <v>3</v>
      </c>
      <c r="B3931" s="59" t="n">
        <v>46248</v>
      </c>
      <c r="C3931" s="0" t="n">
        <v>11</v>
      </c>
      <c r="D3931" s="0" t="s">
        <v>2126</v>
      </c>
      <c r="E3931" s="0" t="n">
        <v>1615</v>
      </c>
      <c r="F3931" s="0" t="s">
        <v>131</v>
      </c>
      <c r="I3931" s="0" t="n">
        <v>15115</v>
      </c>
      <c r="J3931" s="0" t="n">
        <v>100119</v>
      </c>
      <c r="K3931" s="0" t="n">
        <v>120</v>
      </c>
      <c r="L3931" s="0" t="s">
        <v>2254</v>
      </c>
      <c r="N3931" s="0" t="n">
        <v>9</v>
      </c>
      <c r="O3931" s="60" t="n">
        <v>130</v>
      </c>
    </row>
    <row r="3932" customFormat="false" ht="15" hidden="false" customHeight="false" outlineLevel="0" collapsed="false">
      <c r="A3932" s="0" t="n">
        <v>3</v>
      </c>
      <c r="B3932" s="59" t="n">
        <v>46248</v>
      </c>
      <c r="C3932" s="0" t="n">
        <v>11</v>
      </c>
      <c r="D3932" s="0" t="s">
        <v>2126</v>
      </c>
      <c r="E3932" s="0" t="n">
        <v>1921</v>
      </c>
      <c r="F3932" s="0" t="s">
        <v>249</v>
      </c>
      <c r="I3932" s="0" t="n">
        <v>21254</v>
      </c>
      <c r="J3932" s="0" t="n">
        <v>44581</v>
      </c>
      <c r="K3932" s="0" t="n">
        <v>144827</v>
      </c>
      <c r="L3932" s="0" t="s">
        <v>2903</v>
      </c>
      <c r="N3932" s="0" t="n">
        <v>10</v>
      </c>
      <c r="O3932" s="60" t="n">
        <v>61.64</v>
      </c>
    </row>
    <row r="3933" customFormat="false" ht="15" hidden="false" customHeight="false" outlineLevel="0" collapsed="false">
      <c r="A3933" s="0" t="n">
        <v>3</v>
      </c>
      <c r="B3933" s="59" t="n">
        <v>46248</v>
      </c>
      <c r="C3933" s="0" t="n">
        <v>11</v>
      </c>
      <c r="D3933" s="0" t="s">
        <v>2126</v>
      </c>
      <c r="E3933" s="0" t="n">
        <v>1921</v>
      </c>
      <c r="F3933" s="0" t="s">
        <v>249</v>
      </c>
      <c r="I3933" s="0" t="n">
        <v>21254</v>
      </c>
      <c r="J3933" s="0" t="n">
        <v>45856</v>
      </c>
      <c r="K3933" s="0" t="n">
        <v>7899085120443</v>
      </c>
      <c r="L3933" s="0" t="s">
        <v>2907</v>
      </c>
      <c r="N3933" s="0" t="n">
        <v>30</v>
      </c>
      <c r="O3933" s="60" t="n">
        <v>63</v>
      </c>
    </row>
    <row r="3934" customFormat="false" ht="15" hidden="false" customHeight="false" outlineLevel="0" collapsed="false">
      <c r="A3934" s="0" t="n">
        <v>3</v>
      </c>
      <c r="B3934" s="59" t="n">
        <v>46248</v>
      </c>
      <c r="C3934" s="0" t="n">
        <v>11</v>
      </c>
      <c r="D3934" s="0" t="s">
        <v>2126</v>
      </c>
      <c r="E3934" s="0" t="n">
        <v>1921</v>
      </c>
      <c r="F3934" s="0" t="s">
        <v>249</v>
      </c>
      <c r="I3934" s="0" t="n">
        <v>21254</v>
      </c>
      <c r="J3934" s="0" t="n">
        <v>46077</v>
      </c>
      <c r="K3934" s="0" t="n">
        <v>7899085120221</v>
      </c>
      <c r="L3934" s="0" t="s">
        <v>2908</v>
      </c>
      <c r="N3934" s="0" t="n">
        <v>20</v>
      </c>
      <c r="O3934" s="60" t="n">
        <v>40.15</v>
      </c>
    </row>
    <row r="3935" customFormat="false" ht="15" hidden="false" customHeight="false" outlineLevel="0" collapsed="false">
      <c r="A3935" s="0" t="n">
        <v>3</v>
      </c>
      <c r="B3935" s="59" t="n">
        <v>46248</v>
      </c>
      <c r="C3935" s="0" t="n">
        <v>11</v>
      </c>
      <c r="D3935" s="0" t="s">
        <v>2126</v>
      </c>
      <c r="E3935" s="0" t="n">
        <v>1921</v>
      </c>
      <c r="F3935" s="0" t="s">
        <v>249</v>
      </c>
      <c r="I3935" s="0" t="n">
        <v>21254</v>
      </c>
      <c r="J3935" s="0" t="n">
        <v>46078</v>
      </c>
      <c r="K3935" s="0" t="n">
        <v>7899085120016</v>
      </c>
      <c r="L3935" s="0" t="s">
        <v>2909</v>
      </c>
      <c r="N3935" s="0" t="n">
        <v>20</v>
      </c>
      <c r="O3935" s="60" t="n">
        <v>48.75</v>
      </c>
    </row>
    <row r="3936" customFormat="false" ht="15" hidden="false" customHeight="false" outlineLevel="0" collapsed="false">
      <c r="A3936" s="0" t="n">
        <v>3</v>
      </c>
      <c r="B3936" s="59" t="n">
        <v>46248</v>
      </c>
      <c r="C3936" s="0" t="n">
        <v>11</v>
      </c>
      <c r="D3936" s="0" t="s">
        <v>2126</v>
      </c>
      <c r="E3936" s="0" t="n">
        <v>1921</v>
      </c>
      <c r="F3936" s="0" t="s">
        <v>249</v>
      </c>
      <c r="I3936" s="0" t="n">
        <v>21254</v>
      </c>
      <c r="J3936" s="0" t="n">
        <v>46092</v>
      </c>
      <c r="K3936" s="0" t="n">
        <v>7899085120566</v>
      </c>
      <c r="L3936" s="0" t="s">
        <v>3739</v>
      </c>
      <c r="N3936" s="0" t="n">
        <v>20</v>
      </c>
      <c r="O3936" s="60" t="n">
        <v>42.52</v>
      </c>
    </row>
    <row r="3937" customFormat="false" ht="15" hidden="false" customHeight="false" outlineLevel="0" collapsed="false">
      <c r="A3937" s="0" t="n">
        <v>3</v>
      </c>
      <c r="B3937" s="59" t="n">
        <v>46248</v>
      </c>
      <c r="C3937" s="0" t="n">
        <v>11</v>
      </c>
      <c r="D3937" s="0" t="s">
        <v>2126</v>
      </c>
      <c r="E3937" s="0" t="n">
        <v>1921</v>
      </c>
      <c r="F3937" s="0" t="s">
        <v>249</v>
      </c>
      <c r="I3937" s="0" t="n">
        <v>21254</v>
      </c>
      <c r="J3937" s="0" t="n">
        <v>46093</v>
      </c>
      <c r="K3937" s="0" t="n">
        <v>7899085120597</v>
      </c>
      <c r="L3937" s="0" t="s">
        <v>2913</v>
      </c>
      <c r="N3937" s="0" t="n">
        <v>20</v>
      </c>
      <c r="O3937" s="60" t="n">
        <v>43.26</v>
      </c>
    </row>
    <row r="3938" customFormat="false" ht="15" hidden="false" customHeight="false" outlineLevel="0" collapsed="false">
      <c r="A3938" s="0" t="n">
        <v>3</v>
      </c>
      <c r="B3938" s="59" t="n">
        <v>46248</v>
      </c>
      <c r="C3938" s="0" t="n">
        <v>11</v>
      </c>
      <c r="D3938" s="0" t="s">
        <v>2126</v>
      </c>
      <c r="E3938" s="0" t="n">
        <v>1921</v>
      </c>
      <c r="F3938" s="0" t="s">
        <v>249</v>
      </c>
      <c r="I3938" s="0" t="n">
        <v>21254</v>
      </c>
      <c r="J3938" s="0" t="n">
        <v>46095</v>
      </c>
      <c r="K3938" s="0" t="n">
        <v>7899085120641</v>
      </c>
      <c r="L3938" s="0" t="s">
        <v>3740</v>
      </c>
      <c r="N3938" s="0" t="n">
        <v>20</v>
      </c>
      <c r="O3938" s="60" t="n">
        <v>41.22</v>
      </c>
    </row>
    <row r="3939" customFormat="false" ht="15" hidden="false" customHeight="false" outlineLevel="0" collapsed="false">
      <c r="A3939" s="0" t="n">
        <v>3</v>
      </c>
      <c r="B3939" s="59" t="n">
        <v>46248</v>
      </c>
      <c r="C3939" s="0" t="n">
        <v>11</v>
      </c>
      <c r="D3939" s="0" t="s">
        <v>2126</v>
      </c>
      <c r="E3939" s="0" t="n">
        <v>1921</v>
      </c>
      <c r="F3939" s="0" t="s">
        <v>249</v>
      </c>
      <c r="I3939" s="0" t="n">
        <v>21254</v>
      </c>
      <c r="J3939" s="0" t="n">
        <v>46588</v>
      </c>
      <c r="K3939" s="0" t="n">
        <v>7899085120924</v>
      </c>
      <c r="L3939" s="0" t="s">
        <v>2915</v>
      </c>
      <c r="N3939" s="0" t="n">
        <v>15</v>
      </c>
      <c r="O3939" s="60" t="n">
        <v>65.93</v>
      </c>
    </row>
    <row r="3940" customFormat="false" ht="15" hidden="false" customHeight="false" outlineLevel="0" collapsed="false">
      <c r="A3940" s="0" t="n">
        <v>3</v>
      </c>
      <c r="B3940" s="59" t="n">
        <v>46248</v>
      </c>
      <c r="C3940" s="0" t="n">
        <v>11</v>
      </c>
      <c r="D3940" s="0" t="s">
        <v>2126</v>
      </c>
      <c r="E3940" s="0" t="n">
        <v>1921</v>
      </c>
      <c r="F3940" s="0" t="s">
        <v>249</v>
      </c>
      <c r="I3940" s="0" t="n">
        <v>21254</v>
      </c>
      <c r="J3940" s="0" t="n">
        <v>47041</v>
      </c>
      <c r="K3940" s="0" t="n">
        <v>7899085120252</v>
      </c>
      <c r="L3940" s="0" t="s">
        <v>3741</v>
      </c>
      <c r="N3940" s="0" t="n">
        <v>20</v>
      </c>
      <c r="O3940" s="60" t="n">
        <v>78.83</v>
      </c>
    </row>
    <row r="3941" customFormat="false" ht="15" hidden="false" customHeight="false" outlineLevel="0" collapsed="false">
      <c r="A3941" s="0" t="n">
        <v>3</v>
      </c>
      <c r="B3941" s="59" t="n">
        <v>46248</v>
      </c>
      <c r="C3941" s="0" t="n">
        <v>11</v>
      </c>
      <c r="D3941" s="0" t="s">
        <v>2126</v>
      </c>
      <c r="E3941" s="0" t="n">
        <v>1921</v>
      </c>
      <c r="F3941" s="0" t="s">
        <v>249</v>
      </c>
      <c r="I3941" s="0" t="n">
        <v>21254</v>
      </c>
      <c r="J3941" s="0" t="n">
        <v>47043</v>
      </c>
      <c r="K3941" s="0" t="n">
        <v>7899085120276</v>
      </c>
      <c r="L3941" s="0" t="s">
        <v>3742</v>
      </c>
      <c r="N3941" s="0" t="n">
        <v>20</v>
      </c>
      <c r="O3941" s="60" t="n">
        <v>46.69</v>
      </c>
    </row>
    <row r="3942" customFormat="false" ht="15" hidden="false" customHeight="false" outlineLevel="0" collapsed="false">
      <c r="A3942" s="0" t="n">
        <v>3</v>
      </c>
      <c r="B3942" s="59" t="n">
        <v>46248</v>
      </c>
      <c r="C3942" s="0" t="n">
        <v>11</v>
      </c>
      <c r="D3942" s="0" t="s">
        <v>2126</v>
      </c>
      <c r="E3942" s="0" t="n">
        <v>1921</v>
      </c>
      <c r="F3942" s="0" t="s">
        <v>249</v>
      </c>
      <c r="I3942" s="0" t="n">
        <v>21254</v>
      </c>
      <c r="J3942" s="0" t="n">
        <v>47045</v>
      </c>
      <c r="K3942" s="0" t="n">
        <v>7899085120351</v>
      </c>
      <c r="L3942" s="0" t="s">
        <v>3743</v>
      </c>
      <c r="N3942" s="0" t="n">
        <v>20</v>
      </c>
      <c r="O3942" s="60" t="n">
        <v>44.44</v>
      </c>
    </row>
    <row r="3943" customFormat="false" ht="15" hidden="false" customHeight="false" outlineLevel="0" collapsed="false">
      <c r="A3943" s="0" t="n">
        <v>3</v>
      </c>
      <c r="B3943" s="59" t="n">
        <v>46248</v>
      </c>
      <c r="C3943" s="0" t="n">
        <v>11</v>
      </c>
      <c r="D3943" s="0" t="s">
        <v>2126</v>
      </c>
      <c r="E3943" s="0" t="n">
        <v>1921</v>
      </c>
      <c r="F3943" s="0" t="s">
        <v>249</v>
      </c>
      <c r="I3943" s="0" t="n">
        <v>21254</v>
      </c>
      <c r="J3943" s="0" t="n">
        <v>47046</v>
      </c>
      <c r="K3943" s="0" t="n">
        <v>7899085120436</v>
      </c>
      <c r="L3943" s="0" t="s">
        <v>2917</v>
      </c>
      <c r="N3943" s="0" t="n">
        <v>30</v>
      </c>
      <c r="O3943" s="60" t="n">
        <v>41.22</v>
      </c>
    </row>
    <row r="3944" customFormat="false" ht="15" hidden="false" customHeight="false" outlineLevel="0" collapsed="false">
      <c r="A3944" s="0" t="n">
        <v>3</v>
      </c>
      <c r="B3944" s="59" t="n">
        <v>46248</v>
      </c>
      <c r="C3944" s="0" t="n">
        <v>11</v>
      </c>
      <c r="D3944" s="0" t="s">
        <v>2126</v>
      </c>
      <c r="E3944" s="0" t="n">
        <v>1921</v>
      </c>
      <c r="F3944" s="0" t="s">
        <v>249</v>
      </c>
      <c r="I3944" s="0" t="n">
        <v>21254</v>
      </c>
      <c r="J3944" s="0" t="n">
        <v>47047</v>
      </c>
      <c r="K3944" s="0" t="n">
        <v>7899085120108</v>
      </c>
      <c r="L3944" s="0" t="s">
        <v>2918</v>
      </c>
      <c r="N3944" s="0" t="n">
        <v>20</v>
      </c>
      <c r="O3944" s="60" t="n">
        <v>38</v>
      </c>
    </row>
    <row r="3945" customFormat="false" ht="15" hidden="false" customHeight="false" outlineLevel="0" collapsed="false">
      <c r="A3945" s="0" t="n">
        <v>3</v>
      </c>
      <c r="B3945" s="59" t="n">
        <v>46248</v>
      </c>
      <c r="C3945" s="0" t="n">
        <v>11</v>
      </c>
      <c r="D3945" s="0" t="s">
        <v>2126</v>
      </c>
      <c r="E3945" s="0" t="n">
        <v>1921</v>
      </c>
      <c r="F3945" s="0" t="s">
        <v>249</v>
      </c>
      <c r="I3945" s="0" t="n">
        <v>21254</v>
      </c>
      <c r="J3945" s="0" t="n">
        <v>47049</v>
      </c>
      <c r="K3945" s="0" t="n">
        <v>7899085120474</v>
      </c>
      <c r="L3945" s="0" t="s">
        <v>3744</v>
      </c>
      <c r="N3945" s="0" t="n">
        <v>20</v>
      </c>
      <c r="O3945" s="60" t="n">
        <v>45.52</v>
      </c>
    </row>
    <row r="3946" customFormat="false" ht="15" hidden="false" customHeight="false" outlineLevel="0" collapsed="false">
      <c r="A3946" s="0" t="n">
        <v>3</v>
      </c>
      <c r="B3946" s="59" t="n">
        <v>46248</v>
      </c>
      <c r="C3946" s="0" t="n">
        <v>11</v>
      </c>
      <c r="D3946" s="0" t="s">
        <v>2126</v>
      </c>
      <c r="E3946" s="0" t="n">
        <v>1921</v>
      </c>
      <c r="F3946" s="0" t="s">
        <v>249</v>
      </c>
      <c r="I3946" s="0" t="n">
        <v>21254</v>
      </c>
      <c r="J3946" s="0" t="n">
        <v>47050</v>
      </c>
      <c r="K3946" s="0" t="n">
        <v>7899085120146</v>
      </c>
      <c r="L3946" s="0" t="s">
        <v>2920</v>
      </c>
      <c r="N3946" s="0" t="n">
        <v>20</v>
      </c>
      <c r="O3946" s="60" t="n">
        <v>38</v>
      </c>
    </row>
    <row r="3947" customFormat="false" ht="15" hidden="false" customHeight="false" outlineLevel="0" collapsed="false">
      <c r="A3947" s="0" t="n">
        <v>3</v>
      </c>
      <c r="B3947" s="59" t="n">
        <v>46248</v>
      </c>
      <c r="C3947" s="0" t="n">
        <v>11</v>
      </c>
      <c r="D3947" s="0" t="s">
        <v>2126</v>
      </c>
      <c r="E3947" s="0" t="n">
        <v>1921</v>
      </c>
      <c r="F3947" s="0" t="s">
        <v>249</v>
      </c>
      <c r="I3947" s="0" t="n">
        <v>21254</v>
      </c>
      <c r="J3947" s="0" t="n">
        <v>47062</v>
      </c>
      <c r="K3947" s="0" t="n">
        <v>7899085120375</v>
      </c>
      <c r="L3947" s="0" t="s">
        <v>3745</v>
      </c>
      <c r="N3947" s="0" t="n">
        <v>10</v>
      </c>
      <c r="O3947" s="60" t="n">
        <v>28.33</v>
      </c>
    </row>
    <row r="3948" customFormat="false" ht="15" hidden="false" customHeight="false" outlineLevel="0" collapsed="false">
      <c r="A3948" s="0" t="n">
        <v>3</v>
      </c>
      <c r="B3948" s="59" t="n">
        <v>46248</v>
      </c>
      <c r="C3948" s="0" t="n">
        <v>11</v>
      </c>
      <c r="D3948" s="0" t="s">
        <v>2126</v>
      </c>
      <c r="E3948" s="0" t="n">
        <v>1921</v>
      </c>
      <c r="F3948" s="0" t="s">
        <v>249</v>
      </c>
      <c r="I3948" s="0" t="n">
        <v>21254</v>
      </c>
      <c r="J3948" s="0" t="n">
        <v>47064</v>
      </c>
      <c r="K3948" s="0" t="n">
        <v>7899085120122</v>
      </c>
      <c r="L3948" s="0" t="s">
        <v>2921</v>
      </c>
      <c r="N3948" s="0" t="n">
        <v>20</v>
      </c>
      <c r="O3948" s="60" t="n">
        <v>54.12</v>
      </c>
    </row>
    <row r="3949" customFormat="false" ht="15" hidden="false" customHeight="false" outlineLevel="0" collapsed="false">
      <c r="A3949" s="0" t="n">
        <v>3</v>
      </c>
      <c r="B3949" s="59" t="n">
        <v>46248</v>
      </c>
      <c r="C3949" s="0" t="n">
        <v>11</v>
      </c>
      <c r="D3949" s="0" t="s">
        <v>2126</v>
      </c>
      <c r="E3949" s="0" t="n">
        <v>1921</v>
      </c>
      <c r="F3949" s="0" t="s">
        <v>249</v>
      </c>
      <c r="I3949" s="0" t="n">
        <v>21254</v>
      </c>
      <c r="J3949" s="0" t="n">
        <v>47065</v>
      </c>
      <c r="K3949" s="0" t="n">
        <v>7899085120320</v>
      </c>
      <c r="L3949" s="0" t="s">
        <v>3746</v>
      </c>
      <c r="N3949" s="0" t="n">
        <v>20</v>
      </c>
      <c r="O3949" s="60" t="n">
        <v>41.22</v>
      </c>
    </row>
    <row r="3950" customFormat="false" ht="15" hidden="false" customHeight="false" outlineLevel="0" collapsed="false">
      <c r="A3950" s="0" t="n">
        <v>3</v>
      </c>
      <c r="B3950" s="59" t="n">
        <v>46248</v>
      </c>
      <c r="C3950" s="0" t="n">
        <v>11</v>
      </c>
      <c r="D3950" s="0" t="s">
        <v>2126</v>
      </c>
      <c r="E3950" s="0" t="n">
        <v>1921</v>
      </c>
      <c r="F3950" s="0" t="s">
        <v>249</v>
      </c>
      <c r="I3950" s="0" t="n">
        <v>21254</v>
      </c>
      <c r="J3950" s="0" t="n">
        <v>47067</v>
      </c>
      <c r="K3950" s="0" t="n">
        <v>7899085120573</v>
      </c>
      <c r="L3950" s="0" t="s">
        <v>2922</v>
      </c>
      <c r="N3950" s="0" t="n">
        <v>10</v>
      </c>
      <c r="O3950" s="60" t="n">
        <v>34.78</v>
      </c>
    </row>
    <row r="3951" customFormat="false" ht="15" hidden="false" customHeight="false" outlineLevel="0" collapsed="false">
      <c r="A3951" s="0" t="n">
        <v>3</v>
      </c>
      <c r="B3951" s="59" t="n">
        <v>46248</v>
      </c>
      <c r="C3951" s="0" t="n">
        <v>11</v>
      </c>
      <c r="D3951" s="0" t="s">
        <v>2126</v>
      </c>
      <c r="E3951" s="0" t="n">
        <v>1921</v>
      </c>
      <c r="F3951" s="0" t="s">
        <v>249</v>
      </c>
      <c r="I3951" s="0" t="n">
        <v>21254</v>
      </c>
      <c r="J3951" s="0" t="n">
        <v>48073</v>
      </c>
      <c r="K3951" s="0" t="n">
        <v>7899085120634</v>
      </c>
      <c r="L3951" s="0" t="s">
        <v>2923</v>
      </c>
      <c r="N3951" s="0" t="n">
        <v>20</v>
      </c>
      <c r="O3951" s="60" t="n">
        <v>41.22</v>
      </c>
    </row>
    <row r="3952" customFormat="false" ht="15" hidden="false" customHeight="false" outlineLevel="0" collapsed="false">
      <c r="A3952" s="0" t="n">
        <v>3</v>
      </c>
      <c r="B3952" s="59" t="n">
        <v>46248</v>
      </c>
      <c r="C3952" s="0" t="n">
        <v>11</v>
      </c>
      <c r="D3952" s="0" t="s">
        <v>2126</v>
      </c>
      <c r="E3952" s="0" t="n">
        <v>1921</v>
      </c>
      <c r="F3952" s="0" t="s">
        <v>249</v>
      </c>
      <c r="I3952" s="0" t="n">
        <v>21254</v>
      </c>
      <c r="J3952" s="0" t="n">
        <v>49143</v>
      </c>
      <c r="K3952" s="0" t="n">
        <v>7899085120412</v>
      </c>
      <c r="L3952" s="0" t="s">
        <v>3747</v>
      </c>
      <c r="N3952" s="0" t="n">
        <v>20</v>
      </c>
      <c r="O3952" s="60" t="n">
        <v>46.59</v>
      </c>
    </row>
    <row r="3953" customFormat="false" ht="15" hidden="false" customHeight="false" outlineLevel="0" collapsed="false">
      <c r="A3953" s="0" t="n">
        <v>3</v>
      </c>
      <c r="B3953" s="59" t="n">
        <v>46248</v>
      </c>
      <c r="C3953" s="0" t="n">
        <v>11</v>
      </c>
      <c r="D3953" s="0" t="s">
        <v>2126</v>
      </c>
      <c r="E3953" s="0" t="n">
        <v>1921</v>
      </c>
      <c r="F3953" s="0" t="s">
        <v>249</v>
      </c>
      <c r="I3953" s="0" t="n">
        <v>21254</v>
      </c>
      <c r="J3953" s="0" t="n">
        <v>49811</v>
      </c>
      <c r="K3953" s="0" t="n">
        <v>7899085120917</v>
      </c>
      <c r="L3953" s="0" t="s">
        <v>2924</v>
      </c>
      <c r="N3953" s="0" t="n">
        <v>20</v>
      </c>
      <c r="O3953" s="60" t="n">
        <v>41.22</v>
      </c>
    </row>
    <row r="3954" customFormat="false" ht="15" hidden="false" customHeight="false" outlineLevel="0" collapsed="false">
      <c r="A3954" s="0" t="n">
        <v>3</v>
      </c>
      <c r="B3954" s="59" t="n">
        <v>46248</v>
      </c>
      <c r="C3954" s="0" t="n">
        <v>11</v>
      </c>
      <c r="D3954" s="0" t="s">
        <v>2126</v>
      </c>
      <c r="E3954" s="0" t="n">
        <v>1921</v>
      </c>
      <c r="F3954" s="0" t="s">
        <v>249</v>
      </c>
      <c r="I3954" s="0" t="n">
        <v>21254</v>
      </c>
      <c r="J3954" s="0" t="n">
        <v>50797</v>
      </c>
      <c r="K3954" s="0" t="n">
        <v>7899085120245</v>
      </c>
      <c r="L3954" s="0" t="s">
        <v>3748</v>
      </c>
      <c r="N3954" s="0" t="n">
        <v>20</v>
      </c>
      <c r="O3954" s="60" t="n">
        <v>41.22</v>
      </c>
    </row>
    <row r="3955" customFormat="false" ht="15" hidden="false" customHeight="false" outlineLevel="0" collapsed="false">
      <c r="A3955" s="0" t="n">
        <v>3</v>
      </c>
      <c r="B3955" s="59" t="n">
        <v>46248</v>
      </c>
      <c r="C3955" s="0" t="n">
        <v>11</v>
      </c>
      <c r="D3955" s="0" t="s">
        <v>2126</v>
      </c>
      <c r="E3955" s="0" t="n">
        <v>1804</v>
      </c>
      <c r="F3955" s="0" t="s">
        <v>701</v>
      </c>
      <c r="I3955" s="0" t="n">
        <v>26350</v>
      </c>
      <c r="J3955" s="0" t="n">
        <v>30309</v>
      </c>
      <c r="K3955" s="0" t="n">
        <v>7898146000038</v>
      </c>
      <c r="L3955" s="0" t="s">
        <v>3749</v>
      </c>
      <c r="N3955" s="0" t="n">
        <v>24</v>
      </c>
      <c r="O3955" s="60" t="n">
        <v>161.76</v>
      </c>
    </row>
    <row r="3956" customFormat="false" ht="15" hidden="false" customHeight="false" outlineLevel="0" collapsed="false">
      <c r="A3956" s="0" t="n">
        <v>3</v>
      </c>
      <c r="B3956" s="59" t="n">
        <v>46248</v>
      </c>
      <c r="C3956" s="0" t="n">
        <v>11</v>
      </c>
      <c r="D3956" s="0" t="s">
        <v>2126</v>
      </c>
      <c r="E3956" s="0" t="n">
        <v>1804</v>
      </c>
      <c r="F3956" s="0" t="s">
        <v>701</v>
      </c>
      <c r="I3956" s="0" t="n">
        <v>26350</v>
      </c>
      <c r="J3956" s="0" t="n">
        <v>15607</v>
      </c>
      <c r="K3956" s="0" t="n">
        <v>7891340303714</v>
      </c>
      <c r="L3956" s="0" t="s">
        <v>2487</v>
      </c>
      <c r="N3956" s="0" t="n">
        <v>20</v>
      </c>
      <c r="O3956" s="60" t="n">
        <v>49.8</v>
      </c>
    </row>
    <row r="3957" customFormat="false" ht="15" hidden="false" customHeight="false" outlineLevel="0" collapsed="false">
      <c r="A3957" s="0" t="n">
        <v>3</v>
      </c>
      <c r="B3957" s="59" t="n">
        <v>46248</v>
      </c>
      <c r="C3957" s="0" t="n">
        <v>11</v>
      </c>
      <c r="D3957" s="0" t="s">
        <v>2126</v>
      </c>
      <c r="E3957" s="0" t="n">
        <v>1804</v>
      </c>
      <c r="F3957" s="0" t="s">
        <v>701</v>
      </c>
      <c r="I3957" s="0" t="n">
        <v>26350</v>
      </c>
      <c r="J3957" s="0" t="n">
        <v>15608</v>
      </c>
      <c r="K3957" s="0" t="n">
        <v>7891340303233</v>
      </c>
      <c r="L3957" s="0" t="s">
        <v>2488</v>
      </c>
      <c r="N3957" s="0" t="n">
        <v>20</v>
      </c>
      <c r="O3957" s="60" t="n">
        <v>49.8</v>
      </c>
    </row>
    <row r="3958" customFormat="false" ht="15" hidden="false" customHeight="false" outlineLevel="0" collapsed="false">
      <c r="A3958" s="0" t="n">
        <v>3</v>
      </c>
      <c r="B3958" s="59" t="n">
        <v>46248</v>
      </c>
      <c r="C3958" s="0" t="n">
        <v>11</v>
      </c>
      <c r="D3958" s="0" t="s">
        <v>2126</v>
      </c>
      <c r="E3958" s="0" t="n">
        <v>1804</v>
      </c>
      <c r="F3958" s="0" t="s">
        <v>701</v>
      </c>
      <c r="I3958" s="0" t="n">
        <v>26350</v>
      </c>
      <c r="J3958" s="0" t="n">
        <v>15650</v>
      </c>
      <c r="K3958" s="0" t="n">
        <v>7891340303615</v>
      </c>
      <c r="L3958" s="0" t="s">
        <v>2489</v>
      </c>
      <c r="N3958" s="0" t="n">
        <v>20</v>
      </c>
      <c r="O3958" s="60" t="n">
        <v>49.8</v>
      </c>
    </row>
    <row r="3959" customFormat="false" ht="15" hidden="false" customHeight="false" outlineLevel="0" collapsed="false">
      <c r="A3959" s="0" t="n">
        <v>3</v>
      </c>
      <c r="B3959" s="59" t="n">
        <v>46248</v>
      </c>
      <c r="C3959" s="0" t="n">
        <v>11</v>
      </c>
      <c r="D3959" s="0" t="s">
        <v>2126</v>
      </c>
      <c r="E3959" s="0" t="n">
        <v>1804</v>
      </c>
      <c r="F3959" s="0" t="s">
        <v>701</v>
      </c>
      <c r="I3959" s="0" t="n">
        <v>26350</v>
      </c>
      <c r="J3959" s="0" t="n">
        <v>24703</v>
      </c>
      <c r="K3959" s="0" t="n">
        <v>7893515611198</v>
      </c>
      <c r="L3959" s="0" t="s">
        <v>3750</v>
      </c>
      <c r="N3959" s="0" t="n">
        <v>12</v>
      </c>
      <c r="O3959" s="60" t="n">
        <v>115.8</v>
      </c>
    </row>
    <row r="3960" customFormat="false" ht="15" hidden="false" customHeight="false" outlineLevel="0" collapsed="false">
      <c r="A3960" s="0" t="n">
        <v>3</v>
      </c>
      <c r="B3960" s="59" t="n">
        <v>46248</v>
      </c>
      <c r="C3960" s="0" t="n">
        <v>11</v>
      </c>
      <c r="D3960" s="0" t="s">
        <v>2126</v>
      </c>
      <c r="E3960" s="0" t="n">
        <v>1804</v>
      </c>
      <c r="F3960" s="0" t="s">
        <v>701</v>
      </c>
      <c r="I3960" s="0" t="n">
        <v>26350</v>
      </c>
      <c r="J3960" s="0" t="n">
        <v>37303</v>
      </c>
      <c r="K3960" s="0" t="n">
        <v>7891340365392</v>
      </c>
      <c r="L3960" s="0" t="s">
        <v>2496</v>
      </c>
      <c r="N3960" s="0" t="n">
        <v>20</v>
      </c>
      <c r="O3960" s="60" t="n">
        <v>49.8</v>
      </c>
    </row>
    <row r="3961" customFormat="false" ht="15" hidden="false" customHeight="false" outlineLevel="0" collapsed="false">
      <c r="A3961" s="0" t="n">
        <v>3</v>
      </c>
      <c r="B3961" s="59" t="n">
        <v>46248</v>
      </c>
      <c r="C3961" s="0" t="n">
        <v>11</v>
      </c>
      <c r="D3961" s="0" t="s">
        <v>2126</v>
      </c>
      <c r="E3961" s="0" t="n">
        <v>1804</v>
      </c>
      <c r="F3961" s="0" t="s">
        <v>701</v>
      </c>
      <c r="I3961" s="0" t="n">
        <v>26350</v>
      </c>
      <c r="J3961" s="0" t="n">
        <v>40402</v>
      </c>
      <c r="K3961" s="0" t="n">
        <v>7898146000021</v>
      </c>
      <c r="L3961" s="0" t="s">
        <v>3751</v>
      </c>
      <c r="N3961" s="0" t="n">
        <v>24</v>
      </c>
      <c r="O3961" s="60" t="n">
        <v>161.76</v>
      </c>
    </row>
    <row r="3962" customFormat="false" ht="15" hidden="false" customHeight="false" outlineLevel="0" collapsed="false">
      <c r="A3962" s="0" t="n">
        <v>3</v>
      </c>
      <c r="B3962" s="59" t="n">
        <v>46248</v>
      </c>
      <c r="C3962" s="0" t="n">
        <v>11</v>
      </c>
      <c r="D3962" s="0" t="s">
        <v>2126</v>
      </c>
      <c r="E3962" s="0" t="n">
        <v>1804</v>
      </c>
      <c r="F3962" s="0" t="s">
        <v>701</v>
      </c>
      <c r="I3962" s="0" t="n">
        <v>26350</v>
      </c>
      <c r="J3962" s="0" t="n">
        <v>40505</v>
      </c>
      <c r="K3962" s="0" t="n">
        <v>7898146000168</v>
      </c>
      <c r="L3962" s="0" t="s">
        <v>3752</v>
      </c>
      <c r="N3962" s="0" t="n">
        <v>12</v>
      </c>
      <c r="O3962" s="60" t="n">
        <v>152.7</v>
      </c>
    </row>
    <row r="3963" customFormat="false" ht="15" hidden="false" customHeight="false" outlineLevel="0" collapsed="false">
      <c r="A3963" s="0" t="n">
        <v>3</v>
      </c>
      <c r="B3963" s="59" t="n">
        <v>46248</v>
      </c>
      <c r="C3963" s="0" t="n">
        <v>11</v>
      </c>
      <c r="D3963" s="0" t="s">
        <v>2126</v>
      </c>
      <c r="E3963" s="0" t="n">
        <v>1804</v>
      </c>
      <c r="F3963" s="0" t="s">
        <v>701</v>
      </c>
      <c r="I3963" s="0" t="n">
        <v>26350</v>
      </c>
      <c r="J3963" s="0" t="n">
        <v>43694</v>
      </c>
      <c r="K3963" s="0" t="n">
        <v>7898146000762</v>
      </c>
      <c r="L3963" s="0" t="s">
        <v>3753</v>
      </c>
      <c r="N3963" s="0" t="n">
        <v>12</v>
      </c>
      <c r="O3963" s="60" t="n">
        <v>152.7</v>
      </c>
    </row>
    <row r="3964" customFormat="false" ht="15" hidden="false" customHeight="false" outlineLevel="0" collapsed="false">
      <c r="A3964" s="0" t="n">
        <v>3</v>
      </c>
      <c r="B3964" s="59" t="n">
        <v>46248</v>
      </c>
      <c r="C3964" s="0" t="n">
        <v>11</v>
      </c>
      <c r="D3964" s="0" t="s">
        <v>2126</v>
      </c>
      <c r="E3964" s="0" t="n">
        <v>1804</v>
      </c>
      <c r="F3964" s="0" t="s">
        <v>701</v>
      </c>
      <c r="I3964" s="0" t="n">
        <v>26350</v>
      </c>
      <c r="J3964" s="0" t="n">
        <v>43695</v>
      </c>
      <c r="K3964" s="0" t="n">
        <v>7898146000151</v>
      </c>
      <c r="L3964" s="0" t="s">
        <v>3754</v>
      </c>
      <c r="N3964" s="0" t="n">
        <v>12</v>
      </c>
      <c r="O3964" s="60" t="n">
        <v>152.7</v>
      </c>
    </row>
    <row r="3965" customFormat="false" ht="15" hidden="false" customHeight="false" outlineLevel="0" collapsed="false">
      <c r="A3965" s="0" t="n">
        <v>3</v>
      </c>
      <c r="B3965" s="59" t="n">
        <v>46248</v>
      </c>
      <c r="C3965" s="0" t="n">
        <v>11</v>
      </c>
      <c r="D3965" s="0" t="s">
        <v>2126</v>
      </c>
      <c r="E3965" s="0" t="n">
        <v>1804</v>
      </c>
      <c r="F3965" s="0" t="s">
        <v>701</v>
      </c>
      <c r="I3965" s="0" t="n">
        <v>26350</v>
      </c>
      <c r="J3965" s="0" t="n">
        <v>43696</v>
      </c>
      <c r="K3965" s="0" t="n">
        <v>7898146000144</v>
      </c>
      <c r="L3965" s="0" t="s">
        <v>3755</v>
      </c>
      <c r="N3965" s="0" t="n">
        <v>12</v>
      </c>
      <c r="O3965" s="60" t="n">
        <v>152.7</v>
      </c>
    </row>
    <row r="3966" customFormat="false" ht="15" hidden="false" customHeight="false" outlineLevel="0" collapsed="false">
      <c r="A3966" s="0" t="n">
        <v>3</v>
      </c>
      <c r="B3966" s="59" t="n">
        <v>46248</v>
      </c>
      <c r="C3966" s="0" t="n">
        <v>11</v>
      </c>
      <c r="D3966" s="0" t="s">
        <v>2126</v>
      </c>
      <c r="E3966" s="0" t="n">
        <v>1804</v>
      </c>
      <c r="F3966" s="0" t="s">
        <v>701</v>
      </c>
      <c r="I3966" s="0" t="n">
        <v>26350</v>
      </c>
      <c r="J3966" s="0" t="n">
        <v>47279</v>
      </c>
      <c r="K3966" s="0" t="n">
        <v>7898567700944</v>
      </c>
      <c r="L3966" s="0" t="s">
        <v>3756</v>
      </c>
      <c r="N3966" s="0" t="n">
        <v>6</v>
      </c>
      <c r="O3966" s="60" t="n">
        <v>47.94</v>
      </c>
    </row>
    <row r="3967" customFormat="false" ht="15" hidden="false" customHeight="false" outlineLevel="0" collapsed="false">
      <c r="A3967" s="0" t="n">
        <v>3</v>
      </c>
      <c r="B3967" s="59" t="n">
        <v>46248</v>
      </c>
      <c r="C3967" s="0" t="n">
        <v>11</v>
      </c>
      <c r="D3967" s="0" t="s">
        <v>2126</v>
      </c>
      <c r="E3967" s="0" t="n">
        <v>1804</v>
      </c>
      <c r="F3967" s="0" t="s">
        <v>701</v>
      </c>
      <c r="I3967" s="0" t="n">
        <v>26350</v>
      </c>
      <c r="J3967" s="0" t="n">
        <v>49142</v>
      </c>
      <c r="K3967" s="0" t="n">
        <v>7891340365576</v>
      </c>
      <c r="L3967" s="0" t="s">
        <v>2502</v>
      </c>
      <c r="N3967" s="0" t="n">
        <v>20</v>
      </c>
      <c r="O3967" s="60" t="n">
        <v>49.8</v>
      </c>
    </row>
    <row r="3968" customFormat="false" ht="15" hidden="false" customHeight="false" outlineLevel="0" collapsed="false">
      <c r="A3968" s="0" t="n">
        <v>3</v>
      </c>
      <c r="B3968" s="59" t="n">
        <v>46248</v>
      </c>
      <c r="C3968" s="0" t="n">
        <v>11</v>
      </c>
      <c r="D3968" s="0" t="s">
        <v>2126</v>
      </c>
      <c r="E3968" s="0" t="n">
        <v>1804</v>
      </c>
      <c r="F3968" s="0" t="s">
        <v>701</v>
      </c>
      <c r="I3968" s="0" t="n">
        <v>26350</v>
      </c>
      <c r="J3968" s="0" t="n">
        <v>51927</v>
      </c>
      <c r="K3968" s="0" t="n">
        <v>7898146000045</v>
      </c>
      <c r="L3968" s="0" t="s">
        <v>3757</v>
      </c>
      <c r="N3968" s="0" t="n">
        <v>24</v>
      </c>
      <c r="O3968" s="60" t="n">
        <v>161.76</v>
      </c>
    </row>
    <row r="3969" customFormat="false" ht="15" hidden="false" customHeight="false" outlineLevel="0" collapsed="false">
      <c r="A3969" s="0" t="n">
        <v>3</v>
      </c>
      <c r="B3969" s="59" t="n">
        <v>46248</v>
      </c>
      <c r="C3969" s="0" t="n">
        <v>11</v>
      </c>
      <c r="D3969" s="0" t="s">
        <v>2126</v>
      </c>
      <c r="E3969" s="0" t="n">
        <v>1804</v>
      </c>
      <c r="F3969" s="0" t="s">
        <v>701</v>
      </c>
      <c r="I3969" s="0" t="n">
        <v>26350</v>
      </c>
      <c r="J3969" s="0" t="n">
        <v>56843</v>
      </c>
      <c r="K3969" s="0" t="n">
        <v>7898567702900</v>
      </c>
      <c r="L3969" s="0" t="s">
        <v>3758</v>
      </c>
      <c r="N3969" s="0" t="n">
        <v>6</v>
      </c>
      <c r="O3969" s="60" t="n">
        <v>47.94</v>
      </c>
    </row>
    <row r="3970" customFormat="false" ht="15" hidden="false" customHeight="false" outlineLevel="0" collapsed="false">
      <c r="A3970" s="0" t="n">
        <v>3</v>
      </c>
      <c r="B3970" s="59" t="n">
        <v>46248</v>
      </c>
      <c r="C3970" s="0" t="n">
        <v>11</v>
      </c>
      <c r="D3970" s="0" t="s">
        <v>2126</v>
      </c>
      <c r="E3970" s="0" t="n">
        <v>1804</v>
      </c>
      <c r="F3970" s="0" t="s">
        <v>701</v>
      </c>
      <c r="I3970" s="0" t="n">
        <v>26350</v>
      </c>
      <c r="J3970" s="0" t="n">
        <v>64466</v>
      </c>
      <c r="K3970" s="0" t="n">
        <v>7908435500900</v>
      </c>
      <c r="L3970" s="0" t="s">
        <v>3759</v>
      </c>
      <c r="N3970" s="0" t="n">
        <v>40</v>
      </c>
      <c r="O3970" s="60" t="n">
        <v>199.6</v>
      </c>
    </row>
    <row r="3971" customFormat="false" ht="15" hidden="false" customHeight="false" outlineLevel="0" collapsed="false">
      <c r="A3971" s="0" t="n">
        <v>3</v>
      </c>
      <c r="B3971" s="59" t="n">
        <v>46248</v>
      </c>
      <c r="C3971" s="0" t="n">
        <v>11</v>
      </c>
      <c r="D3971" s="0" t="s">
        <v>2126</v>
      </c>
      <c r="E3971" s="0" t="n">
        <v>1804</v>
      </c>
      <c r="F3971" s="0" t="s">
        <v>701</v>
      </c>
      <c r="I3971" s="0" t="n">
        <v>26350</v>
      </c>
      <c r="J3971" s="0" t="n">
        <v>64768</v>
      </c>
      <c r="K3971" s="0" t="n">
        <v>7908435500917</v>
      </c>
      <c r="L3971" s="0" t="s">
        <v>3759</v>
      </c>
      <c r="N3971" s="0" t="n">
        <v>40</v>
      </c>
      <c r="O3971" s="60" t="n">
        <v>199.6</v>
      </c>
    </row>
    <row r="3972" customFormat="false" ht="15" hidden="false" customHeight="false" outlineLevel="0" collapsed="false">
      <c r="A3972" s="0" t="n">
        <v>3</v>
      </c>
      <c r="B3972" s="59" t="n">
        <v>46248</v>
      </c>
      <c r="C3972" s="0" t="n">
        <v>11</v>
      </c>
      <c r="D3972" s="0" t="s">
        <v>2126</v>
      </c>
      <c r="E3972" s="0" t="n">
        <v>1804</v>
      </c>
      <c r="F3972" s="0" t="s">
        <v>701</v>
      </c>
      <c r="I3972" s="0" t="n">
        <v>26350</v>
      </c>
      <c r="J3972" s="0" t="n">
        <v>66641</v>
      </c>
      <c r="K3972" s="0" t="n">
        <v>7896060402242</v>
      </c>
      <c r="L3972" s="0" t="s">
        <v>3760</v>
      </c>
      <c r="N3972" s="0" t="n">
        <v>24</v>
      </c>
      <c r="O3972" s="60" t="n">
        <v>38.16</v>
      </c>
    </row>
    <row r="3973" customFormat="false" ht="15" hidden="false" customHeight="false" outlineLevel="0" collapsed="false">
      <c r="A3973" s="0" t="n">
        <v>3</v>
      </c>
      <c r="B3973" s="59" t="n">
        <v>46248</v>
      </c>
      <c r="C3973" s="0" t="n">
        <v>11</v>
      </c>
      <c r="D3973" s="0" t="s">
        <v>2126</v>
      </c>
      <c r="E3973" s="0" t="n">
        <v>1804</v>
      </c>
      <c r="F3973" s="0" t="s">
        <v>701</v>
      </c>
      <c r="I3973" s="0" t="n">
        <v>26350</v>
      </c>
      <c r="J3973" s="0" t="n">
        <v>66642</v>
      </c>
      <c r="K3973" s="0" t="n">
        <v>7896060402167</v>
      </c>
      <c r="L3973" s="0" t="s">
        <v>3760</v>
      </c>
      <c r="N3973" s="0" t="n">
        <v>24</v>
      </c>
      <c r="O3973" s="60" t="n">
        <v>38.16</v>
      </c>
    </row>
    <row r="3974" customFormat="false" ht="15" hidden="false" customHeight="false" outlineLevel="0" collapsed="false">
      <c r="A3974" s="0" t="n">
        <v>3</v>
      </c>
      <c r="B3974" s="59" t="n">
        <v>46248</v>
      </c>
      <c r="C3974" s="0" t="n">
        <v>11</v>
      </c>
      <c r="D3974" s="0" t="s">
        <v>2126</v>
      </c>
      <c r="E3974" s="0" t="n">
        <v>1804</v>
      </c>
      <c r="F3974" s="0" t="s">
        <v>701</v>
      </c>
      <c r="I3974" s="0" t="n">
        <v>26350</v>
      </c>
      <c r="J3974" s="0" t="n">
        <v>66643</v>
      </c>
      <c r="K3974" s="0" t="n">
        <v>7896060402204</v>
      </c>
      <c r="L3974" s="0" t="s">
        <v>3760</v>
      </c>
      <c r="N3974" s="0" t="n">
        <v>24</v>
      </c>
      <c r="O3974" s="60" t="n">
        <v>38.16</v>
      </c>
    </row>
    <row r="3975" customFormat="false" ht="15" hidden="false" customHeight="false" outlineLevel="0" collapsed="false">
      <c r="A3975" s="0" t="n">
        <v>3</v>
      </c>
      <c r="B3975" s="59" t="n">
        <v>46248</v>
      </c>
      <c r="C3975" s="0" t="n">
        <v>11</v>
      </c>
      <c r="D3975" s="0" t="s">
        <v>2126</v>
      </c>
      <c r="E3975" s="0" t="n">
        <v>1804</v>
      </c>
      <c r="F3975" s="0" t="s">
        <v>701</v>
      </c>
      <c r="I3975" s="0" t="n">
        <v>26350</v>
      </c>
      <c r="J3975" s="0" t="n">
        <v>71645</v>
      </c>
      <c r="K3975" s="0" t="n">
        <v>7898567705987</v>
      </c>
      <c r="L3975" s="0" t="s">
        <v>3761</v>
      </c>
      <c r="N3975" s="0" t="n">
        <v>6</v>
      </c>
      <c r="O3975" s="60" t="n">
        <v>47.94</v>
      </c>
    </row>
    <row r="3976" customFormat="false" ht="15" hidden="false" customHeight="false" outlineLevel="0" collapsed="false">
      <c r="A3976" s="0" t="n">
        <v>3</v>
      </c>
      <c r="B3976" s="59" t="n">
        <v>46248</v>
      </c>
      <c r="C3976" s="0" t="n">
        <v>11</v>
      </c>
      <c r="D3976" s="0" t="s">
        <v>2126</v>
      </c>
      <c r="E3976" s="0" t="n">
        <v>1804</v>
      </c>
      <c r="F3976" s="0" t="s">
        <v>701</v>
      </c>
      <c r="I3976" s="0" t="n">
        <v>26350</v>
      </c>
      <c r="J3976" s="0" t="n">
        <v>76333</v>
      </c>
      <c r="K3976" s="0" t="n">
        <v>7891340365866</v>
      </c>
      <c r="L3976" s="0" t="s">
        <v>3762</v>
      </c>
      <c r="N3976" s="0" t="n">
        <v>12</v>
      </c>
      <c r="O3976" s="60" t="n">
        <v>41.88</v>
      </c>
    </row>
    <row r="3977" customFormat="false" ht="15" hidden="false" customHeight="false" outlineLevel="0" collapsed="false">
      <c r="A3977" s="0" t="n">
        <v>3</v>
      </c>
      <c r="B3977" s="59" t="n">
        <v>46248</v>
      </c>
      <c r="C3977" s="0" t="n">
        <v>11</v>
      </c>
      <c r="D3977" s="0" t="s">
        <v>2126</v>
      </c>
      <c r="E3977" s="0" t="n">
        <v>1804</v>
      </c>
      <c r="F3977" s="0" t="s">
        <v>701</v>
      </c>
      <c r="I3977" s="0" t="n">
        <v>26350</v>
      </c>
      <c r="J3977" s="0" t="n">
        <v>76336</v>
      </c>
      <c r="K3977" s="0" t="n">
        <v>7891340365835</v>
      </c>
      <c r="L3977" s="0" t="s">
        <v>3763</v>
      </c>
      <c r="N3977" s="0" t="n">
        <v>12</v>
      </c>
      <c r="O3977" s="60" t="n">
        <v>41.88</v>
      </c>
    </row>
    <row r="3978" customFormat="false" ht="15" hidden="false" customHeight="false" outlineLevel="0" collapsed="false">
      <c r="A3978" s="0" t="n">
        <v>3</v>
      </c>
      <c r="B3978" s="59" t="n">
        <v>46248</v>
      </c>
      <c r="C3978" s="0" t="n">
        <v>11</v>
      </c>
      <c r="D3978" s="0" t="s">
        <v>2126</v>
      </c>
      <c r="E3978" s="0" t="n">
        <v>1804</v>
      </c>
      <c r="F3978" s="0" t="s">
        <v>701</v>
      </c>
      <c r="I3978" s="0" t="n">
        <v>26350</v>
      </c>
      <c r="J3978" s="0" t="n">
        <v>76341</v>
      </c>
      <c r="K3978" s="0" t="n">
        <v>7891340365859</v>
      </c>
      <c r="L3978" s="0" t="s">
        <v>3764</v>
      </c>
      <c r="N3978" s="0" t="n">
        <v>12</v>
      </c>
      <c r="O3978" s="60" t="n">
        <v>41.88</v>
      </c>
    </row>
    <row r="3979" customFormat="false" ht="15" hidden="false" customHeight="false" outlineLevel="0" collapsed="false">
      <c r="A3979" s="0" t="n">
        <v>3</v>
      </c>
      <c r="B3979" s="59" t="n">
        <v>46248</v>
      </c>
      <c r="C3979" s="0" t="n">
        <v>11</v>
      </c>
      <c r="D3979" s="0" t="s">
        <v>2126</v>
      </c>
      <c r="E3979" s="0" t="n">
        <v>1804</v>
      </c>
      <c r="F3979" s="0" t="s">
        <v>701</v>
      </c>
      <c r="I3979" s="0" t="n">
        <v>26350</v>
      </c>
      <c r="J3979" s="0" t="n">
        <v>76342</v>
      </c>
      <c r="K3979" s="0" t="n">
        <v>7891340365842</v>
      </c>
      <c r="L3979" s="0" t="s">
        <v>3765</v>
      </c>
      <c r="N3979" s="0" t="n">
        <v>12</v>
      </c>
      <c r="O3979" s="60" t="n">
        <v>41.88</v>
      </c>
    </row>
    <row r="3980" customFormat="false" ht="15" hidden="false" customHeight="false" outlineLevel="0" collapsed="false">
      <c r="A3980" s="0" t="n">
        <v>3</v>
      </c>
      <c r="B3980" s="59" t="n">
        <v>46248</v>
      </c>
      <c r="C3980" s="0" t="n">
        <v>11</v>
      </c>
      <c r="D3980" s="0" t="s">
        <v>2126</v>
      </c>
      <c r="E3980" s="0" t="n">
        <v>1804</v>
      </c>
      <c r="F3980" s="0" t="s">
        <v>701</v>
      </c>
      <c r="I3980" s="0" t="n">
        <v>26350</v>
      </c>
      <c r="J3980" s="0" t="n">
        <v>76344</v>
      </c>
      <c r="K3980" s="0" t="n">
        <v>7891340365873</v>
      </c>
      <c r="L3980" s="0" t="s">
        <v>3766</v>
      </c>
      <c r="N3980" s="0" t="n">
        <v>12</v>
      </c>
      <c r="O3980" s="60" t="n">
        <v>41.88</v>
      </c>
    </row>
    <row r="3981" customFormat="false" ht="15" hidden="false" customHeight="false" outlineLevel="0" collapsed="false">
      <c r="A3981" s="0" t="n">
        <v>3</v>
      </c>
      <c r="B3981" s="59" t="n">
        <v>46248</v>
      </c>
      <c r="C3981" s="0" t="n">
        <v>11</v>
      </c>
      <c r="D3981" s="0" t="s">
        <v>2126</v>
      </c>
      <c r="E3981" s="0" t="n">
        <v>1804</v>
      </c>
      <c r="F3981" s="0" t="s">
        <v>701</v>
      </c>
      <c r="I3981" s="0" t="n">
        <v>26350</v>
      </c>
      <c r="J3981" s="0" t="n">
        <v>81766</v>
      </c>
      <c r="K3981" s="0" t="n">
        <v>7898979027004</v>
      </c>
      <c r="L3981" s="0" t="s">
        <v>3767</v>
      </c>
      <c r="N3981" s="0" t="n">
        <v>40</v>
      </c>
      <c r="O3981" s="60" t="n">
        <v>110</v>
      </c>
    </row>
    <row r="3982" customFormat="false" ht="15" hidden="false" customHeight="false" outlineLevel="0" collapsed="false">
      <c r="A3982" s="0" t="n">
        <v>3</v>
      </c>
      <c r="B3982" s="59" t="n">
        <v>46248</v>
      </c>
      <c r="C3982" s="0" t="n">
        <v>11</v>
      </c>
      <c r="D3982" s="0" t="s">
        <v>2126</v>
      </c>
      <c r="E3982" s="0" t="n">
        <v>1804</v>
      </c>
      <c r="F3982" s="0" t="s">
        <v>701</v>
      </c>
      <c r="I3982" s="0" t="n">
        <v>26350</v>
      </c>
      <c r="J3982" s="0" t="n">
        <v>81767</v>
      </c>
      <c r="K3982" s="0" t="n">
        <v>7898979027011</v>
      </c>
      <c r="L3982" s="0" t="s">
        <v>3768</v>
      </c>
      <c r="N3982" s="0" t="n">
        <v>50</v>
      </c>
      <c r="O3982" s="60" t="n">
        <v>65</v>
      </c>
    </row>
    <row r="3983" customFormat="false" ht="15" hidden="false" customHeight="false" outlineLevel="0" collapsed="false">
      <c r="A3983" s="0" t="n">
        <v>3</v>
      </c>
      <c r="B3983" s="59" t="n">
        <v>46248</v>
      </c>
      <c r="C3983" s="0" t="n">
        <v>11</v>
      </c>
      <c r="D3983" s="0" t="s">
        <v>2126</v>
      </c>
      <c r="E3983" s="0" t="n">
        <v>1804</v>
      </c>
      <c r="F3983" s="0" t="s">
        <v>701</v>
      </c>
      <c r="I3983" s="0" t="n">
        <v>26350</v>
      </c>
      <c r="J3983" s="0" t="n">
        <v>82058</v>
      </c>
      <c r="K3983" s="0" t="n">
        <v>7898959802225</v>
      </c>
      <c r="L3983" s="0" t="s">
        <v>3769</v>
      </c>
      <c r="N3983" s="0" t="n">
        <v>12</v>
      </c>
      <c r="O3983" s="60" t="n">
        <v>26.4</v>
      </c>
    </row>
    <row r="3984" customFormat="false" ht="15" hidden="false" customHeight="false" outlineLevel="0" collapsed="false">
      <c r="A3984" s="0" t="n">
        <v>3</v>
      </c>
      <c r="B3984" s="59" t="n">
        <v>46248</v>
      </c>
      <c r="C3984" s="0" t="n">
        <v>11</v>
      </c>
      <c r="D3984" s="0" t="s">
        <v>2126</v>
      </c>
      <c r="E3984" s="0" t="n">
        <v>1804</v>
      </c>
      <c r="F3984" s="0" t="s">
        <v>701</v>
      </c>
      <c r="I3984" s="0" t="n">
        <v>26350</v>
      </c>
      <c r="J3984" s="0" t="n">
        <v>82059</v>
      </c>
      <c r="K3984" s="0" t="n">
        <v>7898979027028</v>
      </c>
      <c r="L3984" s="0" t="s">
        <v>3770</v>
      </c>
      <c r="N3984" s="0" t="n">
        <v>20</v>
      </c>
      <c r="O3984" s="60" t="n">
        <v>110</v>
      </c>
    </row>
    <row r="3985" customFormat="false" ht="15" hidden="false" customHeight="false" outlineLevel="0" collapsed="false">
      <c r="A3985" s="0" t="n">
        <v>3</v>
      </c>
      <c r="B3985" s="59" t="n">
        <v>46248</v>
      </c>
      <c r="C3985" s="0" t="n">
        <v>11</v>
      </c>
      <c r="D3985" s="0" t="s">
        <v>2126</v>
      </c>
      <c r="E3985" s="0" t="n">
        <v>1678</v>
      </c>
      <c r="F3985" s="0" t="s">
        <v>191</v>
      </c>
      <c r="I3985" s="0" t="n">
        <v>163841</v>
      </c>
      <c r="J3985" s="0" t="n">
        <v>100192</v>
      </c>
      <c r="K3985" s="0" t="n">
        <v>7898437140023</v>
      </c>
      <c r="L3985" s="0" t="s">
        <v>3771</v>
      </c>
      <c r="N3985" s="0" t="n">
        <v>6</v>
      </c>
      <c r="O3985" s="60" t="n">
        <v>37.5</v>
      </c>
    </row>
    <row r="3986" customFormat="false" ht="15" hidden="false" customHeight="false" outlineLevel="0" collapsed="false">
      <c r="A3986" s="0" t="n">
        <v>3</v>
      </c>
      <c r="B3986" s="59" t="n">
        <v>46248</v>
      </c>
      <c r="C3986" s="0" t="n">
        <v>11</v>
      </c>
      <c r="D3986" s="0" t="s">
        <v>2126</v>
      </c>
      <c r="E3986" s="0" t="n">
        <v>1678</v>
      </c>
      <c r="F3986" s="0" t="s">
        <v>191</v>
      </c>
      <c r="I3986" s="0" t="n">
        <v>163841</v>
      </c>
      <c r="J3986" s="0" t="n">
        <v>100197</v>
      </c>
      <c r="K3986" s="0" t="n">
        <v>7898437140047</v>
      </c>
      <c r="L3986" s="0" t="s">
        <v>3772</v>
      </c>
      <c r="N3986" s="0" t="n">
        <v>6</v>
      </c>
      <c r="O3986" s="60" t="n">
        <v>37.5</v>
      </c>
    </row>
    <row r="3987" customFormat="false" ht="15" hidden="false" customHeight="false" outlineLevel="0" collapsed="false">
      <c r="A3987" s="0" t="n">
        <v>3</v>
      </c>
      <c r="B3987" s="59" t="n">
        <v>46248</v>
      </c>
      <c r="C3987" s="0" t="n">
        <v>11</v>
      </c>
      <c r="D3987" s="0" t="s">
        <v>2126</v>
      </c>
      <c r="E3987" s="0" t="n">
        <v>1678</v>
      </c>
      <c r="F3987" s="0" t="s">
        <v>191</v>
      </c>
      <c r="I3987" s="0" t="n">
        <v>163841</v>
      </c>
      <c r="J3987" s="0" t="n">
        <v>101367</v>
      </c>
      <c r="K3987" s="0" t="n">
        <v>7897057800034</v>
      </c>
      <c r="L3987" s="0" t="s">
        <v>3773</v>
      </c>
      <c r="N3987" s="0" t="n">
        <v>12</v>
      </c>
      <c r="O3987" s="60" t="n">
        <v>53</v>
      </c>
    </row>
    <row r="3988" customFormat="false" ht="15" hidden="false" customHeight="false" outlineLevel="0" collapsed="false">
      <c r="A3988" s="0" t="n">
        <v>3</v>
      </c>
      <c r="B3988" s="59" t="n">
        <v>46248</v>
      </c>
      <c r="C3988" s="0" t="n">
        <v>11</v>
      </c>
      <c r="D3988" s="0" t="s">
        <v>2126</v>
      </c>
      <c r="E3988" s="0" t="n">
        <v>1678</v>
      </c>
      <c r="F3988" s="0" t="s">
        <v>191</v>
      </c>
      <c r="I3988" s="0" t="n">
        <v>163841</v>
      </c>
      <c r="J3988" s="0" t="n">
        <v>105290</v>
      </c>
      <c r="K3988" s="0" t="n">
        <v>7898437140825</v>
      </c>
      <c r="L3988" s="0" t="s">
        <v>3774</v>
      </c>
      <c r="N3988" s="0" t="n">
        <v>6</v>
      </c>
      <c r="O3988" s="60" t="n">
        <v>33.75</v>
      </c>
    </row>
    <row r="3989" customFormat="false" ht="15" hidden="false" customHeight="false" outlineLevel="0" collapsed="false">
      <c r="A3989" s="0" t="n">
        <v>3</v>
      </c>
      <c r="B3989" s="59" t="n">
        <v>46248</v>
      </c>
      <c r="C3989" s="0" t="n">
        <v>11</v>
      </c>
      <c r="D3989" s="0" t="s">
        <v>2126</v>
      </c>
      <c r="E3989" s="0" t="n">
        <v>1678</v>
      </c>
      <c r="F3989" s="0" t="s">
        <v>191</v>
      </c>
      <c r="I3989" s="0" t="n">
        <v>163841</v>
      </c>
      <c r="J3989" s="0" t="n">
        <v>13190</v>
      </c>
      <c r="K3989" s="0" t="n">
        <v>7898437140085</v>
      </c>
      <c r="L3989" s="0" t="s">
        <v>3775</v>
      </c>
      <c r="N3989" s="0" t="n">
        <v>6</v>
      </c>
      <c r="O3989" s="60" t="n">
        <v>37.5</v>
      </c>
    </row>
    <row r="3990" customFormat="false" ht="15" hidden="false" customHeight="false" outlineLevel="0" collapsed="false">
      <c r="A3990" s="0" t="n">
        <v>3</v>
      </c>
      <c r="B3990" s="59" t="n">
        <v>46248</v>
      </c>
      <c r="C3990" s="0" t="n">
        <v>11</v>
      </c>
      <c r="D3990" s="0" t="s">
        <v>2126</v>
      </c>
      <c r="E3990" s="0" t="n">
        <v>1678</v>
      </c>
      <c r="F3990" s="0" t="s">
        <v>191</v>
      </c>
      <c r="I3990" s="0" t="n">
        <v>163841</v>
      </c>
      <c r="J3990" s="0" t="n">
        <v>13739</v>
      </c>
      <c r="K3990" s="0" t="n">
        <v>7898437140832</v>
      </c>
      <c r="L3990" s="0" t="s">
        <v>3776</v>
      </c>
      <c r="N3990" s="0" t="n">
        <v>6</v>
      </c>
      <c r="O3990" s="60" t="n">
        <v>33.75</v>
      </c>
    </row>
    <row r="3991" customFormat="false" ht="15" hidden="false" customHeight="false" outlineLevel="0" collapsed="false">
      <c r="A3991" s="0" t="n">
        <v>3</v>
      </c>
      <c r="B3991" s="59" t="n">
        <v>46248</v>
      </c>
      <c r="C3991" s="0" t="n">
        <v>11</v>
      </c>
      <c r="D3991" s="0" t="s">
        <v>2126</v>
      </c>
      <c r="E3991" s="0" t="n">
        <v>1678</v>
      </c>
      <c r="F3991" s="0" t="s">
        <v>191</v>
      </c>
      <c r="I3991" s="0" t="n">
        <v>163841</v>
      </c>
      <c r="J3991" s="0" t="n">
        <v>13740</v>
      </c>
      <c r="K3991" s="0" t="n">
        <v>7898437140894</v>
      </c>
      <c r="L3991" s="0" t="s">
        <v>3777</v>
      </c>
      <c r="N3991" s="0" t="n">
        <v>6</v>
      </c>
      <c r="O3991" s="60" t="n">
        <v>35.5</v>
      </c>
    </row>
    <row r="3992" customFormat="false" ht="15" hidden="false" customHeight="false" outlineLevel="0" collapsed="false">
      <c r="A3992" s="0" t="n">
        <v>3</v>
      </c>
      <c r="B3992" s="59" t="n">
        <v>46248</v>
      </c>
      <c r="C3992" s="0" t="n">
        <v>11</v>
      </c>
      <c r="D3992" s="0" t="s">
        <v>2126</v>
      </c>
      <c r="E3992" s="0" t="n">
        <v>1678</v>
      </c>
      <c r="F3992" s="0" t="s">
        <v>191</v>
      </c>
      <c r="I3992" s="0" t="n">
        <v>163841</v>
      </c>
      <c r="J3992" s="0" t="n">
        <v>13741</v>
      </c>
      <c r="K3992" s="0" t="n">
        <v>7898437140887</v>
      </c>
      <c r="L3992" s="0" t="s">
        <v>3778</v>
      </c>
      <c r="N3992" s="0" t="n">
        <v>6</v>
      </c>
      <c r="O3992" s="60" t="n">
        <v>35.5</v>
      </c>
    </row>
    <row r="3993" customFormat="false" ht="15" hidden="false" customHeight="false" outlineLevel="0" collapsed="false">
      <c r="A3993" s="0" t="n">
        <v>3</v>
      </c>
      <c r="B3993" s="59" t="n">
        <v>46248</v>
      </c>
      <c r="C3993" s="0" t="n">
        <v>11</v>
      </c>
      <c r="D3993" s="0" t="s">
        <v>2126</v>
      </c>
      <c r="E3993" s="0" t="n">
        <v>1678</v>
      </c>
      <c r="F3993" s="0" t="s">
        <v>191</v>
      </c>
      <c r="I3993" s="0" t="n">
        <v>163841</v>
      </c>
      <c r="J3993" s="0" t="n">
        <v>13951</v>
      </c>
      <c r="K3993" s="0" t="n">
        <v>7898437140870</v>
      </c>
      <c r="L3993" s="0" t="s">
        <v>3779</v>
      </c>
      <c r="N3993" s="0" t="n">
        <v>6</v>
      </c>
      <c r="O3993" s="60" t="n">
        <v>35.5</v>
      </c>
    </row>
    <row r="3994" customFormat="false" ht="15" hidden="false" customHeight="false" outlineLevel="0" collapsed="false">
      <c r="A3994" s="0" t="n">
        <v>3</v>
      </c>
      <c r="B3994" s="59" t="n">
        <v>46248</v>
      </c>
      <c r="C3994" s="0" t="n">
        <v>11</v>
      </c>
      <c r="D3994" s="0" t="s">
        <v>2126</v>
      </c>
      <c r="E3994" s="0" t="n">
        <v>1678</v>
      </c>
      <c r="F3994" s="0" t="s">
        <v>191</v>
      </c>
      <c r="I3994" s="0" t="n">
        <v>163841</v>
      </c>
      <c r="J3994" s="0" t="n">
        <v>13952</v>
      </c>
      <c r="K3994" s="0" t="n">
        <v>7898437140863</v>
      </c>
      <c r="L3994" s="0" t="s">
        <v>3780</v>
      </c>
      <c r="N3994" s="0" t="n">
        <v>6</v>
      </c>
      <c r="O3994" s="60" t="n">
        <v>35.5</v>
      </c>
    </row>
    <row r="3995" customFormat="false" ht="15" hidden="false" customHeight="false" outlineLevel="0" collapsed="false">
      <c r="A3995" s="0" t="n">
        <v>3</v>
      </c>
      <c r="B3995" s="59" t="n">
        <v>46248</v>
      </c>
      <c r="C3995" s="0" t="n">
        <v>11</v>
      </c>
      <c r="D3995" s="0" t="s">
        <v>2126</v>
      </c>
      <c r="E3995" s="0" t="n">
        <v>1678</v>
      </c>
      <c r="F3995" s="0" t="s">
        <v>191</v>
      </c>
      <c r="I3995" s="0" t="n">
        <v>163841</v>
      </c>
      <c r="J3995" s="0" t="n">
        <v>13953</v>
      </c>
      <c r="K3995" s="0" t="n">
        <v>7898437140764</v>
      </c>
      <c r="L3995" s="0" t="s">
        <v>3781</v>
      </c>
      <c r="N3995" s="0" t="n">
        <v>6</v>
      </c>
      <c r="O3995" s="60" t="n">
        <v>33.75</v>
      </c>
    </row>
    <row r="3996" customFormat="false" ht="15" hidden="false" customHeight="false" outlineLevel="0" collapsed="false">
      <c r="A3996" s="0" t="n">
        <v>3</v>
      </c>
      <c r="B3996" s="59" t="n">
        <v>46248</v>
      </c>
      <c r="C3996" s="0" t="n">
        <v>11</v>
      </c>
      <c r="D3996" s="0" t="s">
        <v>2126</v>
      </c>
      <c r="E3996" s="0" t="n">
        <v>1678</v>
      </c>
      <c r="F3996" s="0" t="s">
        <v>191</v>
      </c>
      <c r="I3996" s="0" t="n">
        <v>163841</v>
      </c>
      <c r="J3996" s="0" t="n">
        <v>15397</v>
      </c>
      <c r="K3996" s="0" t="n">
        <v>7898927045012</v>
      </c>
      <c r="L3996" s="0" t="s">
        <v>3037</v>
      </c>
      <c r="N3996" s="0" t="n">
        <v>75</v>
      </c>
      <c r="O3996" s="60" t="n">
        <v>295</v>
      </c>
    </row>
    <row r="3997" customFormat="false" ht="15" hidden="false" customHeight="false" outlineLevel="0" collapsed="false">
      <c r="A3997" s="0" t="n">
        <v>3</v>
      </c>
      <c r="B3997" s="59" t="n">
        <v>46248</v>
      </c>
      <c r="C3997" s="0" t="n">
        <v>11</v>
      </c>
      <c r="D3997" s="0" t="s">
        <v>2126</v>
      </c>
      <c r="E3997" s="0" t="n">
        <v>1678</v>
      </c>
      <c r="F3997" s="0" t="s">
        <v>191</v>
      </c>
      <c r="I3997" s="0" t="n">
        <v>163841</v>
      </c>
      <c r="J3997" s="0" t="n">
        <v>21210</v>
      </c>
      <c r="K3997" s="0" t="n">
        <v>7898437141280</v>
      </c>
      <c r="L3997" s="0" t="s">
        <v>3782</v>
      </c>
      <c r="N3997" s="0" t="n">
        <v>6</v>
      </c>
      <c r="O3997" s="60" t="n">
        <v>83.5</v>
      </c>
    </row>
    <row r="3998" customFormat="false" ht="15" hidden="false" customHeight="false" outlineLevel="0" collapsed="false">
      <c r="A3998" s="0" t="n">
        <v>3</v>
      </c>
      <c r="B3998" s="59" t="n">
        <v>46248</v>
      </c>
      <c r="C3998" s="0" t="n">
        <v>11</v>
      </c>
      <c r="D3998" s="0" t="s">
        <v>2126</v>
      </c>
      <c r="E3998" s="0" t="n">
        <v>1678</v>
      </c>
      <c r="F3998" s="0" t="s">
        <v>191</v>
      </c>
      <c r="I3998" s="0" t="n">
        <v>163841</v>
      </c>
      <c r="J3998" s="0" t="n">
        <v>21549</v>
      </c>
      <c r="K3998" s="0" t="n">
        <v>7898437140818</v>
      </c>
      <c r="L3998" s="0" t="s">
        <v>3783</v>
      </c>
      <c r="N3998" s="0" t="n">
        <v>6</v>
      </c>
      <c r="O3998" s="60" t="n">
        <v>33.75</v>
      </c>
    </row>
    <row r="3999" customFormat="false" ht="15" hidden="false" customHeight="false" outlineLevel="0" collapsed="false">
      <c r="A3999" s="0" t="n">
        <v>3</v>
      </c>
      <c r="B3999" s="59" t="n">
        <v>46248</v>
      </c>
      <c r="C3999" s="0" t="n">
        <v>11</v>
      </c>
      <c r="D3999" s="0" t="s">
        <v>2126</v>
      </c>
      <c r="E3999" s="0" t="n">
        <v>1678</v>
      </c>
      <c r="F3999" s="0" t="s">
        <v>191</v>
      </c>
      <c r="I3999" s="0" t="n">
        <v>163841</v>
      </c>
      <c r="J3999" s="0" t="n">
        <v>22890</v>
      </c>
      <c r="K3999" s="0" t="n">
        <v>7896020417156</v>
      </c>
      <c r="L3999" s="0" t="s">
        <v>3784</v>
      </c>
      <c r="N3999" s="0" t="n">
        <v>24</v>
      </c>
      <c r="O3999" s="60" t="n">
        <v>74.5</v>
      </c>
    </row>
    <row r="4000" customFormat="false" ht="15" hidden="false" customHeight="false" outlineLevel="0" collapsed="false">
      <c r="A4000" s="0" t="n">
        <v>3</v>
      </c>
      <c r="B4000" s="59" t="n">
        <v>46248</v>
      </c>
      <c r="C4000" s="0" t="n">
        <v>11</v>
      </c>
      <c r="D4000" s="0" t="s">
        <v>2126</v>
      </c>
      <c r="E4000" s="0" t="n">
        <v>1678</v>
      </c>
      <c r="F4000" s="0" t="s">
        <v>191</v>
      </c>
      <c r="I4000" s="0" t="n">
        <v>163841</v>
      </c>
      <c r="J4000" s="0" t="n">
        <v>24860</v>
      </c>
      <c r="K4000" s="0" t="n">
        <v>7893515615219</v>
      </c>
      <c r="L4000" s="0" t="s">
        <v>3785</v>
      </c>
      <c r="N4000" s="0" t="n">
        <v>20</v>
      </c>
      <c r="O4000" s="60" t="n">
        <v>110</v>
      </c>
    </row>
    <row r="4001" customFormat="false" ht="15" hidden="false" customHeight="false" outlineLevel="0" collapsed="false">
      <c r="A4001" s="0" t="n">
        <v>3</v>
      </c>
      <c r="B4001" s="59" t="n">
        <v>46248</v>
      </c>
      <c r="C4001" s="0" t="n">
        <v>11</v>
      </c>
      <c r="D4001" s="0" t="s">
        <v>2126</v>
      </c>
      <c r="E4001" s="0" t="n">
        <v>1678</v>
      </c>
      <c r="F4001" s="0" t="s">
        <v>191</v>
      </c>
      <c r="I4001" s="0" t="n">
        <v>163841</v>
      </c>
      <c r="J4001" s="0" t="n">
        <v>40246</v>
      </c>
      <c r="K4001" s="0" t="n">
        <v>7898927045654</v>
      </c>
      <c r="L4001" s="0" t="s">
        <v>3738</v>
      </c>
      <c r="N4001" s="0" t="n">
        <v>60</v>
      </c>
      <c r="O4001" s="60" t="n">
        <v>395</v>
      </c>
    </row>
    <row r="4002" customFormat="false" ht="15" hidden="false" customHeight="false" outlineLevel="0" collapsed="false">
      <c r="A4002" s="0" t="n">
        <v>3</v>
      </c>
      <c r="B4002" s="59" t="n">
        <v>46248</v>
      </c>
      <c r="C4002" s="0" t="n">
        <v>11</v>
      </c>
      <c r="D4002" s="0" t="s">
        <v>2126</v>
      </c>
      <c r="E4002" s="0" t="n">
        <v>1678</v>
      </c>
      <c r="F4002" s="0" t="s">
        <v>191</v>
      </c>
      <c r="I4002" s="0" t="n">
        <v>163841</v>
      </c>
      <c r="J4002" s="0" t="n">
        <v>40451</v>
      </c>
      <c r="K4002" s="0" t="n">
        <v>27898437140799</v>
      </c>
      <c r="L4002" s="0" t="s">
        <v>3786</v>
      </c>
      <c r="N4002" s="0" t="n">
        <v>6</v>
      </c>
      <c r="O4002" s="60" t="n">
        <v>35.5</v>
      </c>
    </row>
    <row r="4003" customFormat="false" ht="15" hidden="false" customHeight="false" outlineLevel="0" collapsed="false">
      <c r="A4003" s="0" t="n">
        <v>3</v>
      </c>
      <c r="B4003" s="59" t="n">
        <v>46248</v>
      </c>
      <c r="C4003" s="0" t="n">
        <v>11</v>
      </c>
      <c r="D4003" s="0" t="s">
        <v>2126</v>
      </c>
      <c r="E4003" s="0" t="n">
        <v>1678</v>
      </c>
      <c r="F4003" s="0" t="s">
        <v>191</v>
      </c>
      <c r="I4003" s="0" t="n">
        <v>163841</v>
      </c>
      <c r="J4003" s="0" t="n">
        <v>46235</v>
      </c>
      <c r="K4003" s="0" t="n">
        <v>7896020470120</v>
      </c>
      <c r="L4003" s="0" t="s">
        <v>3787</v>
      </c>
      <c r="N4003" s="0" t="n">
        <v>24</v>
      </c>
      <c r="O4003" s="60" t="n">
        <v>163</v>
      </c>
    </row>
    <row r="4004" customFormat="false" ht="15" hidden="false" customHeight="false" outlineLevel="0" collapsed="false">
      <c r="A4004" s="0" t="n">
        <v>3</v>
      </c>
      <c r="B4004" s="59" t="n">
        <v>46248</v>
      </c>
      <c r="C4004" s="0" t="n">
        <v>11</v>
      </c>
      <c r="D4004" s="0" t="s">
        <v>2126</v>
      </c>
      <c r="E4004" s="0" t="n">
        <v>1678</v>
      </c>
      <c r="F4004" s="0" t="s">
        <v>191</v>
      </c>
      <c r="I4004" s="0" t="n">
        <v>163841</v>
      </c>
      <c r="J4004" s="0" t="n">
        <v>52167</v>
      </c>
      <c r="K4004" s="0" t="n">
        <v>7898650900381</v>
      </c>
      <c r="L4004" s="0" t="s">
        <v>3788</v>
      </c>
      <c r="N4004" s="0" t="n">
        <v>6</v>
      </c>
      <c r="O4004" s="60" t="n">
        <v>72</v>
      </c>
    </row>
    <row r="4005" customFormat="false" ht="15" hidden="false" customHeight="false" outlineLevel="0" collapsed="false">
      <c r="A4005" s="0" t="n">
        <v>3</v>
      </c>
      <c r="B4005" s="59" t="n">
        <v>46248</v>
      </c>
      <c r="C4005" s="0" t="n">
        <v>11</v>
      </c>
      <c r="D4005" s="0" t="s">
        <v>2126</v>
      </c>
      <c r="E4005" s="0" t="n">
        <v>1678</v>
      </c>
      <c r="F4005" s="0" t="s">
        <v>191</v>
      </c>
      <c r="I4005" s="0" t="n">
        <v>163841</v>
      </c>
      <c r="J4005" s="0" t="n">
        <v>52234</v>
      </c>
      <c r="K4005" s="0" t="n">
        <v>7898650900329</v>
      </c>
      <c r="L4005" s="0" t="s">
        <v>3789</v>
      </c>
      <c r="N4005" s="0" t="n">
        <v>6</v>
      </c>
      <c r="O4005" s="60" t="n">
        <v>60</v>
      </c>
    </row>
    <row r="4006" customFormat="false" ht="15" hidden="false" customHeight="false" outlineLevel="0" collapsed="false">
      <c r="A4006" s="0" t="n">
        <v>3</v>
      </c>
      <c r="B4006" s="59" t="n">
        <v>46248</v>
      </c>
      <c r="C4006" s="0" t="n">
        <v>11</v>
      </c>
      <c r="D4006" s="0" t="s">
        <v>2126</v>
      </c>
      <c r="E4006" s="0" t="n">
        <v>1678</v>
      </c>
      <c r="F4006" s="0" t="s">
        <v>191</v>
      </c>
      <c r="I4006" s="0" t="n">
        <v>163841</v>
      </c>
      <c r="J4006" s="0" t="n">
        <v>53217</v>
      </c>
      <c r="K4006" s="0" t="n">
        <v>7501843501707</v>
      </c>
      <c r="L4006" s="0" t="s">
        <v>3790</v>
      </c>
      <c r="N4006" s="0" t="n">
        <v>2</v>
      </c>
      <c r="O4006" s="60" t="n">
        <v>23.5</v>
      </c>
    </row>
    <row r="4007" customFormat="false" ht="15" hidden="false" customHeight="false" outlineLevel="0" collapsed="false">
      <c r="A4007" s="0" t="n">
        <v>3</v>
      </c>
      <c r="B4007" s="59" t="n">
        <v>46248</v>
      </c>
      <c r="C4007" s="0" t="n">
        <v>11</v>
      </c>
      <c r="D4007" s="0" t="s">
        <v>2126</v>
      </c>
      <c r="E4007" s="0" t="n">
        <v>1678</v>
      </c>
      <c r="F4007" s="0" t="s">
        <v>191</v>
      </c>
      <c r="I4007" s="0" t="n">
        <v>163841</v>
      </c>
      <c r="J4007" s="0" t="n">
        <v>55649</v>
      </c>
      <c r="K4007" s="0" t="n">
        <v>7898558790947</v>
      </c>
      <c r="L4007" s="0" t="s">
        <v>3791</v>
      </c>
      <c r="N4007" s="0" t="n">
        <v>30</v>
      </c>
      <c r="O4007" s="60" t="n">
        <v>197.5</v>
      </c>
    </row>
    <row r="4008" customFormat="false" ht="15" hidden="false" customHeight="false" outlineLevel="0" collapsed="false">
      <c r="A4008" s="0" t="n">
        <v>3</v>
      </c>
      <c r="B4008" s="59" t="n">
        <v>46248</v>
      </c>
      <c r="C4008" s="0" t="n">
        <v>11</v>
      </c>
      <c r="D4008" s="0" t="s">
        <v>2126</v>
      </c>
      <c r="E4008" s="0" t="n">
        <v>1678</v>
      </c>
      <c r="F4008" s="0" t="s">
        <v>191</v>
      </c>
      <c r="I4008" s="0" t="n">
        <v>163841</v>
      </c>
      <c r="J4008" s="0" t="n">
        <v>63174</v>
      </c>
      <c r="K4008" s="0" t="n">
        <v>7898949961857</v>
      </c>
      <c r="L4008" s="0" t="s">
        <v>3792</v>
      </c>
      <c r="N4008" s="0" t="n">
        <v>6</v>
      </c>
      <c r="O4008" s="60" t="n">
        <v>49.5</v>
      </c>
    </row>
    <row r="4009" customFormat="false" ht="15" hidden="false" customHeight="false" outlineLevel="0" collapsed="false">
      <c r="A4009" s="0" t="n">
        <v>3</v>
      </c>
      <c r="B4009" s="59" t="n">
        <v>46248</v>
      </c>
      <c r="C4009" s="0" t="n">
        <v>11</v>
      </c>
      <c r="D4009" s="0" t="s">
        <v>2126</v>
      </c>
      <c r="E4009" s="0" t="n">
        <v>1678</v>
      </c>
      <c r="F4009" s="0" t="s">
        <v>191</v>
      </c>
      <c r="I4009" s="0" t="n">
        <v>163841</v>
      </c>
      <c r="J4009" s="0" t="n">
        <v>64701</v>
      </c>
      <c r="K4009" s="0" t="n">
        <v>7898650900367</v>
      </c>
      <c r="L4009" s="0" t="s">
        <v>3793</v>
      </c>
      <c r="N4009" s="0" t="n">
        <v>6</v>
      </c>
      <c r="O4009" s="60" t="n">
        <v>69</v>
      </c>
    </row>
    <row r="4010" customFormat="false" ht="15" hidden="false" customHeight="false" outlineLevel="0" collapsed="false">
      <c r="A4010" s="0" t="n">
        <v>3</v>
      </c>
      <c r="B4010" s="59" t="n">
        <v>46248</v>
      </c>
      <c r="C4010" s="0" t="n">
        <v>11</v>
      </c>
      <c r="D4010" s="0" t="s">
        <v>2126</v>
      </c>
      <c r="E4010" s="0" t="n">
        <v>1678</v>
      </c>
      <c r="F4010" s="0" t="s">
        <v>191</v>
      </c>
      <c r="I4010" s="0" t="n">
        <v>163841</v>
      </c>
      <c r="J4010" s="0" t="n">
        <v>68089</v>
      </c>
      <c r="K4010" s="0" t="n">
        <v>7898743960698</v>
      </c>
      <c r="L4010" s="0" t="s">
        <v>3794</v>
      </c>
      <c r="N4010" s="0" t="n">
        <v>10</v>
      </c>
      <c r="O4010" s="60" t="n">
        <v>110</v>
      </c>
    </row>
    <row r="4011" customFormat="false" ht="15" hidden="false" customHeight="false" outlineLevel="0" collapsed="false">
      <c r="A4011" s="0" t="n">
        <v>3</v>
      </c>
      <c r="B4011" s="59" t="n">
        <v>46248</v>
      </c>
      <c r="C4011" s="0" t="n">
        <v>11</v>
      </c>
      <c r="D4011" s="0" t="s">
        <v>2126</v>
      </c>
      <c r="E4011" s="0" t="n">
        <v>1723</v>
      </c>
      <c r="F4011" s="0" t="s">
        <v>77</v>
      </c>
      <c r="I4011" s="0" t="n">
        <v>174810</v>
      </c>
      <c r="J4011" s="0" t="n">
        <v>29080</v>
      </c>
      <c r="K4011" s="0" t="n">
        <v>55516</v>
      </c>
      <c r="L4011" s="0" t="s">
        <v>2137</v>
      </c>
      <c r="N4011" s="0" t="n">
        <v>57.95</v>
      </c>
      <c r="O4011" s="60" t="n">
        <v>1332.85</v>
      </c>
    </row>
    <row r="4012" customFormat="false" ht="15" hidden="false" customHeight="false" outlineLevel="0" collapsed="false">
      <c r="A4012" s="0" t="n">
        <v>3</v>
      </c>
      <c r="B4012" s="59" t="n">
        <v>46248</v>
      </c>
      <c r="C4012" s="0" t="n">
        <v>11</v>
      </c>
      <c r="D4012" s="0" t="s">
        <v>2126</v>
      </c>
      <c r="E4012" s="0" t="n">
        <v>1723</v>
      </c>
      <c r="F4012" s="0" t="s">
        <v>77</v>
      </c>
      <c r="I4012" s="0" t="n">
        <v>174810</v>
      </c>
      <c r="J4012" s="0" t="n">
        <v>110231</v>
      </c>
      <c r="K4012" s="0" t="n">
        <v>38306</v>
      </c>
      <c r="L4012" s="0" t="s">
        <v>2878</v>
      </c>
      <c r="N4012" s="0" t="n">
        <v>96.6</v>
      </c>
      <c r="O4012" s="60" t="n">
        <v>3187.8</v>
      </c>
    </row>
    <row r="4013" customFormat="false" ht="15" hidden="false" customHeight="false" outlineLevel="0" collapsed="false">
      <c r="A4013" s="0" t="n">
        <v>3</v>
      </c>
      <c r="B4013" s="59" t="n">
        <v>46248</v>
      </c>
      <c r="C4013" s="0" t="n">
        <v>11</v>
      </c>
      <c r="D4013" s="0" t="s">
        <v>2126</v>
      </c>
      <c r="E4013" s="0" t="n">
        <v>1723</v>
      </c>
      <c r="F4013" s="0" t="s">
        <v>77</v>
      </c>
      <c r="I4013" s="0" t="n">
        <v>174894</v>
      </c>
      <c r="J4013" s="0" t="n">
        <v>29080</v>
      </c>
      <c r="K4013" s="0" t="n">
        <v>55516</v>
      </c>
      <c r="L4013" s="0" t="s">
        <v>2137</v>
      </c>
      <c r="N4013" s="0" t="n">
        <v>57.15</v>
      </c>
      <c r="O4013" s="60" t="n">
        <v>1314.45</v>
      </c>
    </row>
    <row r="4014" customFormat="false" ht="15" hidden="false" customHeight="false" outlineLevel="0" collapsed="false">
      <c r="A4014" s="0" t="n">
        <v>3</v>
      </c>
      <c r="B4014" s="59" t="n">
        <v>46248</v>
      </c>
      <c r="C4014" s="0" t="n">
        <v>22</v>
      </c>
      <c r="D4014" s="0" t="s">
        <v>2172</v>
      </c>
      <c r="E4014" s="0" t="n">
        <v>42</v>
      </c>
      <c r="F4014" s="0" t="s">
        <v>81</v>
      </c>
      <c r="I4014" s="0" t="n">
        <v>4500</v>
      </c>
      <c r="J4014" s="0" t="n">
        <v>100000</v>
      </c>
      <c r="K4014" s="0" t="n">
        <v>1</v>
      </c>
      <c r="L4014" s="0" t="s">
        <v>2173</v>
      </c>
      <c r="N4014" s="0" t="n">
        <v>2.796</v>
      </c>
      <c r="O4014" s="60" t="n">
        <v>69.86</v>
      </c>
    </row>
    <row r="4015" customFormat="false" ht="15" hidden="false" customHeight="false" outlineLevel="0" collapsed="false">
      <c r="A4015" s="0" t="n">
        <v>3</v>
      </c>
      <c r="B4015" s="59" t="n">
        <v>46248</v>
      </c>
      <c r="C4015" s="0" t="n">
        <v>22</v>
      </c>
      <c r="D4015" s="0" t="s">
        <v>2172</v>
      </c>
      <c r="E4015" s="0" t="n">
        <v>42</v>
      </c>
      <c r="F4015" s="0" t="s">
        <v>81</v>
      </c>
      <c r="I4015" s="0" t="n">
        <v>4500</v>
      </c>
      <c r="J4015" s="0" t="n">
        <v>100000</v>
      </c>
      <c r="K4015" s="0" t="n">
        <v>1</v>
      </c>
      <c r="L4015" s="0" t="s">
        <v>2173</v>
      </c>
      <c r="N4015" s="0" t="n">
        <v>2.494</v>
      </c>
      <c r="O4015" s="60" t="n">
        <v>56.79</v>
      </c>
    </row>
    <row r="4016" customFormat="false" ht="15" hidden="false" customHeight="false" outlineLevel="0" collapsed="false">
      <c r="A4016" s="0" t="n">
        <v>3</v>
      </c>
      <c r="B4016" s="59" t="n">
        <v>46248</v>
      </c>
      <c r="C4016" s="0" t="n">
        <v>22</v>
      </c>
      <c r="D4016" s="0" t="s">
        <v>2172</v>
      </c>
      <c r="E4016" s="0" t="n">
        <v>42</v>
      </c>
      <c r="F4016" s="0" t="s">
        <v>81</v>
      </c>
      <c r="I4016" s="0" t="n">
        <v>4500</v>
      </c>
      <c r="J4016" s="0" t="n">
        <v>100001</v>
      </c>
      <c r="K4016" s="0" t="n">
        <v>2</v>
      </c>
      <c r="L4016" s="0" t="s">
        <v>2174</v>
      </c>
      <c r="N4016" s="0" t="n">
        <v>11.35</v>
      </c>
      <c r="O4016" s="60" t="n">
        <v>276.29</v>
      </c>
    </row>
    <row r="4017" customFormat="false" ht="15" hidden="false" customHeight="false" outlineLevel="0" collapsed="false">
      <c r="A4017" s="0" t="n">
        <v>3</v>
      </c>
      <c r="B4017" s="59" t="n">
        <v>46248</v>
      </c>
      <c r="C4017" s="0" t="n">
        <v>22</v>
      </c>
      <c r="D4017" s="0" t="s">
        <v>2172</v>
      </c>
      <c r="E4017" s="0" t="n">
        <v>42</v>
      </c>
      <c r="F4017" s="0" t="s">
        <v>81</v>
      </c>
      <c r="I4017" s="0" t="n">
        <v>4500</v>
      </c>
      <c r="J4017" s="0" t="n">
        <v>100002</v>
      </c>
      <c r="K4017" s="0" t="n">
        <v>3</v>
      </c>
      <c r="L4017" s="0" t="s">
        <v>2175</v>
      </c>
      <c r="N4017" s="0" t="n">
        <v>17.205</v>
      </c>
      <c r="O4017" s="60" t="n">
        <v>432.34</v>
      </c>
    </row>
    <row r="4018" customFormat="false" ht="15" hidden="false" customHeight="false" outlineLevel="0" collapsed="false">
      <c r="A4018" s="0" t="n">
        <v>3</v>
      </c>
      <c r="B4018" s="59" t="n">
        <v>46248</v>
      </c>
      <c r="C4018" s="0" t="n">
        <v>22</v>
      </c>
      <c r="D4018" s="0" t="s">
        <v>2172</v>
      </c>
      <c r="E4018" s="0" t="n">
        <v>42</v>
      </c>
      <c r="F4018" s="0" t="s">
        <v>81</v>
      </c>
      <c r="I4018" s="0" t="n">
        <v>4500</v>
      </c>
      <c r="J4018" s="0" t="n">
        <v>100003</v>
      </c>
      <c r="K4018" s="0" t="n">
        <v>4</v>
      </c>
      <c r="L4018" s="0" t="s">
        <v>2176</v>
      </c>
      <c r="N4018" s="0" t="n">
        <v>15.938</v>
      </c>
      <c r="O4018" s="60" t="n">
        <v>438.06</v>
      </c>
    </row>
    <row r="4019" customFormat="false" ht="15" hidden="false" customHeight="false" outlineLevel="0" collapsed="false">
      <c r="A4019" s="0" t="n">
        <v>3</v>
      </c>
      <c r="B4019" s="59" t="n">
        <v>46248</v>
      </c>
      <c r="C4019" s="0" t="n">
        <v>22</v>
      </c>
      <c r="D4019" s="0" t="s">
        <v>2172</v>
      </c>
      <c r="E4019" s="0" t="n">
        <v>42</v>
      </c>
      <c r="F4019" s="0" t="s">
        <v>81</v>
      </c>
      <c r="I4019" s="0" t="n">
        <v>4500</v>
      </c>
      <c r="J4019" s="0" t="n">
        <v>100006</v>
      </c>
      <c r="K4019" s="0" t="n">
        <v>7</v>
      </c>
      <c r="L4019" s="0" t="s">
        <v>2228</v>
      </c>
      <c r="N4019" s="0" t="n">
        <v>9.138</v>
      </c>
      <c r="O4019" s="60" t="n">
        <v>314.97</v>
      </c>
    </row>
    <row r="4020" customFormat="false" ht="15" hidden="false" customHeight="false" outlineLevel="0" collapsed="false">
      <c r="A4020" s="0" t="n">
        <v>3</v>
      </c>
      <c r="B4020" s="59" t="n">
        <v>46248</v>
      </c>
      <c r="C4020" s="0" t="n">
        <v>22</v>
      </c>
      <c r="D4020" s="0" t="s">
        <v>2172</v>
      </c>
      <c r="E4020" s="0" t="n">
        <v>42</v>
      </c>
      <c r="F4020" s="0" t="s">
        <v>81</v>
      </c>
      <c r="I4020" s="0" t="n">
        <v>4500</v>
      </c>
      <c r="J4020" s="0" t="n">
        <v>100007</v>
      </c>
      <c r="K4020" s="0" t="n">
        <v>8</v>
      </c>
      <c r="L4020" s="0" t="s">
        <v>2177</v>
      </c>
      <c r="N4020" s="0" t="n">
        <v>4.394</v>
      </c>
      <c r="O4020" s="60" t="n">
        <v>117.32</v>
      </c>
    </row>
    <row r="4021" customFormat="false" ht="15" hidden="false" customHeight="false" outlineLevel="0" collapsed="false">
      <c r="A4021" s="0" t="n">
        <v>3</v>
      </c>
      <c r="B4021" s="59" t="n">
        <v>46248</v>
      </c>
      <c r="C4021" s="0" t="n">
        <v>22</v>
      </c>
      <c r="D4021" s="0" t="s">
        <v>2172</v>
      </c>
      <c r="E4021" s="0" t="n">
        <v>42</v>
      </c>
      <c r="F4021" s="0" t="s">
        <v>81</v>
      </c>
      <c r="I4021" s="0" t="n">
        <v>4500</v>
      </c>
      <c r="J4021" s="0" t="n">
        <v>100010</v>
      </c>
      <c r="K4021" s="0" t="n">
        <v>11</v>
      </c>
      <c r="L4021" s="0" t="s">
        <v>2230</v>
      </c>
      <c r="N4021" s="0" t="n">
        <v>5.342</v>
      </c>
      <c r="O4021" s="60" t="n">
        <v>216.36</v>
      </c>
    </row>
    <row r="4022" customFormat="false" ht="15" hidden="false" customHeight="false" outlineLevel="0" collapsed="false">
      <c r="A4022" s="0" t="n">
        <v>3</v>
      </c>
      <c r="B4022" s="59" t="n">
        <v>46248</v>
      </c>
      <c r="C4022" s="0" t="n">
        <v>22</v>
      </c>
      <c r="D4022" s="0" t="s">
        <v>2172</v>
      </c>
      <c r="E4022" s="0" t="n">
        <v>42</v>
      </c>
      <c r="F4022" s="0" t="s">
        <v>81</v>
      </c>
      <c r="I4022" s="0" t="n">
        <v>4500</v>
      </c>
      <c r="J4022" s="0" t="n">
        <v>100011</v>
      </c>
      <c r="K4022" s="0" t="n">
        <v>12</v>
      </c>
      <c r="L4022" s="0" t="s">
        <v>2231</v>
      </c>
      <c r="N4022" s="0" t="n">
        <v>11.724</v>
      </c>
      <c r="O4022" s="60" t="n">
        <v>474.84</v>
      </c>
    </row>
    <row r="4023" customFormat="false" ht="15" hidden="false" customHeight="false" outlineLevel="0" collapsed="false">
      <c r="A4023" s="0" t="n">
        <v>3</v>
      </c>
      <c r="B4023" s="59" t="n">
        <v>46248</v>
      </c>
      <c r="C4023" s="0" t="n">
        <v>22</v>
      </c>
      <c r="D4023" s="0" t="s">
        <v>2172</v>
      </c>
      <c r="E4023" s="0" t="n">
        <v>42</v>
      </c>
      <c r="F4023" s="0" t="s">
        <v>81</v>
      </c>
      <c r="I4023" s="0" t="n">
        <v>4500</v>
      </c>
      <c r="J4023" s="0" t="n">
        <v>100012</v>
      </c>
      <c r="K4023" s="0" t="n">
        <v>13</v>
      </c>
      <c r="L4023" s="0" t="s">
        <v>2232</v>
      </c>
      <c r="N4023" s="0" t="n">
        <v>10.818</v>
      </c>
      <c r="O4023" s="60" t="n">
        <v>475.44</v>
      </c>
    </row>
    <row r="4024" customFormat="false" ht="15" hidden="false" customHeight="false" outlineLevel="0" collapsed="false">
      <c r="A4024" s="0" t="n">
        <v>3</v>
      </c>
      <c r="B4024" s="59" t="n">
        <v>46248</v>
      </c>
      <c r="C4024" s="0" t="n">
        <v>22</v>
      </c>
      <c r="D4024" s="0" t="s">
        <v>2172</v>
      </c>
      <c r="E4024" s="0" t="n">
        <v>42</v>
      </c>
      <c r="F4024" s="0" t="s">
        <v>81</v>
      </c>
      <c r="I4024" s="0" t="n">
        <v>4500</v>
      </c>
      <c r="J4024" s="0" t="n">
        <v>100013</v>
      </c>
      <c r="K4024" s="0" t="n">
        <v>14</v>
      </c>
      <c r="L4024" s="0" t="s">
        <v>2233</v>
      </c>
      <c r="N4024" s="0" t="n">
        <v>19.415</v>
      </c>
      <c r="O4024" s="60" t="n">
        <v>920.21</v>
      </c>
    </row>
    <row r="4025" customFormat="false" ht="15" hidden="false" customHeight="false" outlineLevel="0" collapsed="false">
      <c r="A4025" s="0" t="n">
        <v>3</v>
      </c>
      <c r="B4025" s="59" t="n">
        <v>46248</v>
      </c>
      <c r="C4025" s="0" t="n">
        <v>22</v>
      </c>
      <c r="D4025" s="0" t="s">
        <v>2172</v>
      </c>
      <c r="E4025" s="0" t="n">
        <v>42</v>
      </c>
      <c r="F4025" s="0" t="s">
        <v>81</v>
      </c>
      <c r="I4025" s="0" t="n">
        <v>4500</v>
      </c>
      <c r="J4025" s="0" t="n">
        <v>100014</v>
      </c>
      <c r="K4025" s="0" t="n">
        <v>15</v>
      </c>
      <c r="L4025" s="0" t="s">
        <v>2234</v>
      </c>
      <c r="N4025" s="0" t="n">
        <v>7.608</v>
      </c>
      <c r="O4025" s="60" t="n">
        <v>367.15</v>
      </c>
    </row>
    <row r="4026" customFormat="false" ht="15" hidden="false" customHeight="false" outlineLevel="0" collapsed="false">
      <c r="A4026" s="0" t="n">
        <v>3</v>
      </c>
      <c r="B4026" s="59" t="n">
        <v>46248</v>
      </c>
      <c r="C4026" s="0" t="n">
        <v>22</v>
      </c>
      <c r="D4026" s="0" t="s">
        <v>2172</v>
      </c>
      <c r="E4026" s="0" t="n">
        <v>42</v>
      </c>
      <c r="F4026" s="0" t="s">
        <v>81</v>
      </c>
      <c r="I4026" s="0" t="n">
        <v>4500</v>
      </c>
      <c r="J4026" s="0" t="n">
        <v>100015</v>
      </c>
      <c r="K4026" s="0" t="n">
        <v>16</v>
      </c>
      <c r="L4026" s="0" t="s">
        <v>2235</v>
      </c>
      <c r="N4026" s="0" t="n">
        <v>2.696</v>
      </c>
      <c r="O4026" s="60" t="n">
        <v>118.49</v>
      </c>
    </row>
    <row r="4027" customFormat="false" ht="15" hidden="false" customHeight="false" outlineLevel="0" collapsed="false">
      <c r="A4027" s="0" t="n">
        <v>3</v>
      </c>
      <c r="B4027" s="59" t="n">
        <v>46248</v>
      </c>
      <c r="C4027" s="0" t="n">
        <v>22</v>
      </c>
      <c r="D4027" s="0" t="s">
        <v>2172</v>
      </c>
      <c r="E4027" s="0" t="n">
        <v>42</v>
      </c>
      <c r="F4027" s="0" t="s">
        <v>81</v>
      </c>
      <c r="I4027" s="0" t="n">
        <v>4500</v>
      </c>
      <c r="J4027" s="0" t="n">
        <v>100017</v>
      </c>
      <c r="K4027" s="0" t="n">
        <v>18</v>
      </c>
      <c r="L4027" s="0" t="s">
        <v>2237</v>
      </c>
      <c r="N4027" s="0" t="n">
        <v>3.122</v>
      </c>
      <c r="O4027" s="60" t="n">
        <v>174.88</v>
      </c>
    </row>
    <row r="4028" customFormat="false" ht="15" hidden="false" customHeight="false" outlineLevel="0" collapsed="false">
      <c r="A4028" s="0" t="n">
        <v>3</v>
      </c>
      <c r="B4028" s="59" t="n">
        <v>46248</v>
      </c>
      <c r="C4028" s="0" t="n">
        <v>22</v>
      </c>
      <c r="D4028" s="0" t="s">
        <v>2172</v>
      </c>
      <c r="E4028" s="0" t="n">
        <v>42</v>
      </c>
      <c r="F4028" s="0" t="s">
        <v>81</v>
      </c>
      <c r="I4028" s="0" t="n">
        <v>4500</v>
      </c>
      <c r="J4028" s="0" t="n">
        <v>100638</v>
      </c>
      <c r="K4028" s="0" t="n">
        <v>508</v>
      </c>
      <c r="L4028" s="0" t="s">
        <v>2178</v>
      </c>
      <c r="N4028" s="0" t="n">
        <v>2.888</v>
      </c>
      <c r="O4028" s="60" t="n">
        <v>4.51</v>
      </c>
    </row>
    <row r="4029" customFormat="false" ht="15" hidden="false" customHeight="false" outlineLevel="0" collapsed="false">
      <c r="A4029" s="0" t="n">
        <v>3</v>
      </c>
      <c r="B4029" s="59" t="n">
        <v>46248</v>
      </c>
      <c r="C4029" s="0" t="n">
        <v>22</v>
      </c>
      <c r="D4029" s="0" t="s">
        <v>2172</v>
      </c>
      <c r="E4029" s="0" t="n">
        <v>42</v>
      </c>
      <c r="F4029" s="0" t="s">
        <v>81</v>
      </c>
      <c r="I4029" s="0" t="n">
        <v>4500</v>
      </c>
      <c r="J4029" s="0" t="n">
        <v>100638</v>
      </c>
      <c r="K4029" s="0" t="n">
        <v>508</v>
      </c>
      <c r="L4029" s="0" t="s">
        <v>2178</v>
      </c>
      <c r="N4029" s="0" t="n">
        <v>4.119</v>
      </c>
      <c r="O4029" s="60" t="n">
        <v>7.06</v>
      </c>
    </row>
    <row r="4030" customFormat="false" ht="15" hidden="false" customHeight="false" outlineLevel="0" collapsed="false">
      <c r="A4030" s="0" t="n">
        <v>3</v>
      </c>
      <c r="B4030" s="59" t="n">
        <v>46248</v>
      </c>
      <c r="C4030" s="0" t="n">
        <v>22</v>
      </c>
      <c r="D4030" s="0" t="s">
        <v>2172</v>
      </c>
      <c r="E4030" s="0" t="n">
        <v>42</v>
      </c>
      <c r="F4030" s="0" t="s">
        <v>81</v>
      </c>
      <c r="I4030" s="0" t="n">
        <v>4500</v>
      </c>
      <c r="J4030" s="0" t="n">
        <v>100520</v>
      </c>
      <c r="K4030" s="0" t="n">
        <v>507</v>
      </c>
      <c r="L4030" s="0" t="s">
        <v>2179</v>
      </c>
      <c r="N4030" s="0" t="n">
        <v>3.208</v>
      </c>
      <c r="O4030" s="60" t="n">
        <v>7.53</v>
      </c>
    </row>
    <row r="4031" customFormat="false" ht="15" hidden="false" customHeight="false" outlineLevel="0" collapsed="false">
      <c r="A4031" s="0" t="n">
        <v>3</v>
      </c>
      <c r="B4031" s="59" t="n">
        <v>46248</v>
      </c>
      <c r="C4031" s="0" t="n">
        <v>22</v>
      </c>
      <c r="D4031" s="0" t="s">
        <v>2172</v>
      </c>
      <c r="E4031" s="0" t="n">
        <v>42</v>
      </c>
      <c r="F4031" s="0" t="s">
        <v>81</v>
      </c>
      <c r="I4031" s="0" t="n">
        <v>4500</v>
      </c>
      <c r="J4031" s="0" t="n">
        <v>100520</v>
      </c>
      <c r="K4031" s="0" t="n">
        <v>507</v>
      </c>
      <c r="L4031" s="0" t="s">
        <v>2179</v>
      </c>
      <c r="N4031" s="0" t="n">
        <v>18.836</v>
      </c>
      <c r="O4031" s="60" t="n">
        <v>48.54</v>
      </c>
    </row>
    <row r="4032" customFormat="false" ht="15" hidden="false" customHeight="false" outlineLevel="0" collapsed="false">
      <c r="A4032" s="0" t="n">
        <v>3</v>
      </c>
      <c r="B4032" s="59" t="n">
        <v>46248</v>
      </c>
      <c r="C4032" s="0" t="n">
        <v>22</v>
      </c>
      <c r="D4032" s="0" t="s">
        <v>2172</v>
      </c>
      <c r="E4032" s="0" t="n">
        <v>42</v>
      </c>
      <c r="F4032" s="0" t="s">
        <v>81</v>
      </c>
      <c r="I4032" s="0" t="n">
        <v>4500</v>
      </c>
      <c r="J4032" s="0" t="n">
        <v>110455</v>
      </c>
      <c r="K4032" s="0" t="n">
        <v>53212</v>
      </c>
      <c r="L4032" s="0" t="s">
        <v>2180</v>
      </c>
      <c r="N4032" s="0" t="n">
        <v>0.986</v>
      </c>
      <c r="O4032" s="60" t="n">
        <v>0</v>
      </c>
    </row>
    <row r="4033" customFormat="false" ht="15" hidden="false" customHeight="false" outlineLevel="0" collapsed="false">
      <c r="A4033" s="0" t="n">
        <v>3</v>
      </c>
      <c r="B4033" s="59" t="n">
        <v>46248</v>
      </c>
      <c r="C4033" s="0" t="n">
        <v>22</v>
      </c>
      <c r="D4033" s="0" t="s">
        <v>2172</v>
      </c>
      <c r="E4033" s="0" t="n">
        <v>42</v>
      </c>
      <c r="F4033" s="0" t="s">
        <v>81</v>
      </c>
      <c r="I4033" s="0" t="n">
        <v>4500</v>
      </c>
      <c r="J4033" s="0" t="n">
        <v>110455</v>
      </c>
      <c r="K4033" s="0" t="n">
        <v>53212</v>
      </c>
      <c r="L4033" s="0" t="s">
        <v>2180</v>
      </c>
      <c r="N4033" s="0" t="n">
        <v>0.473</v>
      </c>
      <c r="O4033" s="60" t="n">
        <v>0.01</v>
      </c>
    </row>
    <row r="4034" customFormat="false" ht="15" hidden="false" customHeight="false" outlineLevel="0" collapsed="false">
      <c r="A4034" s="0" t="n">
        <v>3</v>
      </c>
      <c r="B4034" s="59" t="n">
        <v>46248</v>
      </c>
      <c r="C4034" s="0" t="n">
        <v>22</v>
      </c>
      <c r="D4034" s="0" t="s">
        <v>2172</v>
      </c>
      <c r="E4034" s="0" t="n">
        <v>42</v>
      </c>
      <c r="F4034" s="0" t="s">
        <v>81</v>
      </c>
      <c r="I4034" s="0" t="n">
        <v>4504</v>
      </c>
      <c r="J4034" s="0" t="n">
        <v>100000</v>
      </c>
      <c r="K4034" s="0" t="n">
        <v>1</v>
      </c>
      <c r="L4034" s="0" t="s">
        <v>2173</v>
      </c>
      <c r="N4034" s="0" t="n">
        <v>2.215</v>
      </c>
      <c r="O4034" s="60" t="n">
        <v>51.76</v>
      </c>
    </row>
    <row r="4035" customFormat="false" ht="15" hidden="false" customHeight="false" outlineLevel="0" collapsed="false">
      <c r="A4035" s="0" t="n">
        <v>3</v>
      </c>
      <c r="B4035" s="59" t="n">
        <v>46248</v>
      </c>
      <c r="C4035" s="0" t="n">
        <v>22</v>
      </c>
      <c r="D4035" s="0" t="s">
        <v>2172</v>
      </c>
      <c r="E4035" s="0" t="n">
        <v>42</v>
      </c>
      <c r="F4035" s="0" t="s">
        <v>81</v>
      </c>
      <c r="I4035" s="0" t="n">
        <v>4504</v>
      </c>
      <c r="J4035" s="0" t="n">
        <v>100001</v>
      </c>
      <c r="K4035" s="0" t="n">
        <v>2</v>
      </c>
      <c r="L4035" s="0" t="s">
        <v>2174</v>
      </c>
      <c r="N4035" s="0" t="n">
        <v>11.27</v>
      </c>
      <c r="O4035" s="60" t="n">
        <v>281.54</v>
      </c>
    </row>
    <row r="4036" customFormat="false" ht="15" hidden="false" customHeight="false" outlineLevel="0" collapsed="false">
      <c r="A4036" s="0" t="n">
        <v>3</v>
      </c>
      <c r="B4036" s="59" t="n">
        <v>46248</v>
      </c>
      <c r="C4036" s="0" t="n">
        <v>22</v>
      </c>
      <c r="D4036" s="0" t="s">
        <v>2172</v>
      </c>
      <c r="E4036" s="0" t="n">
        <v>42</v>
      </c>
      <c r="F4036" s="0" t="s">
        <v>81</v>
      </c>
      <c r="I4036" s="0" t="n">
        <v>4504</v>
      </c>
      <c r="J4036" s="0" t="n">
        <v>100002</v>
      </c>
      <c r="K4036" s="0" t="n">
        <v>3</v>
      </c>
      <c r="L4036" s="0" t="s">
        <v>2175</v>
      </c>
      <c r="N4036" s="0" t="n">
        <v>15.275</v>
      </c>
      <c r="O4036" s="60" t="n">
        <v>393.9</v>
      </c>
    </row>
    <row r="4037" customFormat="false" ht="15" hidden="false" customHeight="false" outlineLevel="0" collapsed="false">
      <c r="A4037" s="0" t="n">
        <v>3</v>
      </c>
      <c r="B4037" s="59" t="n">
        <v>46248</v>
      </c>
      <c r="C4037" s="0" t="n">
        <v>22</v>
      </c>
      <c r="D4037" s="0" t="s">
        <v>2172</v>
      </c>
      <c r="E4037" s="0" t="n">
        <v>42</v>
      </c>
      <c r="F4037" s="0" t="s">
        <v>81</v>
      </c>
      <c r="I4037" s="0" t="n">
        <v>4504</v>
      </c>
      <c r="J4037" s="0" t="n">
        <v>100003</v>
      </c>
      <c r="K4037" s="0" t="n">
        <v>4</v>
      </c>
      <c r="L4037" s="0" t="s">
        <v>2176</v>
      </c>
      <c r="N4037" s="0" t="n">
        <v>15.191</v>
      </c>
      <c r="O4037" s="60" t="n">
        <v>428.47</v>
      </c>
    </row>
    <row r="4038" customFormat="false" ht="15" hidden="false" customHeight="false" outlineLevel="0" collapsed="false">
      <c r="A4038" s="0" t="n">
        <v>3</v>
      </c>
      <c r="B4038" s="59" t="n">
        <v>46248</v>
      </c>
      <c r="C4038" s="0" t="n">
        <v>22</v>
      </c>
      <c r="D4038" s="0" t="s">
        <v>2172</v>
      </c>
      <c r="E4038" s="0" t="n">
        <v>42</v>
      </c>
      <c r="F4038" s="0" t="s">
        <v>81</v>
      </c>
      <c r="I4038" s="0" t="n">
        <v>4504</v>
      </c>
      <c r="J4038" s="0" t="n">
        <v>100007</v>
      </c>
      <c r="K4038" s="0" t="n">
        <v>8</v>
      </c>
      <c r="L4038" s="0" t="s">
        <v>2177</v>
      </c>
      <c r="N4038" s="0" t="n">
        <v>5.288</v>
      </c>
      <c r="O4038" s="60" t="n">
        <v>144.89</v>
      </c>
    </row>
    <row r="4039" customFormat="false" ht="15" hidden="false" customHeight="false" outlineLevel="0" collapsed="false">
      <c r="A4039" s="0" t="n">
        <v>3</v>
      </c>
      <c r="B4039" s="59" t="n">
        <v>46248</v>
      </c>
      <c r="C4039" s="0" t="n">
        <v>22</v>
      </c>
      <c r="D4039" s="0" t="s">
        <v>2172</v>
      </c>
      <c r="E4039" s="0" t="n">
        <v>42</v>
      </c>
      <c r="F4039" s="0" t="s">
        <v>81</v>
      </c>
      <c r="I4039" s="0" t="n">
        <v>4504</v>
      </c>
      <c r="J4039" s="0" t="n">
        <v>100638</v>
      </c>
      <c r="K4039" s="0" t="n">
        <v>508</v>
      </c>
      <c r="L4039" s="0" t="s">
        <v>2178</v>
      </c>
      <c r="N4039" s="0" t="n">
        <v>2.796</v>
      </c>
      <c r="O4039" s="60" t="n">
        <v>4.49</v>
      </c>
    </row>
    <row r="4040" customFormat="false" ht="15" hidden="false" customHeight="false" outlineLevel="0" collapsed="false">
      <c r="A4040" s="0" t="n">
        <v>3</v>
      </c>
      <c r="B4040" s="59" t="n">
        <v>46248</v>
      </c>
      <c r="C4040" s="0" t="n">
        <v>22</v>
      </c>
      <c r="D4040" s="0" t="s">
        <v>2172</v>
      </c>
      <c r="E4040" s="0" t="n">
        <v>42</v>
      </c>
      <c r="F4040" s="0" t="s">
        <v>81</v>
      </c>
      <c r="I4040" s="0" t="n">
        <v>4504</v>
      </c>
      <c r="J4040" s="0" t="n">
        <v>100520</v>
      </c>
      <c r="K4040" s="0" t="n">
        <v>507</v>
      </c>
      <c r="L4040" s="0" t="s">
        <v>2179</v>
      </c>
      <c r="N4040" s="0" t="n">
        <v>3.906</v>
      </c>
      <c r="O4040" s="60" t="n">
        <v>9.41</v>
      </c>
    </row>
    <row r="4041" customFormat="false" ht="15" hidden="false" customHeight="false" outlineLevel="0" collapsed="false">
      <c r="A4041" s="0" t="n">
        <v>3</v>
      </c>
      <c r="B4041" s="59" t="n">
        <v>46248</v>
      </c>
      <c r="C4041" s="0" t="n">
        <v>22</v>
      </c>
      <c r="D4041" s="0" t="s">
        <v>2172</v>
      </c>
      <c r="E4041" s="0" t="n">
        <v>42</v>
      </c>
      <c r="F4041" s="0" t="s">
        <v>81</v>
      </c>
      <c r="I4041" s="0" t="n">
        <v>4504</v>
      </c>
      <c r="J4041" s="0" t="n">
        <v>110455</v>
      </c>
      <c r="K4041" s="0" t="n">
        <v>53212</v>
      </c>
      <c r="L4041" s="0" t="s">
        <v>2180</v>
      </c>
      <c r="N4041" s="0" t="n">
        <v>1.209</v>
      </c>
      <c r="O4041" s="60" t="n">
        <v>0</v>
      </c>
    </row>
    <row r="4042" customFormat="false" ht="15" hidden="false" customHeight="false" outlineLevel="0" collapsed="false">
      <c r="A4042" s="0" t="n">
        <v>3</v>
      </c>
      <c r="B4042" s="59" t="n">
        <v>46248</v>
      </c>
      <c r="C4042" s="0" t="n">
        <v>100</v>
      </c>
      <c r="D4042" s="0" t="s">
        <v>2181</v>
      </c>
      <c r="E4042" s="0" t="n">
        <v>42</v>
      </c>
      <c r="F4042" s="0" t="s">
        <v>81</v>
      </c>
      <c r="I4042" s="0" t="n">
        <v>1545658</v>
      </c>
      <c r="J4042" s="0" t="n">
        <v>100000</v>
      </c>
      <c r="K4042" s="0" t="n">
        <v>1</v>
      </c>
      <c r="L4042" s="0" t="s">
        <v>2173</v>
      </c>
      <c r="N4042" s="0" t="n">
        <v>2.494</v>
      </c>
      <c r="O4042" s="60" t="n">
        <v>56.79</v>
      </c>
    </row>
    <row r="4043" customFormat="false" ht="15" hidden="false" customHeight="false" outlineLevel="0" collapsed="false">
      <c r="A4043" s="0" t="n">
        <v>3</v>
      </c>
      <c r="B4043" s="59" t="n">
        <v>46248</v>
      </c>
      <c r="C4043" s="0" t="n">
        <v>100</v>
      </c>
      <c r="D4043" s="0" t="s">
        <v>2181</v>
      </c>
      <c r="E4043" s="0" t="n">
        <v>42</v>
      </c>
      <c r="F4043" s="0" t="s">
        <v>81</v>
      </c>
      <c r="I4043" s="0" t="n">
        <v>1545658</v>
      </c>
      <c r="J4043" s="0" t="n">
        <v>100001</v>
      </c>
      <c r="K4043" s="0" t="n">
        <v>2</v>
      </c>
      <c r="L4043" s="0" t="s">
        <v>2174</v>
      </c>
      <c r="N4043" s="0" t="n">
        <v>11.35</v>
      </c>
      <c r="O4043" s="60" t="n">
        <v>276.29</v>
      </c>
    </row>
    <row r="4044" customFormat="false" ht="15" hidden="false" customHeight="false" outlineLevel="0" collapsed="false">
      <c r="A4044" s="0" t="n">
        <v>3</v>
      </c>
      <c r="B4044" s="59" t="n">
        <v>46248</v>
      </c>
      <c r="C4044" s="0" t="n">
        <v>100</v>
      </c>
      <c r="D4044" s="0" t="s">
        <v>2181</v>
      </c>
      <c r="E4044" s="0" t="n">
        <v>42</v>
      </c>
      <c r="F4044" s="0" t="s">
        <v>81</v>
      </c>
      <c r="I4044" s="0" t="n">
        <v>1545658</v>
      </c>
      <c r="J4044" s="0" t="n">
        <v>100002</v>
      </c>
      <c r="K4044" s="0" t="n">
        <v>3</v>
      </c>
      <c r="L4044" s="0" t="s">
        <v>2175</v>
      </c>
      <c r="N4044" s="0" t="n">
        <v>17.205</v>
      </c>
      <c r="O4044" s="60" t="n">
        <v>432.34</v>
      </c>
    </row>
    <row r="4045" customFormat="false" ht="15" hidden="false" customHeight="false" outlineLevel="0" collapsed="false">
      <c r="A4045" s="0" t="n">
        <v>3</v>
      </c>
      <c r="B4045" s="59" t="n">
        <v>46248</v>
      </c>
      <c r="C4045" s="0" t="n">
        <v>100</v>
      </c>
      <c r="D4045" s="0" t="s">
        <v>2181</v>
      </c>
      <c r="E4045" s="0" t="n">
        <v>42</v>
      </c>
      <c r="F4045" s="0" t="s">
        <v>81</v>
      </c>
      <c r="I4045" s="0" t="n">
        <v>1545658</v>
      </c>
      <c r="J4045" s="0" t="n">
        <v>100003</v>
      </c>
      <c r="K4045" s="0" t="n">
        <v>4</v>
      </c>
      <c r="L4045" s="0" t="s">
        <v>2176</v>
      </c>
      <c r="N4045" s="0" t="n">
        <v>15.938</v>
      </c>
      <c r="O4045" s="60" t="n">
        <v>438.06</v>
      </c>
    </row>
    <row r="4046" customFormat="false" ht="15" hidden="false" customHeight="false" outlineLevel="0" collapsed="false">
      <c r="A4046" s="0" t="n">
        <v>3</v>
      </c>
      <c r="B4046" s="59" t="n">
        <v>46248</v>
      </c>
      <c r="C4046" s="0" t="n">
        <v>100</v>
      </c>
      <c r="D4046" s="0" t="s">
        <v>2181</v>
      </c>
      <c r="E4046" s="0" t="n">
        <v>42</v>
      </c>
      <c r="F4046" s="0" t="s">
        <v>81</v>
      </c>
      <c r="I4046" s="0" t="n">
        <v>1545658</v>
      </c>
      <c r="J4046" s="0" t="n">
        <v>100007</v>
      </c>
      <c r="K4046" s="0" t="n">
        <v>8</v>
      </c>
      <c r="L4046" s="0" t="s">
        <v>2177</v>
      </c>
      <c r="N4046" s="0" t="n">
        <v>4.394</v>
      </c>
      <c r="O4046" s="60" t="n">
        <v>117.32</v>
      </c>
    </row>
    <row r="4047" customFormat="false" ht="15" hidden="false" customHeight="false" outlineLevel="0" collapsed="false">
      <c r="A4047" s="0" t="n">
        <v>3</v>
      </c>
      <c r="B4047" s="59" t="n">
        <v>46248</v>
      </c>
      <c r="C4047" s="0" t="n">
        <v>100</v>
      </c>
      <c r="D4047" s="0" t="s">
        <v>2181</v>
      </c>
      <c r="E4047" s="0" t="n">
        <v>42</v>
      </c>
      <c r="F4047" s="0" t="s">
        <v>81</v>
      </c>
      <c r="I4047" s="0" t="n">
        <v>1545658</v>
      </c>
      <c r="J4047" s="0" t="n">
        <v>100638</v>
      </c>
      <c r="K4047" s="0" t="n">
        <v>508</v>
      </c>
      <c r="L4047" s="0" t="s">
        <v>2178</v>
      </c>
      <c r="N4047" s="0" t="n">
        <v>2.888</v>
      </c>
      <c r="O4047" s="60" t="n">
        <v>4.51</v>
      </c>
    </row>
    <row r="4048" customFormat="false" ht="15" hidden="false" customHeight="false" outlineLevel="0" collapsed="false">
      <c r="A4048" s="0" t="n">
        <v>3</v>
      </c>
      <c r="B4048" s="59" t="n">
        <v>46248</v>
      </c>
      <c r="C4048" s="0" t="n">
        <v>100</v>
      </c>
      <c r="D4048" s="0" t="s">
        <v>2181</v>
      </c>
      <c r="E4048" s="0" t="n">
        <v>42</v>
      </c>
      <c r="F4048" s="0" t="s">
        <v>81</v>
      </c>
      <c r="I4048" s="0" t="n">
        <v>1545658</v>
      </c>
      <c r="J4048" s="0" t="n">
        <v>100520</v>
      </c>
      <c r="K4048" s="0" t="n">
        <v>507</v>
      </c>
      <c r="L4048" s="0" t="s">
        <v>2179</v>
      </c>
      <c r="N4048" s="0" t="n">
        <v>3.208</v>
      </c>
      <c r="O4048" s="60" t="n">
        <v>7.53</v>
      </c>
    </row>
    <row r="4049" customFormat="false" ht="15" hidden="false" customHeight="false" outlineLevel="0" collapsed="false">
      <c r="A4049" s="0" t="n">
        <v>3</v>
      </c>
      <c r="B4049" s="59" t="n">
        <v>46248</v>
      </c>
      <c r="C4049" s="0" t="n">
        <v>100</v>
      </c>
      <c r="D4049" s="0" t="s">
        <v>2181</v>
      </c>
      <c r="E4049" s="0" t="n">
        <v>42</v>
      </c>
      <c r="F4049" s="0" t="s">
        <v>81</v>
      </c>
      <c r="I4049" s="0" t="n">
        <v>1545658</v>
      </c>
      <c r="J4049" s="0" t="n">
        <v>110455</v>
      </c>
      <c r="K4049" s="0" t="n">
        <v>53212</v>
      </c>
      <c r="L4049" s="0" t="s">
        <v>2180</v>
      </c>
      <c r="N4049" s="0" t="n">
        <v>0.473</v>
      </c>
      <c r="O4049" s="60" t="n">
        <v>0.01</v>
      </c>
    </row>
    <row r="4050" customFormat="false" ht="15" hidden="false" customHeight="false" outlineLevel="0" collapsed="false">
      <c r="A4050" s="0" t="n">
        <v>3</v>
      </c>
      <c r="B4050" s="59" t="n">
        <v>46248</v>
      </c>
      <c r="C4050" s="0" t="n">
        <v>100</v>
      </c>
      <c r="D4050" s="0" t="s">
        <v>2181</v>
      </c>
      <c r="E4050" s="0" t="n">
        <v>42</v>
      </c>
      <c r="F4050" s="0" t="s">
        <v>81</v>
      </c>
      <c r="I4050" s="0" t="n">
        <v>1545685</v>
      </c>
      <c r="J4050" s="0" t="n">
        <v>100000</v>
      </c>
      <c r="K4050" s="0" t="n">
        <v>1</v>
      </c>
      <c r="L4050" s="0" t="s">
        <v>2173</v>
      </c>
      <c r="N4050" s="0" t="n">
        <v>2.796</v>
      </c>
      <c r="O4050" s="60" t="n">
        <v>69.86</v>
      </c>
    </row>
    <row r="4051" customFormat="false" ht="15" hidden="false" customHeight="false" outlineLevel="0" collapsed="false">
      <c r="A4051" s="0" t="n">
        <v>3</v>
      </c>
      <c r="B4051" s="59" t="n">
        <v>46248</v>
      </c>
      <c r="C4051" s="0" t="n">
        <v>100</v>
      </c>
      <c r="D4051" s="0" t="s">
        <v>2181</v>
      </c>
      <c r="E4051" s="0" t="n">
        <v>42</v>
      </c>
      <c r="F4051" s="0" t="s">
        <v>81</v>
      </c>
      <c r="I4051" s="0" t="n">
        <v>1545685</v>
      </c>
      <c r="J4051" s="0" t="n">
        <v>100006</v>
      </c>
      <c r="K4051" s="0" t="n">
        <v>7</v>
      </c>
      <c r="L4051" s="0" t="s">
        <v>2228</v>
      </c>
      <c r="N4051" s="0" t="n">
        <v>9.138</v>
      </c>
      <c r="O4051" s="60" t="n">
        <v>314.97</v>
      </c>
    </row>
    <row r="4052" customFormat="false" ht="15" hidden="false" customHeight="false" outlineLevel="0" collapsed="false">
      <c r="A4052" s="0" t="n">
        <v>3</v>
      </c>
      <c r="B4052" s="59" t="n">
        <v>46248</v>
      </c>
      <c r="C4052" s="0" t="n">
        <v>100</v>
      </c>
      <c r="D4052" s="0" t="s">
        <v>2181</v>
      </c>
      <c r="E4052" s="0" t="n">
        <v>42</v>
      </c>
      <c r="F4052" s="0" t="s">
        <v>81</v>
      </c>
      <c r="I4052" s="0" t="n">
        <v>1545685</v>
      </c>
      <c r="J4052" s="0" t="n">
        <v>100010</v>
      </c>
      <c r="K4052" s="0" t="n">
        <v>11</v>
      </c>
      <c r="L4052" s="0" t="s">
        <v>2230</v>
      </c>
      <c r="N4052" s="0" t="n">
        <v>5.342</v>
      </c>
      <c r="O4052" s="60" t="n">
        <v>216.36</v>
      </c>
    </row>
    <row r="4053" customFormat="false" ht="15" hidden="false" customHeight="false" outlineLevel="0" collapsed="false">
      <c r="A4053" s="0" t="n">
        <v>3</v>
      </c>
      <c r="B4053" s="59" t="n">
        <v>46248</v>
      </c>
      <c r="C4053" s="0" t="n">
        <v>100</v>
      </c>
      <c r="D4053" s="0" t="s">
        <v>2181</v>
      </c>
      <c r="E4053" s="0" t="n">
        <v>42</v>
      </c>
      <c r="F4053" s="0" t="s">
        <v>81</v>
      </c>
      <c r="I4053" s="0" t="n">
        <v>1545685</v>
      </c>
      <c r="J4053" s="0" t="n">
        <v>100011</v>
      </c>
      <c r="K4053" s="0" t="n">
        <v>12</v>
      </c>
      <c r="L4053" s="0" t="s">
        <v>2231</v>
      </c>
      <c r="N4053" s="0" t="n">
        <v>11.724</v>
      </c>
      <c r="O4053" s="60" t="n">
        <v>474.84</v>
      </c>
    </row>
    <row r="4054" customFormat="false" ht="15" hidden="false" customHeight="false" outlineLevel="0" collapsed="false">
      <c r="A4054" s="0" t="n">
        <v>3</v>
      </c>
      <c r="B4054" s="59" t="n">
        <v>46248</v>
      </c>
      <c r="C4054" s="0" t="n">
        <v>100</v>
      </c>
      <c r="D4054" s="0" t="s">
        <v>2181</v>
      </c>
      <c r="E4054" s="0" t="n">
        <v>42</v>
      </c>
      <c r="F4054" s="0" t="s">
        <v>81</v>
      </c>
      <c r="I4054" s="0" t="n">
        <v>1545685</v>
      </c>
      <c r="J4054" s="0" t="n">
        <v>100012</v>
      </c>
      <c r="K4054" s="0" t="n">
        <v>13</v>
      </c>
      <c r="L4054" s="0" t="s">
        <v>2232</v>
      </c>
      <c r="N4054" s="0" t="n">
        <v>10.818</v>
      </c>
      <c r="O4054" s="60" t="n">
        <v>475.44</v>
      </c>
    </row>
    <row r="4055" customFormat="false" ht="15" hidden="false" customHeight="false" outlineLevel="0" collapsed="false">
      <c r="A4055" s="0" t="n">
        <v>3</v>
      </c>
      <c r="B4055" s="59" t="n">
        <v>46248</v>
      </c>
      <c r="C4055" s="0" t="n">
        <v>100</v>
      </c>
      <c r="D4055" s="0" t="s">
        <v>2181</v>
      </c>
      <c r="E4055" s="0" t="n">
        <v>42</v>
      </c>
      <c r="F4055" s="0" t="s">
        <v>81</v>
      </c>
      <c r="I4055" s="0" t="n">
        <v>1545685</v>
      </c>
      <c r="J4055" s="0" t="n">
        <v>100013</v>
      </c>
      <c r="K4055" s="0" t="n">
        <v>14</v>
      </c>
      <c r="L4055" s="0" t="s">
        <v>2233</v>
      </c>
      <c r="N4055" s="0" t="n">
        <v>19.415</v>
      </c>
      <c r="O4055" s="60" t="n">
        <v>920.21</v>
      </c>
    </row>
    <row r="4056" customFormat="false" ht="15" hidden="false" customHeight="false" outlineLevel="0" collapsed="false">
      <c r="A4056" s="0" t="n">
        <v>3</v>
      </c>
      <c r="B4056" s="59" t="n">
        <v>46248</v>
      </c>
      <c r="C4056" s="0" t="n">
        <v>100</v>
      </c>
      <c r="D4056" s="0" t="s">
        <v>2181</v>
      </c>
      <c r="E4056" s="0" t="n">
        <v>42</v>
      </c>
      <c r="F4056" s="0" t="s">
        <v>81</v>
      </c>
      <c r="I4056" s="0" t="n">
        <v>1545685</v>
      </c>
      <c r="J4056" s="0" t="n">
        <v>100014</v>
      </c>
      <c r="K4056" s="0" t="n">
        <v>15</v>
      </c>
      <c r="L4056" s="0" t="s">
        <v>2234</v>
      </c>
      <c r="N4056" s="0" t="n">
        <v>7.608</v>
      </c>
      <c r="O4056" s="60" t="n">
        <v>367.15</v>
      </c>
    </row>
    <row r="4057" customFormat="false" ht="15" hidden="false" customHeight="false" outlineLevel="0" collapsed="false">
      <c r="A4057" s="0" t="n">
        <v>3</v>
      </c>
      <c r="B4057" s="59" t="n">
        <v>46248</v>
      </c>
      <c r="C4057" s="0" t="n">
        <v>100</v>
      </c>
      <c r="D4057" s="0" t="s">
        <v>2181</v>
      </c>
      <c r="E4057" s="0" t="n">
        <v>42</v>
      </c>
      <c r="F4057" s="0" t="s">
        <v>81</v>
      </c>
      <c r="I4057" s="0" t="n">
        <v>1545685</v>
      </c>
      <c r="J4057" s="0" t="n">
        <v>100015</v>
      </c>
      <c r="K4057" s="0" t="n">
        <v>16</v>
      </c>
      <c r="L4057" s="0" t="s">
        <v>2235</v>
      </c>
      <c r="N4057" s="0" t="n">
        <v>2.696</v>
      </c>
      <c r="O4057" s="60" t="n">
        <v>118.49</v>
      </c>
    </row>
    <row r="4058" customFormat="false" ht="15" hidden="false" customHeight="false" outlineLevel="0" collapsed="false">
      <c r="A4058" s="0" t="n">
        <v>3</v>
      </c>
      <c r="B4058" s="59" t="n">
        <v>46248</v>
      </c>
      <c r="C4058" s="0" t="n">
        <v>100</v>
      </c>
      <c r="D4058" s="0" t="s">
        <v>2181</v>
      </c>
      <c r="E4058" s="0" t="n">
        <v>42</v>
      </c>
      <c r="F4058" s="0" t="s">
        <v>81</v>
      </c>
      <c r="I4058" s="0" t="n">
        <v>1545685</v>
      </c>
      <c r="J4058" s="0" t="n">
        <v>100017</v>
      </c>
      <c r="K4058" s="0" t="n">
        <v>18</v>
      </c>
      <c r="L4058" s="0" t="s">
        <v>2237</v>
      </c>
      <c r="N4058" s="0" t="n">
        <v>3.122</v>
      </c>
      <c r="O4058" s="60" t="n">
        <v>174.88</v>
      </c>
    </row>
    <row r="4059" customFormat="false" ht="15" hidden="false" customHeight="false" outlineLevel="0" collapsed="false">
      <c r="A4059" s="0" t="n">
        <v>3</v>
      </c>
      <c r="B4059" s="59" t="n">
        <v>46248</v>
      </c>
      <c r="C4059" s="0" t="n">
        <v>100</v>
      </c>
      <c r="D4059" s="0" t="s">
        <v>2181</v>
      </c>
      <c r="E4059" s="0" t="n">
        <v>42</v>
      </c>
      <c r="F4059" s="0" t="s">
        <v>81</v>
      </c>
      <c r="I4059" s="0" t="n">
        <v>1545685</v>
      </c>
      <c r="J4059" s="0" t="n">
        <v>100638</v>
      </c>
      <c r="K4059" s="0" t="n">
        <v>508</v>
      </c>
      <c r="L4059" s="0" t="s">
        <v>2178</v>
      </c>
      <c r="N4059" s="0" t="n">
        <v>4.119</v>
      </c>
      <c r="O4059" s="60" t="n">
        <v>7.06</v>
      </c>
    </row>
    <row r="4060" customFormat="false" ht="15" hidden="false" customHeight="false" outlineLevel="0" collapsed="false">
      <c r="A4060" s="0" t="n">
        <v>3</v>
      </c>
      <c r="B4060" s="59" t="n">
        <v>46248</v>
      </c>
      <c r="C4060" s="0" t="n">
        <v>100</v>
      </c>
      <c r="D4060" s="0" t="s">
        <v>2181</v>
      </c>
      <c r="E4060" s="0" t="n">
        <v>42</v>
      </c>
      <c r="F4060" s="0" t="s">
        <v>81</v>
      </c>
      <c r="I4060" s="0" t="n">
        <v>1545685</v>
      </c>
      <c r="J4060" s="0" t="n">
        <v>100520</v>
      </c>
      <c r="K4060" s="0" t="n">
        <v>507</v>
      </c>
      <c r="L4060" s="0" t="s">
        <v>2179</v>
      </c>
      <c r="N4060" s="0" t="n">
        <v>18.836</v>
      </c>
      <c r="O4060" s="60" t="n">
        <v>48.54</v>
      </c>
    </row>
    <row r="4061" customFormat="false" ht="15" hidden="false" customHeight="false" outlineLevel="0" collapsed="false">
      <c r="A4061" s="0" t="n">
        <v>3</v>
      </c>
      <c r="B4061" s="59" t="n">
        <v>46248</v>
      </c>
      <c r="C4061" s="0" t="n">
        <v>100</v>
      </c>
      <c r="D4061" s="0" t="s">
        <v>2181</v>
      </c>
      <c r="E4061" s="0" t="n">
        <v>42</v>
      </c>
      <c r="F4061" s="0" t="s">
        <v>81</v>
      </c>
      <c r="I4061" s="0" t="n">
        <v>1545685</v>
      </c>
      <c r="J4061" s="0" t="n">
        <v>110455</v>
      </c>
      <c r="K4061" s="0" t="n">
        <v>53212</v>
      </c>
      <c r="L4061" s="0" t="s">
        <v>2180</v>
      </c>
      <c r="N4061" s="0" t="n">
        <v>0.986</v>
      </c>
      <c r="O4061" s="60" t="n">
        <v>0</v>
      </c>
    </row>
    <row r="4062" customFormat="false" ht="15" hidden="false" customHeight="false" outlineLevel="0" collapsed="false">
      <c r="A4062" s="0" t="n">
        <v>3</v>
      </c>
      <c r="B4062" s="59" t="n">
        <v>46248</v>
      </c>
      <c r="C4062" s="0" t="n">
        <v>100</v>
      </c>
      <c r="D4062" s="0" t="s">
        <v>2181</v>
      </c>
      <c r="E4062" s="0" t="n">
        <v>42</v>
      </c>
      <c r="F4062" s="0" t="s">
        <v>81</v>
      </c>
      <c r="I4062" s="0" t="n">
        <v>1546727</v>
      </c>
      <c r="J4062" s="0" t="n">
        <v>100000</v>
      </c>
      <c r="K4062" s="0" t="n">
        <v>1</v>
      </c>
      <c r="L4062" s="0" t="s">
        <v>2173</v>
      </c>
      <c r="N4062" s="0" t="n">
        <v>2.215</v>
      </c>
      <c r="O4062" s="60" t="n">
        <v>51.76</v>
      </c>
    </row>
    <row r="4063" customFormat="false" ht="15" hidden="false" customHeight="false" outlineLevel="0" collapsed="false">
      <c r="A4063" s="0" t="n">
        <v>3</v>
      </c>
      <c r="B4063" s="59" t="n">
        <v>46248</v>
      </c>
      <c r="C4063" s="0" t="n">
        <v>100</v>
      </c>
      <c r="D4063" s="0" t="s">
        <v>2181</v>
      </c>
      <c r="E4063" s="0" t="n">
        <v>42</v>
      </c>
      <c r="F4063" s="0" t="s">
        <v>81</v>
      </c>
      <c r="I4063" s="0" t="n">
        <v>1546727</v>
      </c>
      <c r="J4063" s="0" t="n">
        <v>100001</v>
      </c>
      <c r="K4063" s="0" t="n">
        <v>2</v>
      </c>
      <c r="L4063" s="0" t="s">
        <v>2174</v>
      </c>
      <c r="N4063" s="0" t="n">
        <v>11.27</v>
      </c>
      <c r="O4063" s="60" t="n">
        <v>281.54</v>
      </c>
    </row>
    <row r="4064" customFormat="false" ht="15" hidden="false" customHeight="false" outlineLevel="0" collapsed="false">
      <c r="A4064" s="0" t="n">
        <v>3</v>
      </c>
      <c r="B4064" s="59" t="n">
        <v>46248</v>
      </c>
      <c r="C4064" s="0" t="n">
        <v>100</v>
      </c>
      <c r="D4064" s="0" t="s">
        <v>2181</v>
      </c>
      <c r="E4064" s="0" t="n">
        <v>42</v>
      </c>
      <c r="F4064" s="0" t="s">
        <v>81</v>
      </c>
      <c r="I4064" s="0" t="n">
        <v>1546727</v>
      </c>
      <c r="J4064" s="0" t="n">
        <v>100002</v>
      </c>
      <c r="K4064" s="0" t="n">
        <v>3</v>
      </c>
      <c r="L4064" s="0" t="s">
        <v>2175</v>
      </c>
      <c r="N4064" s="0" t="n">
        <v>15.275</v>
      </c>
      <c r="O4064" s="60" t="n">
        <v>393.9</v>
      </c>
    </row>
    <row r="4065" customFormat="false" ht="15" hidden="false" customHeight="false" outlineLevel="0" collapsed="false">
      <c r="A4065" s="0" t="n">
        <v>3</v>
      </c>
      <c r="B4065" s="59" t="n">
        <v>46248</v>
      </c>
      <c r="C4065" s="0" t="n">
        <v>100</v>
      </c>
      <c r="D4065" s="0" t="s">
        <v>2181</v>
      </c>
      <c r="E4065" s="0" t="n">
        <v>42</v>
      </c>
      <c r="F4065" s="0" t="s">
        <v>81</v>
      </c>
      <c r="I4065" s="0" t="n">
        <v>1546727</v>
      </c>
      <c r="J4065" s="0" t="n">
        <v>100003</v>
      </c>
      <c r="K4065" s="0" t="n">
        <v>4</v>
      </c>
      <c r="L4065" s="0" t="s">
        <v>2176</v>
      </c>
      <c r="N4065" s="0" t="n">
        <v>15.191</v>
      </c>
      <c r="O4065" s="60" t="n">
        <v>428.47</v>
      </c>
    </row>
    <row r="4066" customFormat="false" ht="15" hidden="false" customHeight="false" outlineLevel="0" collapsed="false">
      <c r="A4066" s="0" t="n">
        <v>3</v>
      </c>
      <c r="B4066" s="59" t="n">
        <v>46248</v>
      </c>
      <c r="C4066" s="0" t="n">
        <v>100</v>
      </c>
      <c r="D4066" s="0" t="s">
        <v>2181</v>
      </c>
      <c r="E4066" s="0" t="n">
        <v>42</v>
      </c>
      <c r="F4066" s="0" t="s">
        <v>81</v>
      </c>
      <c r="I4066" s="0" t="n">
        <v>1546727</v>
      </c>
      <c r="J4066" s="0" t="n">
        <v>100007</v>
      </c>
      <c r="K4066" s="0" t="n">
        <v>8</v>
      </c>
      <c r="L4066" s="0" t="s">
        <v>2177</v>
      </c>
      <c r="N4066" s="0" t="n">
        <v>5.288</v>
      </c>
      <c r="O4066" s="60" t="n">
        <v>144.89</v>
      </c>
    </row>
    <row r="4067" customFormat="false" ht="15" hidden="false" customHeight="false" outlineLevel="0" collapsed="false">
      <c r="A4067" s="0" t="n">
        <v>3</v>
      </c>
      <c r="B4067" s="59" t="n">
        <v>46248</v>
      </c>
      <c r="C4067" s="0" t="n">
        <v>100</v>
      </c>
      <c r="D4067" s="0" t="s">
        <v>2181</v>
      </c>
      <c r="E4067" s="0" t="n">
        <v>42</v>
      </c>
      <c r="F4067" s="0" t="s">
        <v>81</v>
      </c>
      <c r="I4067" s="0" t="n">
        <v>1546727</v>
      </c>
      <c r="J4067" s="0" t="n">
        <v>100638</v>
      </c>
      <c r="K4067" s="0" t="n">
        <v>508</v>
      </c>
      <c r="L4067" s="0" t="s">
        <v>2178</v>
      </c>
      <c r="N4067" s="0" t="n">
        <v>2.796</v>
      </c>
      <c r="O4067" s="60" t="n">
        <v>4.49</v>
      </c>
    </row>
    <row r="4068" customFormat="false" ht="15" hidden="false" customHeight="false" outlineLevel="0" collapsed="false">
      <c r="A4068" s="0" t="n">
        <v>3</v>
      </c>
      <c r="B4068" s="59" t="n">
        <v>46248</v>
      </c>
      <c r="C4068" s="0" t="n">
        <v>100</v>
      </c>
      <c r="D4068" s="0" t="s">
        <v>2181</v>
      </c>
      <c r="E4068" s="0" t="n">
        <v>42</v>
      </c>
      <c r="F4068" s="0" t="s">
        <v>81</v>
      </c>
      <c r="I4068" s="0" t="n">
        <v>1546727</v>
      </c>
      <c r="J4068" s="0" t="n">
        <v>100520</v>
      </c>
      <c r="K4068" s="0" t="n">
        <v>507</v>
      </c>
      <c r="L4068" s="0" t="s">
        <v>2179</v>
      </c>
      <c r="N4068" s="0" t="n">
        <v>3.906</v>
      </c>
      <c r="O4068" s="60" t="n">
        <v>9.41</v>
      </c>
    </row>
    <row r="4069" customFormat="false" ht="15" hidden="false" customHeight="false" outlineLevel="0" collapsed="false">
      <c r="A4069" s="0" t="n">
        <v>3</v>
      </c>
      <c r="B4069" s="59" t="n">
        <v>46248</v>
      </c>
      <c r="C4069" s="0" t="n">
        <v>100</v>
      </c>
      <c r="D4069" s="0" t="s">
        <v>2181</v>
      </c>
      <c r="E4069" s="0" t="n">
        <v>42</v>
      </c>
      <c r="F4069" s="0" t="s">
        <v>81</v>
      </c>
      <c r="I4069" s="0" t="n">
        <v>1546727</v>
      </c>
      <c r="J4069" s="0" t="n">
        <v>110455</v>
      </c>
      <c r="K4069" s="0" t="n">
        <v>53212</v>
      </c>
      <c r="L4069" s="0" t="s">
        <v>2180</v>
      </c>
      <c r="N4069" s="0" t="n">
        <v>1.209</v>
      </c>
      <c r="O4069" s="60" t="n">
        <v>0</v>
      </c>
    </row>
    <row r="4070" customFormat="false" ht="15" hidden="false" customHeight="false" outlineLevel="0" collapsed="false">
      <c r="A4070" s="0" t="n">
        <v>3</v>
      </c>
      <c r="B4070" s="59" t="n">
        <v>46249</v>
      </c>
      <c r="C4070" s="0" t="n">
        <v>6</v>
      </c>
      <c r="D4070" s="0" t="s">
        <v>2125</v>
      </c>
      <c r="E4070" s="0" t="n">
        <v>42</v>
      </c>
      <c r="F4070" s="0" t="s">
        <v>81</v>
      </c>
      <c r="I4070" s="0" t="n">
        <v>4506</v>
      </c>
      <c r="J4070" s="0" t="n">
        <v>109791</v>
      </c>
      <c r="K4070" s="0" t="n">
        <v>9667</v>
      </c>
      <c r="L4070" s="0" t="s">
        <v>2123</v>
      </c>
      <c r="N4070" s="0" t="n">
        <v>16</v>
      </c>
      <c r="O4070" s="60" t="n">
        <v>40</v>
      </c>
    </row>
    <row r="4071" customFormat="false" ht="15" hidden="false" customHeight="false" outlineLevel="0" collapsed="false">
      <c r="A4071" s="0" t="n">
        <v>3</v>
      </c>
      <c r="B4071" s="59" t="n">
        <v>46249</v>
      </c>
      <c r="C4071" s="0" t="n">
        <v>6</v>
      </c>
      <c r="D4071" s="0" t="s">
        <v>2125</v>
      </c>
      <c r="E4071" s="0" t="n">
        <v>42</v>
      </c>
      <c r="F4071" s="0" t="s">
        <v>81</v>
      </c>
      <c r="I4071" s="0" t="n">
        <v>4506</v>
      </c>
      <c r="J4071" s="0" t="n">
        <v>37359</v>
      </c>
      <c r="K4071" s="0" t="n">
        <v>55526</v>
      </c>
      <c r="L4071" s="0" t="s">
        <v>2194</v>
      </c>
      <c r="N4071" s="0" t="n">
        <v>8</v>
      </c>
      <c r="O4071" s="60" t="n">
        <v>48</v>
      </c>
    </row>
    <row r="4072" customFormat="false" ht="15" hidden="false" customHeight="false" outlineLevel="0" collapsed="false">
      <c r="A4072" s="0" t="n">
        <v>3</v>
      </c>
      <c r="B4072" s="59" t="n">
        <v>46249</v>
      </c>
      <c r="C4072" s="0" t="n">
        <v>6</v>
      </c>
      <c r="D4072" s="0" t="s">
        <v>2125</v>
      </c>
      <c r="E4072" s="0" t="n">
        <v>42</v>
      </c>
      <c r="F4072" s="0" t="s">
        <v>81</v>
      </c>
      <c r="I4072" s="0" t="n">
        <v>4506</v>
      </c>
      <c r="J4072" s="0" t="n">
        <v>37361</v>
      </c>
      <c r="K4072" s="0" t="n">
        <v>2240817</v>
      </c>
      <c r="L4072" s="0" t="s">
        <v>2124</v>
      </c>
      <c r="N4072" s="0" t="n">
        <v>110</v>
      </c>
      <c r="O4072" s="60" t="n">
        <v>220</v>
      </c>
    </row>
    <row r="4073" customFormat="false" ht="15" hidden="false" customHeight="false" outlineLevel="0" collapsed="false">
      <c r="A4073" s="0" t="n">
        <v>3</v>
      </c>
      <c r="B4073" s="59" t="n">
        <v>46249</v>
      </c>
      <c r="C4073" s="0" t="n">
        <v>11</v>
      </c>
      <c r="D4073" s="0" t="s">
        <v>2126</v>
      </c>
      <c r="E4073" s="0" t="n">
        <v>1378</v>
      </c>
      <c r="F4073" s="0" t="s">
        <v>121</v>
      </c>
      <c r="I4073" s="0" t="n">
        <v>18667</v>
      </c>
      <c r="J4073" s="0" t="n">
        <v>74061</v>
      </c>
      <c r="K4073" s="0" t="n">
        <v>42882264255</v>
      </c>
      <c r="L4073" s="0" t="s">
        <v>2297</v>
      </c>
      <c r="N4073" s="0" t="n">
        <v>4</v>
      </c>
      <c r="O4073" s="60" t="n">
        <v>20.4</v>
      </c>
    </row>
    <row r="4074" customFormat="false" ht="15" hidden="false" customHeight="false" outlineLevel="0" collapsed="false">
      <c r="A4074" s="0" t="n">
        <v>3</v>
      </c>
      <c r="B4074" s="59" t="n">
        <v>46249</v>
      </c>
      <c r="C4074" s="0" t="n">
        <v>11</v>
      </c>
      <c r="D4074" s="0" t="s">
        <v>2126</v>
      </c>
      <c r="E4074" s="0" t="n">
        <v>1378</v>
      </c>
      <c r="F4074" s="0" t="s">
        <v>121</v>
      </c>
      <c r="I4074" s="0" t="n">
        <v>18667</v>
      </c>
      <c r="J4074" s="0" t="n">
        <v>74063</v>
      </c>
      <c r="K4074" s="0" t="n">
        <v>42882264262</v>
      </c>
      <c r="L4074" s="0" t="s">
        <v>2298</v>
      </c>
      <c r="N4074" s="0" t="n">
        <v>3</v>
      </c>
      <c r="O4074" s="60" t="n">
        <v>13.5</v>
      </c>
    </row>
    <row r="4075" customFormat="false" ht="15" hidden="false" customHeight="false" outlineLevel="0" collapsed="false">
      <c r="A4075" s="0" t="n">
        <v>3</v>
      </c>
      <c r="B4075" s="59" t="n">
        <v>46249</v>
      </c>
      <c r="C4075" s="0" t="n">
        <v>11</v>
      </c>
      <c r="D4075" s="0" t="s">
        <v>2126</v>
      </c>
      <c r="E4075" s="0" t="n">
        <v>1378</v>
      </c>
      <c r="F4075" s="0" t="s">
        <v>121</v>
      </c>
      <c r="I4075" s="0" t="n">
        <v>18667</v>
      </c>
      <c r="J4075" s="0" t="n">
        <v>74064</v>
      </c>
      <c r="K4075" s="0" t="n">
        <v>42882264279</v>
      </c>
      <c r="L4075" s="0" t="s">
        <v>2299</v>
      </c>
      <c r="N4075" s="0" t="n">
        <v>4</v>
      </c>
      <c r="O4075" s="60" t="n">
        <v>19.2</v>
      </c>
    </row>
    <row r="4076" customFormat="false" ht="15" hidden="false" customHeight="false" outlineLevel="0" collapsed="false">
      <c r="A4076" s="0" t="n">
        <v>3</v>
      </c>
      <c r="B4076" s="59" t="n">
        <v>46249</v>
      </c>
      <c r="C4076" s="0" t="n">
        <v>11</v>
      </c>
      <c r="D4076" s="0" t="s">
        <v>2126</v>
      </c>
      <c r="E4076" s="0" t="n">
        <v>1378</v>
      </c>
      <c r="F4076" s="0" t="s">
        <v>121</v>
      </c>
      <c r="I4076" s="0" t="n">
        <v>18667</v>
      </c>
      <c r="J4076" s="0" t="n">
        <v>77994</v>
      </c>
      <c r="K4076" s="0" t="n">
        <v>780117</v>
      </c>
      <c r="L4076" s="0" t="s">
        <v>2301</v>
      </c>
      <c r="N4076" s="0" t="n">
        <v>24</v>
      </c>
      <c r="O4076" s="60" t="n">
        <v>139.2</v>
      </c>
    </row>
    <row r="4077" customFormat="false" ht="15" hidden="false" customHeight="false" outlineLevel="0" collapsed="false">
      <c r="A4077" s="0" t="n">
        <v>3</v>
      </c>
      <c r="B4077" s="59" t="n">
        <v>46249</v>
      </c>
      <c r="C4077" s="0" t="n">
        <v>11</v>
      </c>
      <c r="D4077" s="0" t="s">
        <v>2126</v>
      </c>
      <c r="E4077" s="0" t="n">
        <v>1815</v>
      </c>
      <c r="F4077" s="0" t="s">
        <v>54</v>
      </c>
      <c r="I4077" s="0" t="n">
        <v>398009</v>
      </c>
      <c r="J4077" s="0" t="n">
        <v>100024</v>
      </c>
      <c r="K4077" s="0" t="n">
        <v>25</v>
      </c>
      <c r="L4077" s="0" t="s">
        <v>2998</v>
      </c>
      <c r="N4077" s="0" t="n">
        <v>24.508</v>
      </c>
      <c r="O4077" s="60" t="n">
        <v>342.87</v>
      </c>
    </row>
    <row r="4078" customFormat="false" ht="15" hidden="false" customHeight="false" outlineLevel="0" collapsed="false">
      <c r="A4078" s="0" t="n">
        <v>3</v>
      </c>
      <c r="B4078" s="59" t="n">
        <v>46249</v>
      </c>
      <c r="C4078" s="0" t="n">
        <v>11</v>
      </c>
      <c r="D4078" s="0" t="s">
        <v>2126</v>
      </c>
      <c r="E4078" s="0" t="n">
        <v>1815</v>
      </c>
      <c r="F4078" s="0" t="s">
        <v>54</v>
      </c>
      <c r="I4078" s="0" t="n">
        <v>398009</v>
      </c>
      <c r="J4078" s="0" t="n">
        <v>100035</v>
      </c>
      <c r="K4078" s="0" t="n">
        <v>36</v>
      </c>
      <c r="L4078" s="0" t="s">
        <v>2784</v>
      </c>
      <c r="N4078" s="0" t="n">
        <v>100</v>
      </c>
      <c r="O4078" s="60" t="n">
        <v>699</v>
      </c>
    </row>
    <row r="4079" customFormat="false" ht="15" hidden="false" customHeight="false" outlineLevel="0" collapsed="false">
      <c r="A4079" s="0" t="n">
        <v>3</v>
      </c>
      <c r="B4079" s="59" t="n">
        <v>46249</v>
      </c>
      <c r="C4079" s="0" t="n">
        <v>11</v>
      </c>
      <c r="D4079" s="0" t="s">
        <v>2126</v>
      </c>
      <c r="E4079" s="0" t="n">
        <v>1815</v>
      </c>
      <c r="F4079" s="0" t="s">
        <v>54</v>
      </c>
      <c r="I4079" s="0" t="n">
        <v>398009</v>
      </c>
      <c r="J4079" s="0" t="n">
        <v>100054</v>
      </c>
      <c r="K4079" s="0" t="n">
        <v>55</v>
      </c>
      <c r="L4079" s="0" t="s">
        <v>3481</v>
      </c>
      <c r="N4079" s="0" t="n">
        <v>30</v>
      </c>
      <c r="O4079" s="60" t="n">
        <v>389.7</v>
      </c>
    </row>
    <row r="4080" customFormat="false" ht="15" hidden="false" customHeight="false" outlineLevel="0" collapsed="false">
      <c r="A4080" s="0" t="n">
        <v>3</v>
      </c>
      <c r="B4080" s="59" t="n">
        <v>46249</v>
      </c>
      <c r="C4080" s="0" t="n">
        <v>11</v>
      </c>
      <c r="D4080" s="0" t="s">
        <v>2126</v>
      </c>
      <c r="E4080" s="0" t="n">
        <v>1815</v>
      </c>
      <c r="F4080" s="0" t="s">
        <v>54</v>
      </c>
      <c r="I4080" s="0" t="n">
        <v>398009</v>
      </c>
      <c r="J4080" s="0" t="n">
        <v>29054</v>
      </c>
      <c r="K4080" s="0" t="n">
        <v>7893000018778</v>
      </c>
      <c r="L4080" s="0" t="s">
        <v>2791</v>
      </c>
      <c r="N4080" s="0" t="n">
        <v>38.26</v>
      </c>
      <c r="O4080" s="60" t="n">
        <v>535.26</v>
      </c>
    </row>
    <row r="4081" customFormat="false" ht="15" hidden="false" customHeight="false" outlineLevel="0" collapsed="false">
      <c r="A4081" s="0" t="n">
        <v>3</v>
      </c>
      <c r="B4081" s="59" t="n">
        <v>46249</v>
      </c>
      <c r="C4081" s="0" t="n">
        <v>11</v>
      </c>
      <c r="D4081" s="0" t="s">
        <v>2126</v>
      </c>
      <c r="E4081" s="0" t="n">
        <v>1659</v>
      </c>
      <c r="F4081" s="0" t="s">
        <v>253</v>
      </c>
      <c r="I4081" s="0" t="n">
        <v>890827</v>
      </c>
      <c r="J4081" s="0" t="n">
        <v>102350</v>
      </c>
      <c r="K4081" s="0" t="n">
        <v>7891030003016</v>
      </c>
      <c r="L4081" s="0" t="s">
        <v>3795</v>
      </c>
      <c r="N4081" s="0" t="n">
        <v>270</v>
      </c>
      <c r="O4081" s="60" t="n">
        <v>398.3</v>
      </c>
    </row>
    <row r="4082" customFormat="false" ht="15" hidden="false" customHeight="false" outlineLevel="0" collapsed="false">
      <c r="A4082" s="0" t="n">
        <v>3</v>
      </c>
      <c r="B4082" s="59" t="n">
        <v>46249</v>
      </c>
      <c r="C4082" s="0" t="n">
        <v>11</v>
      </c>
      <c r="D4082" s="0" t="s">
        <v>2126</v>
      </c>
      <c r="E4082" s="0" t="n">
        <v>1659</v>
      </c>
      <c r="F4082" s="0" t="s">
        <v>253</v>
      </c>
      <c r="I4082" s="0" t="n">
        <v>890827</v>
      </c>
      <c r="J4082" s="0" t="n">
        <v>102592</v>
      </c>
      <c r="K4082" s="0" t="n">
        <v>7891030003467</v>
      </c>
      <c r="L4082" s="0" t="s">
        <v>3035</v>
      </c>
      <c r="N4082" s="0" t="n">
        <v>162</v>
      </c>
      <c r="O4082" s="60" t="n">
        <v>451.86</v>
      </c>
    </row>
    <row r="4083" customFormat="false" ht="15" hidden="false" customHeight="false" outlineLevel="0" collapsed="false">
      <c r="A4083" s="0" t="n">
        <v>3</v>
      </c>
      <c r="B4083" s="59" t="n">
        <v>46249</v>
      </c>
      <c r="C4083" s="0" t="n">
        <v>11</v>
      </c>
      <c r="D4083" s="0" t="s">
        <v>2126</v>
      </c>
      <c r="E4083" s="0" t="n">
        <v>1659</v>
      </c>
      <c r="F4083" s="0" t="s">
        <v>253</v>
      </c>
      <c r="I4083" s="0" t="n">
        <v>890827</v>
      </c>
      <c r="J4083" s="0" t="n">
        <v>10644</v>
      </c>
      <c r="K4083" s="0" t="n">
        <v>7891030002033</v>
      </c>
      <c r="L4083" s="0" t="s">
        <v>3696</v>
      </c>
      <c r="N4083" s="0" t="n">
        <v>108</v>
      </c>
      <c r="O4083" s="60" t="n">
        <v>745.16</v>
      </c>
    </row>
    <row r="4084" customFormat="false" ht="15" hidden="false" customHeight="false" outlineLevel="0" collapsed="false">
      <c r="A4084" s="0" t="n">
        <v>3</v>
      </c>
      <c r="B4084" s="59" t="n">
        <v>46249</v>
      </c>
      <c r="C4084" s="0" t="n">
        <v>11</v>
      </c>
      <c r="D4084" s="0" t="s">
        <v>2126</v>
      </c>
      <c r="E4084" s="0" t="n">
        <v>1659</v>
      </c>
      <c r="F4084" s="0" t="s">
        <v>253</v>
      </c>
      <c r="I4084" s="0" t="n">
        <v>890827</v>
      </c>
      <c r="J4084" s="0" t="n">
        <v>21391</v>
      </c>
      <c r="K4084" s="0" t="n">
        <v>7898905153968</v>
      </c>
      <c r="L4084" s="0" t="s">
        <v>3796</v>
      </c>
      <c r="N4084" s="0" t="n">
        <v>24</v>
      </c>
      <c r="O4084" s="60" t="n">
        <v>37.57</v>
      </c>
    </row>
    <row r="4085" customFormat="false" ht="15" hidden="false" customHeight="false" outlineLevel="0" collapsed="false">
      <c r="A4085" s="0" t="n">
        <v>3</v>
      </c>
      <c r="B4085" s="59" t="n">
        <v>46249</v>
      </c>
      <c r="C4085" s="0" t="n">
        <v>11</v>
      </c>
      <c r="D4085" s="0" t="s">
        <v>2126</v>
      </c>
      <c r="E4085" s="0" t="n">
        <v>1659</v>
      </c>
      <c r="F4085" s="0" t="s">
        <v>253</v>
      </c>
      <c r="I4085" s="0" t="n">
        <v>890827</v>
      </c>
      <c r="J4085" s="0" t="n">
        <v>22957</v>
      </c>
      <c r="K4085" s="0" t="n">
        <v>7899659900266</v>
      </c>
      <c r="L4085" s="0" t="s">
        <v>3797</v>
      </c>
      <c r="N4085" s="0" t="n">
        <v>24</v>
      </c>
      <c r="O4085" s="60" t="n">
        <v>41.11</v>
      </c>
    </row>
    <row r="4086" customFormat="false" ht="15" hidden="false" customHeight="false" outlineLevel="0" collapsed="false">
      <c r="A4086" s="0" t="n">
        <v>3</v>
      </c>
      <c r="B4086" s="59" t="n">
        <v>46249</v>
      </c>
      <c r="C4086" s="0" t="n">
        <v>11</v>
      </c>
      <c r="D4086" s="0" t="s">
        <v>2126</v>
      </c>
      <c r="E4086" s="0" t="n">
        <v>1659</v>
      </c>
      <c r="F4086" s="0" t="s">
        <v>253</v>
      </c>
      <c r="I4086" s="0" t="n">
        <v>890827</v>
      </c>
      <c r="J4086" s="0" t="n">
        <v>27279</v>
      </c>
      <c r="K4086" s="0" t="n">
        <v>7898959504389</v>
      </c>
      <c r="L4086" s="0" t="s">
        <v>3798</v>
      </c>
      <c r="N4086" s="0" t="n">
        <v>24</v>
      </c>
      <c r="O4086" s="60" t="n">
        <v>82.02</v>
      </c>
    </row>
    <row r="4087" customFormat="false" ht="15" hidden="false" customHeight="false" outlineLevel="0" collapsed="false">
      <c r="A4087" s="0" t="n">
        <v>3</v>
      </c>
      <c r="B4087" s="59" t="n">
        <v>46249</v>
      </c>
      <c r="C4087" s="0" t="n">
        <v>11</v>
      </c>
      <c r="D4087" s="0" t="s">
        <v>2126</v>
      </c>
      <c r="E4087" s="0" t="n">
        <v>1659</v>
      </c>
      <c r="F4087" s="0" t="s">
        <v>253</v>
      </c>
      <c r="I4087" s="0" t="n">
        <v>890827</v>
      </c>
      <c r="J4087" s="0" t="n">
        <v>27534</v>
      </c>
      <c r="K4087" s="0" t="n">
        <v>7898959504068</v>
      </c>
      <c r="L4087" s="0" t="s">
        <v>3799</v>
      </c>
      <c r="N4087" s="0" t="n">
        <v>50</v>
      </c>
      <c r="O4087" s="60" t="n">
        <v>674.5</v>
      </c>
    </row>
    <row r="4088" customFormat="false" ht="15" hidden="false" customHeight="false" outlineLevel="0" collapsed="false">
      <c r="A4088" s="0" t="n">
        <v>3</v>
      </c>
      <c r="B4088" s="59" t="n">
        <v>46249</v>
      </c>
      <c r="C4088" s="0" t="n">
        <v>11</v>
      </c>
      <c r="D4088" s="0" t="s">
        <v>2126</v>
      </c>
      <c r="E4088" s="0" t="n">
        <v>1659</v>
      </c>
      <c r="F4088" s="0" t="s">
        <v>253</v>
      </c>
      <c r="I4088" s="0" t="n">
        <v>890827</v>
      </c>
      <c r="J4088" s="0" t="n">
        <v>29497</v>
      </c>
      <c r="K4088" s="0" t="n">
        <v>7891030300207</v>
      </c>
      <c r="L4088" s="0" t="s">
        <v>3696</v>
      </c>
      <c r="N4088" s="0" t="n">
        <v>135</v>
      </c>
      <c r="O4088" s="60" t="n">
        <v>574</v>
      </c>
    </row>
    <row r="4089" customFormat="false" ht="15" hidden="false" customHeight="false" outlineLevel="0" collapsed="false">
      <c r="A4089" s="0" t="n">
        <v>3</v>
      </c>
      <c r="B4089" s="59" t="n">
        <v>46249</v>
      </c>
      <c r="C4089" s="0" t="n">
        <v>11</v>
      </c>
      <c r="D4089" s="0" t="s">
        <v>2126</v>
      </c>
      <c r="E4089" s="0" t="n">
        <v>1659</v>
      </c>
      <c r="F4089" s="0" t="s">
        <v>253</v>
      </c>
      <c r="I4089" s="0" t="n">
        <v>890827</v>
      </c>
      <c r="J4089" s="0" t="n">
        <v>31312</v>
      </c>
      <c r="K4089" s="0" t="n">
        <v>7891030300306</v>
      </c>
      <c r="L4089" s="0" t="s">
        <v>3697</v>
      </c>
      <c r="N4089" s="0" t="n">
        <v>162</v>
      </c>
      <c r="O4089" s="60" t="n">
        <v>311.4</v>
      </c>
    </row>
    <row r="4090" customFormat="false" ht="15" hidden="false" customHeight="false" outlineLevel="0" collapsed="false">
      <c r="A4090" s="0" t="n">
        <v>3</v>
      </c>
      <c r="B4090" s="59" t="n">
        <v>46249</v>
      </c>
      <c r="C4090" s="0" t="n">
        <v>11</v>
      </c>
      <c r="D4090" s="0" t="s">
        <v>2126</v>
      </c>
      <c r="E4090" s="0" t="n">
        <v>1659</v>
      </c>
      <c r="F4090" s="0" t="s">
        <v>253</v>
      </c>
      <c r="I4090" s="0" t="n">
        <v>890827</v>
      </c>
      <c r="J4090" s="0" t="n">
        <v>32288</v>
      </c>
      <c r="K4090" s="0" t="n">
        <v>7898959504372</v>
      </c>
      <c r="L4090" s="0" t="s">
        <v>3800</v>
      </c>
      <c r="N4090" s="0" t="n">
        <v>12</v>
      </c>
      <c r="O4090" s="60" t="n">
        <v>43.78</v>
      </c>
    </row>
    <row r="4091" customFormat="false" ht="15" hidden="false" customHeight="false" outlineLevel="0" collapsed="false">
      <c r="A4091" s="0" t="n">
        <v>3</v>
      </c>
      <c r="B4091" s="59" t="n">
        <v>46249</v>
      </c>
      <c r="C4091" s="0" t="n">
        <v>11</v>
      </c>
      <c r="D4091" s="0" t="s">
        <v>2126</v>
      </c>
      <c r="E4091" s="0" t="n">
        <v>1659</v>
      </c>
      <c r="F4091" s="0" t="s">
        <v>253</v>
      </c>
      <c r="I4091" s="0" t="n">
        <v>890827</v>
      </c>
      <c r="J4091" s="0" t="n">
        <v>34806</v>
      </c>
      <c r="K4091" s="0" t="n">
        <v>7899659900785</v>
      </c>
      <c r="L4091" s="0" t="s">
        <v>3801</v>
      </c>
      <c r="N4091" s="0" t="n">
        <v>24</v>
      </c>
      <c r="O4091" s="60" t="n">
        <v>79.36</v>
      </c>
    </row>
    <row r="4092" customFormat="false" ht="15" hidden="false" customHeight="false" outlineLevel="0" collapsed="false">
      <c r="A4092" s="0" t="n">
        <v>3</v>
      </c>
      <c r="B4092" s="59" t="n">
        <v>46249</v>
      </c>
      <c r="C4092" s="0" t="n">
        <v>11</v>
      </c>
      <c r="D4092" s="0" t="s">
        <v>2126</v>
      </c>
      <c r="E4092" s="0" t="n">
        <v>1659</v>
      </c>
      <c r="F4092" s="0" t="s">
        <v>253</v>
      </c>
      <c r="I4092" s="0" t="n">
        <v>890827</v>
      </c>
      <c r="J4092" s="0" t="n">
        <v>45118</v>
      </c>
      <c r="K4092" s="0" t="n">
        <v>7899659900501</v>
      </c>
      <c r="L4092" s="0" t="s">
        <v>3802</v>
      </c>
      <c r="N4092" s="0" t="n">
        <v>12</v>
      </c>
      <c r="O4092" s="60" t="n">
        <v>59.95</v>
      </c>
    </row>
    <row r="4093" customFormat="false" ht="15" hidden="false" customHeight="false" outlineLevel="0" collapsed="false">
      <c r="A4093" s="0" t="n">
        <v>3</v>
      </c>
      <c r="B4093" s="59" t="n">
        <v>46249</v>
      </c>
      <c r="C4093" s="0" t="n">
        <v>11</v>
      </c>
      <c r="D4093" s="0" t="s">
        <v>2126</v>
      </c>
      <c r="E4093" s="0" t="n">
        <v>1659</v>
      </c>
      <c r="F4093" s="0" t="s">
        <v>253</v>
      </c>
      <c r="I4093" s="0" t="n">
        <v>890827</v>
      </c>
      <c r="J4093" s="0" t="n">
        <v>46882</v>
      </c>
      <c r="K4093" s="0" t="n">
        <v>7899659900099</v>
      </c>
      <c r="L4093" s="0" t="s">
        <v>3803</v>
      </c>
      <c r="N4093" s="0" t="n">
        <v>48</v>
      </c>
      <c r="O4093" s="60" t="n">
        <v>61.16</v>
      </c>
    </row>
    <row r="4094" customFormat="false" ht="15" hidden="false" customHeight="false" outlineLevel="0" collapsed="false">
      <c r="A4094" s="0" t="n">
        <v>3</v>
      </c>
      <c r="B4094" s="59" t="n">
        <v>46249</v>
      </c>
      <c r="C4094" s="0" t="n">
        <v>11</v>
      </c>
      <c r="D4094" s="0" t="s">
        <v>2126</v>
      </c>
      <c r="E4094" s="0" t="n">
        <v>1659</v>
      </c>
      <c r="F4094" s="0" t="s">
        <v>253</v>
      </c>
      <c r="I4094" s="0" t="n">
        <v>890827</v>
      </c>
      <c r="J4094" s="0" t="n">
        <v>50425</v>
      </c>
      <c r="K4094" s="0" t="n">
        <v>7899659901041</v>
      </c>
      <c r="L4094" s="0" t="s">
        <v>3804</v>
      </c>
      <c r="N4094" s="0" t="n">
        <v>30</v>
      </c>
      <c r="O4094" s="60" t="n">
        <v>65.53</v>
      </c>
    </row>
    <row r="4095" customFormat="false" ht="15" hidden="false" customHeight="false" outlineLevel="0" collapsed="false">
      <c r="A4095" s="0" t="n">
        <v>3</v>
      </c>
      <c r="B4095" s="59" t="n">
        <v>46249</v>
      </c>
      <c r="C4095" s="0" t="n">
        <v>11</v>
      </c>
      <c r="D4095" s="0" t="s">
        <v>2126</v>
      </c>
      <c r="E4095" s="0" t="n">
        <v>1659</v>
      </c>
      <c r="F4095" s="0" t="s">
        <v>253</v>
      </c>
      <c r="I4095" s="0" t="n">
        <v>890827</v>
      </c>
      <c r="J4095" s="0" t="n">
        <v>50426</v>
      </c>
      <c r="K4095" s="0" t="n">
        <v>7899659901065</v>
      </c>
      <c r="L4095" s="0" t="s">
        <v>3805</v>
      </c>
      <c r="N4095" s="0" t="n">
        <v>30</v>
      </c>
      <c r="O4095" s="60" t="n">
        <v>61.01</v>
      </c>
    </row>
    <row r="4096" customFormat="false" ht="15" hidden="false" customHeight="false" outlineLevel="0" collapsed="false">
      <c r="A4096" s="0" t="n">
        <v>3</v>
      </c>
      <c r="B4096" s="59" t="n">
        <v>46249</v>
      </c>
      <c r="C4096" s="0" t="n">
        <v>11</v>
      </c>
      <c r="D4096" s="0" t="s">
        <v>2126</v>
      </c>
      <c r="E4096" s="0" t="n">
        <v>1659</v>
      </c>
      <c r="F4096" s="0" t="s">
        <v>253</v>
      </c>
      <c r="I4096" s="0" t="n">
        <v>890827</v>
      </c>
      <c r="J4096" s="0" t="n">
        <v>52717</v>
      </c>
      <c r="K4096" s="0" t="n">
        <v>7899659901096</v>
      </c>
      <c r="L4096" s="0" t="s">
        <v>3806</v>
      </c>
      <c r="N4096" s="0" t="n">
        <v>30</v>
      </c>
      <c r="O4096" s="60" t="n">
        <v>49.18</v>
      </c>
    </row>
    <row r="4097" customFormat="false" ht="15" hidden="false" customHeight="false" outlineLevel="0" collapsed="false">
      <c r="A4097" s="0" t="n">
        <v>3</v>
      </c>
      <c r="B4097" s="59" t="n">
        <v>46249</v>
      </c>
      <c r="C4097" s="0" t="n">
        <v>11</v>
      </c>
      <c r="D4097" s="0" t="s">
        <v>2126</v>
      </c>
      <c r="E4097" s="0" t="n">
        <v>1659</v>
      </c>
      <c r="F4097" s="0" t="s">
        <v>253</v>
      </c>
      <c r="I4097" s="0" t="n">
        <v>890827</v>
      </c>
      <c r="J4097" s="0" t="n">
        <v>61012</v>
      </c>
      <c r="K4097" s="0" t="n">
        <v>7898617581271</v>
      </c>
      <c r="L4097" s="0" t="s">
        <v>3807</v>
      </c>
      <c r="N4097" s="0" t="n">
        <v>12</v>
      </c>
      <c r="O4097" s="60" t="n">
        <v>61.34</v>
      </c>
    </row>
    <row r="4098" customFormat="false" ht="15" hidden="false" customHeight="false" outlineLevel="0" collapsed="false">
      <c r="A4098" s="0" t="n">
        <v>3</v>
      </c>
      <c r="B4098" s="59" t="n">
        <v>46249</v>
      </c>
      <c r="C4098" s="0" t="n">
        <v>11</v>
      </c>
      <c r="D4098" s="0" t="s">
        <v>2126</v>
      </c>
      <c r="E4098" s="0" t="n">
        <v>1621</v>
      </c>
      <c r="F4098" s="0" t="s">
        <v>308</v>
      </c>
      <c r="I4098" s="0" t="n">
        <v>957023</v>
      </c>
      <c r="J4098" s="0" t="n">
        <v>20242</v>
      </c>
      <c r="K4098" s="0" t="n">
        <v>7891149104932</v>
      </c>
      <c r="L4098" s="0" t="s">
        <v>3808</v>
      </c>
      <c r="N4098" s="0" t="n">
        <v>12</v>
      </c>
      <c r="O4098" s="60" t="n">
        <v>20.51</v>
      </c>
    </row>
    <row r="4099" customFormat="false" ht="15" hidden="false" customHeight="false" outlineLevel="0" collapsed="false">
      <c r="A4099" s="0" t="n">
        <v>3</v>
      </c>
      <c r="B4099" s="59" t="n">
        <v>46249</v>
      </c>
      <c r="C4099" s="0" t="n">
        <v>11</v>
      </c>
      <c r="D4099" s="0" t="s">
        <v>2126</v>
      </c>
      <c r="E4099" s="0" t="n">
        <v>1621</v>
      </c>
      <c r="F4099" s="0" t="s">
        <v>308</v>
      </c>
      <c r="I4099" s="0" t="n">
        <v>957023</v>
      </c>
      <c r="J4099" s="0" t="n">
        <v>102383</v>
      </c>
      <c r="K4099" s="0" t="n">
        <v>9002490225100</v>
      </c>
      <c r="L4099" s="0" t="s">
        <v>3809</v>
      </c>
      <c r="N4099" s="0" t="n">
        <v>24</v>
      </c>
      <c r="O4099" s="60" t="n">
        <v>192.18</v>
      </c>
    </row>
    <row r="4100" customFormat="false" ht="15" hidden="false" customHeight="false" outlineLevel="0" collapsed="false">
      <c r="A4100" s="0" t="n">
        <v>3</v>
      </c>
      <c r="B4100" s="59" t="n">
        <v>46249</v>
      </c>
      <c r="C4100" s="0" t="n">
        <v>11</v>
      </c>
      <c r="D4100" s="0" t="s">
        <v>2126</v>
      </c>
      <c r="E4100" s="0" t="n">
        <v>1621</v>
      </c>
      <c r="F4100" s="0" t="s">
        <v>308</v>
      </c>
      <c r="I4100" s="0" t="n">
        <v>957023</v>
      </c>
      <c r="J4100" s="0" t="n">
        <v>103128</v>
      </c>
      <c r="K4100" s="0" t="n">
        <v>7891991000833</v>
      </c>
      <c r="L4100" s="0" t="s">
        <v>3810</v>
      </c>
      <c r="N4100" s="0" t="n">
        <v>12</v>
      </c>
      <c r="O4100" s="60" t="n">
        <v>33.86</v>
      </c>
    </row>
    <row r="4101" customFormat="false" ht="15" hidden="false" customHeight="false" outlineLevel="0" collapsed="false">
      <c r="A4101" s="0" t="n">
        <v>3</v>
      </c>
      <c r="B4101" s="59" t="n">
        <v>46249</v>
      </c>
      <c r="C4101" s="0" t="n">
        <v>11</v>
      </c>
      <c r="D4101" s="0" t="s">
        <v>2126</v>
      </c>
      <c r="E4101" s="0" t="n">
        <v>1621</v>
      </c>
      <c r="F4101" s="0" t="s">
        <v>308</v>
      </c>
      <c r="I4101" s="0" t="n">
        <v>957023</v>
      </c>
      <c r="J4101" s="0" t="n">
        <v>103129</v>
      </c>
      <c r="K4101" s="0" t="n">
        <v>7891991000840</v>
      </c>
      <c r="L4101" s="0" t="s">
        <v>2343</v>
      </c>
      <c r="N4101" s="0" t="n">
        <v>12</v>
      </c>
      <c r="O4101" s="60" t="n">
        <v>41.2</v>
      </c>
    </row>
    <row r="4102" customFormat="false" ht="15" hidden="false" customHeight="false" outlineLevel="0" collapsed="false">
      <c r="A4102" s="0" t="n">
        <v>3</v>
      </c>
      <c r="B4102" s="59" t="n">
        <v>46249</v>
      </c>
      <c r="C4102" s="0" t="n">
        <v>11</v>
      </c>
      <c r="D4102" s="0" t="s">
        <v>2126</v>
      </c>
      <c r="E4102" s="0" t="n">
        <v>1621</v>
      </c>
      <c r="F4102" s="0" t="s">
        <v>308</v>
      </c>
      <c r="I4102" s="0" t="n">
        <v>957023</v>
      </c>
      <c r="J4102" s="0" t="n">
        <v>103130</v>
      </c>
      <c r="K4102" s="0" t="n">
        <v>7891149440801</v>
      </c>
      <c r="L4102" s="0" t="s">
        <v>2344</v>
      </c>
      <c r="N4102" s="0" t="n">
        <v>18</v>
      </c>
      <c r="O4102" s="60" t="n">
        <v>100.47</v>
      </c>
    </row>
    <row r="4103" customFormat="false" ht="15" hidden="false" customHeight="false" outlineLevel="0" collapsed="false">
      <c r="A4103" s="0" t="n">
        <v>3</v>
      </c>
      <c r="B4103" s="59" t="n">
        <v>46249</v>
      </c>
      <c r="C4103" s="0" t="n">
        <v>11</v>
      </c>
      <c r="D4103" s="0" t="s">
        <v>2126</v>
      </c>
      <c r="E4103" s="0" t="n">
        <v>1621</v>
      </c>
      <c r="F4103" s="0" t="s">
        <v>308</v>
      </c>
      <c r="I4103" s="0" t="n">
        <v>957023</v>
      </c>
      <c r="J4103" s="0" t="n">
        <v>103630</v>
      </c>
      <c r="K4103" s="0" t="n">
        <v>7891991004107</v>
      </c>
      <c r="L4103" s="0" t="s">
        <v>2346</v>
      </c>
      <c r="N4103" s="0" t="n">
        <v>150</v>
      </c>
      <c r="O4103" s="60" t="n">
        <v>687</v>
      </c>
    </row>
    <row r="4104" customFormat="false" ht="15" hidden="false" customHeight="false" outlineLevel="0" collapsed="false">
      <c r="A4104" s="0" t="n">
        <v>3</v>
      </c>
      <c r="B4104" s="59" t="n">
        <v>46249</v>
      </c>
      <c r="C4104" s="0" t="n">
        <v>11</v>
      </c>
      <c r="D4104" s="0" t="s">
        <v>2126</v>
      </c>
      <c r="E4104" s="0" t="n">
        <v>1621</v>
      </c>
      <c r="F4104" s="0" t="s">
        <v>308</v>
      </c>
      <c r="I4104" s="0" t="n">
        <v>957023</v>
      </c>
      <c r="J4104" s="0" t="n">
        <v>103792</v>
      </c>
      <c r="K4104" s="0" t="n">
        <v>7891149010509</v>
      </c>
      <c r="L4104" s="0" t="s">
        <v>3335</v>
      </c>
      <c r="N4104" s="0" t="n">
        <v>120</v>
      </c>
      <c r="O4104" s="60" t="n">
        <v>389.569954</v>
      </c>
    </row>
    <row r="4105" customFormat="false" ht="15" hidden="false" customHeight="false" outlineLevel="0" collapsed="false">
      <c r="A4105" s="0" t="n">
        <v>3</v>
      </c>
      <c r="B4105" s="59" t="n">
        <v>46249</v>
      </c>
      <c r="C4105" s="0" t="n">
        <v>11</v>
      </c>
      <c r="D4105" s="0" t="s">
        <v>2126</v>
      </c>
      <c r="E4105" s="0" t="n">
        <v>1621</v>
      </c>
      <c r="F4105" s="0" t="s">
        <v>308</v>
      </c>
      <c r="I4105" s="0" t="n">
        <v>957023</v>
      </c>
      <c r="J4105" s="0" t="n">
        <v>103943</v>
      </c>
      <c r="K4105" s="0" t="n">
        <v>7891149200504</v>
      </c>
      <c r="L4105" s="0" t="s">
        <v>3811</v>
      </c>
      <c r="N4105" s="0" t="n">
        <v>12</v>
      </c>
      <c r="O4105" s="60" t="n">
        <v>35.05989</v>
      </c>
    </row>
    <row r="4106" customFormat="false" ht="15" hidden="false" customHeight="false" outlineLevel="0" collapsed="false">
      <c r="A4106" s="0" t="n">
        <v>3</v>
      </c>
      <c r="B4106" s="59" t="n">
        <v>46249</v>
      </c>
      <c r="C4106" s="0" t="n">
        <v>11</v>
      </c>
      <c r="D4106" s="0" t="s">
        <v>2126</v>
      </c>
      <c r="E4106" s="0" t="n">
        <v>1621</v>
      </c>
      <c r="F4106" s="0" t="s">
        <v>308</v>
      </c>
      <c r="I4106" s="0" t="n">
        <v>957023</v>
      </c>
      <c r="J4106" s="0" t="n">
        <v>104505</v>
      </c>
      <c r="K4106" s="0" t="n">
        <v>7892840800079</v>
      </c>
      <c r="L4106" s="0" t="s">
        <v>2348</v>
      </c>
      <c r="N4106" s="0" t="n">
        <v>12</v>
      </c>
      <c r="O4106" s="60" t="n">
        <v>34.91</v>
      </c>
    </row>
    <row r="4107" customFormat="false" ht="15" hidden="false" customHeight="false" outlineLevel="0" collapsed="false">
      <c r="A4107" s="0" t="n">
        <v>3</v>
      </c>
      <c r="B4107" s="59" t="n">
        <v>46249</v>
      </c>
      <c r="C4107" s="0" t="n">
        <v>11</v>
      </c>
      <c r="D4107" s="0" t="s">
        <v>2126</v>
      </c>
      <c r="E4107" s="0" t="n">
        <v>1621</v>
      </c>
      <c r="F4107" s="0" t="s">
        <v>308</v>
      </c>
      <c r="I4107" s="0" t="n">
        <v>957023</v>
      </c>
      <c r="J4107" s="0" t="n">
        <v>108599</v>
      </c>
      <c r="K4107" s="0" t="n">
        <v>7892840808051</v>
      </c>
      <c r="L4107" s="0" t="s">
        <v>2349</v>
      </c>
      <c r="N4107" s="0" t="n">
        <v>6</v>
      </c>
      <c r="O4107" s="60" t="n">
        <v>31.89</v>
      </c>
    </row>
    <row r="4108" customFormat="false" ht="15" hidden="false" customHeight="false" outlineLevel="0" collapsed="false">
      <c r="A4108" s="0" t="n">
        <v>3</v>
      </c>
      <c r="B4108" s="59" t="n">
        <v>46249</v>
      </c>
      <c r="C4108" s="0" t="n">
        <v>11</v>
      </c>
      <c r="D4108" s="0" t="s">
        <v>2126</v>
      </c>
      <c r="E4108" s="0" t="n">
        <v>1621</v>
      </c>
      <c r="F4108" s="0" t="s">
        <v>308</v>
      </c>
      <c r="I4108" s="0" t="n">
        <v>957023</v>
      </c>
      <c r="J4108" s="0" t="n">
        <v>13504</v>
      </c>
      <c r="K4108" s="0" t="n">
        <v>7892840808020</v>
      </c>
      <c r="L4108" s="0" t="s">
        <v>2352</v>
      </c>
      <c r="N4108" s="0" t="n">
        <v>6</v>
      </c>
      <c r="O4108" s="60" t="n">
        <v>31.89</v>
      </c>
    </row>
    <row r="4109" customFormat="false" ht="15" hidden="false" customHeight="false" outlineLevel="0" collapsed="false">
      <c r="A4109" s="0" t="n">
        <v>3</v>
      </c>
      <c r="B4109" s="59" t="n">
        <v>46249</v>
      </c>
      <c r="C4109" s="0" t="n">
        <v>11</v>
      </c>
      <c r="D4109" s="0" t="s">
        <v>2126</v>
      </c>
      <c r="E4109" s="0" t="n">
        <v>1621</v>
      </c>
      <c r="F4109" s="0" t="s">
        <v>308</v>
      </c>
      <c r="I4109" s="0" t="n">
        <v>957023</v>
      </c>
      <c r="J4109" s="0" t="n">
        <v>14352</v>
      </c>
      <c r="K4109" s="0" t="n">
        <v>7891149102853</v>
      </c>
      <c r="L4109" s="0" t="s">
        <v>3812</v>
      </c>
      <c r="N4109" s="0" t="n">
        <v>12</v>
      </c>
      <c r="O4109" s="60" t="n">
        <v>82.129955</v>
      </c>
    </row>
    <row r="4110" customFormat="false" ht="15" hidden="false" customHeight="false" outlineLevel="0" collapsed="false">
      <c r="A4110" s="0" t="n">
        <v>3</v>
      </c>
      <c r="B4110" s="59" t="n">
        <v>46249</v>
      </c>
      <c r="C4110" s="0" t="n">
        <v>11</v>
      </c>
      <c r="D4110" s="0" t="s">
        <v>2126</v>
      </c>
      <c r="E4110" s="0" t="n">
        <v>1621</v>
      </c>
      <c r="F4110" s="0" t="s">
        <v>308</v>
      </c>
      <c r="I4110" s="0" t="n">
        <v>957023</v>
      </c>
      <c r="J4110" s="0" t="n">
        <v>14352</v>
      </c>
      <c r="K4110" s="0" t="n">
        <v>7891149102853</v>
      </c>
      <c r="L4110" s="0" t="s">
        <v>3812</v>
      </c>
      <c r="N4110" s="0" t="n">
        <v>12</v>
      </c>
      <c r="O4110" s="60" t="n">
        <v>78.030142</v>
      </c>
    </row>
    <row r="4111" customFormat="false" ht="15" hidden="false" customHeight="false" outlineLevel="0" collapsed="false">
      <c r="A4111" s="0" t="n">
        <v>3</v>
      </c>
      <c r="B4111" s="59" t="n">
        <v>46249</v>
      </c>
      <c r="C4111" s="0" t="n">
        <v>11</v>
      </c>
      <c r="D4111" s="0" t="s">
        <v>2126</v>
      </c>
      <c r="E4111" s="0" t="n">
        <v>1621</v>
      </c>
      <c r="F4111" s="0" t="s">
        <v>308</v>
      </c>
      <c r="I4111" s="0" t="n">
        <v>957023</v>
      </c>
      <c r="J4111" s="0" t="n">
        <v>14353</v>
      </c>
      <c r="K4111" s="0" t="n">
        <v>7891149103041</v>
      </c>
      <c r="L4111" s="0" t="s">
        <v>2353</v>
      </c>
      <c r="N4111" s="0" t="n">
        <v>12</v>
      </c>
      <c r="O4111" s="60" t="n">
        <v>77.779836</v>
      </c>
    </row>
    <row r="4112" customFormat="false" ht="15" hidden="false" customHeight="false" outlineLevel="0" collapsed="false">
      <c r="A4112" s="0" t="n">
        <v>3</v>
      </c>
      <c r="B4112" s="59" t="n">
        <v>46249</v>
      </c>
      <c r="C4112" s="0" t="n">
        <v>11</v>
      </c>
      <c r="D4112" s="0" t="s">
        <v>2126</v>
      </c>
      <c r="E4112" s="0" t="n">
        <v>1621</v>
      </c>
      <c r="F4112" s="0" t="s">
        <v>308</v>
      </c>
      <c r="I4112" s="0" t="n">
        <v>957023</v>
      </c>
      <c r="J4112" s="0" t="n">
        <v>16185</v>
      </c>
      <c r="K4112" s="0" t="n">
        <v>7891149103102</v>
      </c>
      <c r="L4112" s="0" t="s">
        <v>2354</v>
      </c>
      <c r="N4112" s="0" t="n">
        <v>30</v>
      </c>
      <c r="O4112" s="60" t="n">
        <v>84.529891</v>
      </c>
    </row>
    <row r="4113" customFormat="false" ht="15" hidden="false" customHeight="false" outlineLevel="0" collapsed="false">
      <c r="A4113" s="0" t="n">
        <v>3</v>
      </c>
      <c r="B4113" s="59" t="n">
        <v>46249</v>
      </c>
      <c r="C4113" s="0" t="n">
        <v>11</v>
      </c>
      <c r="D4113" s="0" t="s">
        <v>2126</v>
      </c>
      <c r="E4113" s="0" t="n">
        <v>1621</v>
      </c>
      <c r="F4113" s="0" t="s">
        <v>308</v>
      </c>
      <c r="I4113" s="0" t="n">
        <v>957023</v>
      </c>
      <c r="J4113" s="0" t="n">
        <v>16653</v>
      </c>
      <c r="K4113" s="0" t="n">
        <v>7891149103065</v>
      </c>
      <c r="L4113" s="0" t="s">
        <v>2355</v>
      </c>
      <c r="N4113" s="0" t="n">
        <v>8</v>
      </c>
      <c r="O4113" s="60" t="n">
        <v>29.420121</v>
      </c>
    </row>
    <row r="4114" customFormat="false" ht="15" hidden="false" customHeight="false" outlineLevel="0" collapsed="false">
      <c r="A4114" s="0" t="n">
        <v>3</v>
      </c>
      <c r="B4114" s="59" t="n">
        <v>46249</v>
      </c>
      <c r="C4114" s="0" t="n">
        <v>11</v>
      </c>
      <c r="D4114" s="0" t="s">
        <v>2126</v>
      </c>
      <c r="E4114" s="0" t="n">
        <v>1621</v>
      </c>
      <c r="F4114" s="0" t="s">
        <v>308</v>
      </c>
      <c r="I4114" s="0" t="n">
        <v>957023</v>
      </c>
      <c r="J4114" s="0" t="n">
        <v>16778</v>
      </c>
      <c r="K4114" s="0" t="n">
        <v>7895800304228</v>
      </c>
      <c r="L4114" s="0" t="s">
        <v>3143</v>
      </c>
      <c r="N4114" s="0" t="n">
        <v>21</v>
      </c>
      <c r="O4114" s="60" t="n">
        <v>46.9</v>
      </c>
    </row>
    <row r="4115" customFormat="false" ht="15" hidden="false" customHeight="false" outlineLevel="0" collapsed="false">
      <c r="A4115" s="0" t="n">
        <v>3</v>
      </c>
      <c r="B4115" s="59" t="n">
        <v>46249</v>
      </c>
      <c r="C4115" s="0" t="n">
        <v>11</v>
      </c>
      <c r="D4115" s="0" t="s">
        <v>2126</v>
      </c>
      <c r="E4115" s="0" t="n">
        <v>1621</v>
      </c>
      <c r="F4115" s="0" t="s">
        <v>308</v>
      </c>
      <c r="I4115" s="0" t="n">
        <v>957023</v>
      </c>
      <c r="J4115" s="0" t="n">
        <v>17277</v>
      </c>
      <c r="K4115" s="0" t="n">
        <v>7892840808174</v>
      </c>
      <c r="L4115" s="0" t="s">
        <v>2356</v>
      </c>
      <c r="N4115" s="0" t="n">
        <v>6</v>
      </c>
      <c r="O4115" s="60" t="n">
        <v>31.89</v>
      </c>
    </row>
    <row r="4116" customFormat="false" ht="15" hidden="false" customHeight="false" outlineLevel="0" collapsed="false">
      <c r="A4116" s="0" t="n">
        <v>3</v>
      </c>
      <c r="B4116" s="59" t="n">
        <v>46249</v>
      </c>
      <c r="C4116" s="0" t="n">
        <v>11</v>
      </c>
      <c r="D4116" s="0" t="s">
        <v>2126</v>
      </c>
      <c r="E4116" s="0" t="n">
        <v>1621</v>
      </c>
      <c r="F4116" s="0" t="s">
        <v>308</v>
      </c>
      <c r="I4116" s="0" t="n">
        <v>957023</v>
      </c>
      <c r="J4116" s="0" t="n">
        <v>17473</v>
      </c>
      <c r="K4116" s="0" t="n">
        <v>7891149103270</v>
      </c>
      <c r="L4116" s="0" t="s">
        <v>2357</v>
      </c>
      <c r="N4116" s="0" t="n">
        <v>15</v>
      </c>
      <c r="O4116" s="60" t="n">
        <v>40.990082</v>
      </c>
    </row>
    <row r="4117" customFormat="false" ht="15" hidden="false" customHeight="false" outlineLevel="0" collapsed="false">
      <c r="A4117" s="0" t="n">
        <v>3</v>
      </c>
      <c r="B4117" s="59" t="n">
        <v>46249</v>
      </c>
      <c r="C4117" s="0" t="n">
        <v>11</v>
      </c>
      <c r="D4117" s="0" t="s">
        <v>2126</v>
      </c>
      <c r="E4117" s="0" t="n">
        <v>1621</v>
      </c>
      <c r="F4117" s="0" t="s">
        <v>308</v>
      </c>
      <c r="I4117" s="0" t="n">
        <v>957023</v>
      </c>
      <c r="J4117" s="0" t="n">
        <v>20610</v>
      </c>
      <c r="K4117" s="0" t="n">
        <v>7891149105564</v>
      </c>
      <c r="L4117" s="0" t="s">
        <v>2358</v>
      </c>
      <c r="N4117" s="0" t="n">
        <v>16</v>
      </c>
      <c r="O4117" s="60" t="n">
        <v>91.940042</v>
      </c>
    </row>
    <row r="4118" customFormat="false" ht="15" hidden="false" customHeight="false" outlineLevel="0" collapsed="false">
      <c r="A4118" s="0" t="n">
        <v>3</v>
      </c>
      <c r="B4118" s="59" t="n">
        <v>46249</v>
      </c>
      <c r="C4118" s="0" t="n">
        <v>11</v>
      </c>
      <c r="D4118" s="0" t="s">
        <v>2126</v>
      </c>
      <c r="E4118" s="0" t="n">
        <v>1621</v>
      </c>
      <c r="F4118" s="0" t="s">
        <v>308</v>
      </c>
      <c r="I4118" s="0" t="n">
        <v>957023</v>
      </c>
      <c r="J4118" s="0" t="n">
        <v>26171</v>
      </c>
      <c r="K4118" s="0" t="n">
        <v>7891149000005</v>
      </c>
      <c r="L4118" s="0" t="s">
        <v>2360</v>
      </c>
      <c r="N4118" s="0" t="n">
        <v>108</v>
      </c>
      <c r="O4118" s="60" t="n">
        <v>480.129864</v>
      </c>
    </row>
    <row r="4119" customFormat="false" ht="15" hidden="false" customHeight="false" outlineLevel="0" collapsed="false">
      <c r="A4119" s="0" t="n">
        <v>3</v>
      </c>
      <c r="B4119" s="59" t="n">
        <v>46249</v>
      </c>
      <c r="C4119" s="0" t="n">
        <v>11</v>
      </c>
      <c r="D4119" s="0" t="s">
        <v>2126</v>
      </c>
      <c r="E4119" s="0" t="n">
        <v>1621</v>
      </c>
      <c r="F4119" s="0" t="s">
        <v>308</v>
      </c>
      <c r="I4119" s="0" t="n">
        <v>957023</v>
      </c>
      <c r="J4119" s="0" t="n">
        <v>26171</v>
      </c>
      <c r="K4119" s="0" t="n">
        <v>7891149000005</v>
      </c>
      <c r="L4119" s="0" t="s">
        <v>2360</v>
      </c>
      <c r="N4119" s="0" t="n">
        <v>12</v>
      </c>
      <c r="O4119" s="60" t="n">
        <v>50.689963</v>
      </c>
    </row>
    <row r="4120" customFormat="false" ht="15" hidden="false" customHeight="false" outlineLevel="0" collapsed="false">
      <c r="A4120" s="0" t="n">
        <v>3</v>
      </c>
      <c r="B4120" s="59" t="n">
        <v>46249</v>
      </c>
      <c r="C4120" s="0" t="n">
        <v>11</v>
      </c>
      <c r="D4120" s="0" t="s">
        <v>2126</v>
      </c>
      <c r="E4120" s="0" t="n">
        <v>1621</v>
      </c>
      <c r="F4120" s="0" t="s">
        <v>308</v>
      </c>
      <c r="I4120" s="0" t="n">
        <v>957023</v>
      </c>
      <c r="J4120" s="0" t="n">
        <v>26391</v>
      </c>
      <c r="K4120" s="0" t="n">
        <v>7891991010061</v>
      </c>
      <c r="L4120" s="0" t="s">
        <v>2361</v>
      </c>
      <c r="N4120" s="0" t="n">
        <v>15</v>
      </c>
      <c r="O4120" s="60" t="n">
        <v>42.269899</v>
      </c>
    </row>
    <row r="4121" customFormat="false" ht="15" hidden="false" customHeight="false" outlineLevel="0" collapsed="false">
      <c r="A4121" s="0" t="n">
        <v>3</v>
      </c>
      <c r="B4121" s="59" t="n">
        <v>46249</v>
      </c>
      <c r="C4121" s="0" t="n">
        <v>11</v>
      </c>
      <c r="D4121" s="0" t="s">
        <v>2126</v>
      </c>
      <c r="E4121" s="0" t="n">
        <v>1621</v>
      </c>
      <c r="F4121" s="0" t="s">
        <v>308</v>
      </c>
      <c r="I4121" s="0" t="n">
        <v>957023</v>
      </c>
      <c r="J4121" s="0" t="n">
        <v>28304</v>
      </c>
      <c r="K4121" s="0" t="n">
        <v>7891991014762</v>
      </c>
      <c r="L4121" s="0" t="s">
        <v>2362</v>
      </c>
      <c r="N4121" s="0" t="n">
        <v>120</v>
      </c>
      <c r="O4121" s="60" t="n">
        <v>685.399852</v>
      </c>
    </row>
    <row r="4122" customFormat="false" ht="15" hidden="false" customHeight="false" outlineLevel="0" collapsed="false">
      <c r="A4122" s="0" t="n">
        <v>3</v>
      </c>
      <c r="B4122" s="59" t="n">
        <v>46249</v>
      </c>
      <c r="C4122" s="0" t="n">
        <v>11</v>
      </c>
      <c r="D4122" s="0" t="s">
        <v>2126</v>
      </c>
      <c r="E4122" s="0" t="n">
        <v>1621</v>
      </c>
      <c r="F4122" s="0" t="s">
        <v>308</v>
      </c>
      <c r="I4122" s="0" t="n">
        <v>957023</v>
      </c>
      <c r="J4122" s="0" t="n">
        <v>29152</v>
      </c>
      <c r="K4122" s="0" t="n">
        <v>78938847</v>
      </c>
      <c r="L4122" s="0" t="s">
        <v>3160</v>
      </c>
      <c r="N4122" s="0" t="n">
        <v>42</v>
      </c>
      <c r="O4122" s="60" t="n">
        <v>59.8</v>
      </c>
    </row>
    <row r="4123" customFormat="false" ht="15" hidden="false" customHeight="false" outlineLevel="0" collapsed="false">
      <c r="A4123" s="0" t="n">
        <v>3</v>
      </c>
      <c r="B4123" s="59" t="n">
        <v>46249</v>
      </c>
      <c r="C4123" s="0" t="n">
        <v>11</v>
      </c>
      <c r="D4123" s="0" t="s">
        <v>2126</v>
      </c>
      <c r="E4123" s="0" t="n">
        <v>1621</v>
      </c>
      <c r="F4123" s="0" t="s">
        <v>308</v>
      </c>
      <c r="I4123" s="0" t="n">
        <v>957023</v>
      </c>
      <c r="J4123" s="0" t="n">
        <v>29153</v>
      </c>
      <c r="K4123" s="0" t="n">
        <v>78938793</v>
      </c>
      <c r="L4123" s="0" t="s">
        <v>3813</v>
      </c>
      <c r="N4123" s="0" t="n">
        <v>42</v>
      </c>
      <c r="O4123" s="60" t="n">
        <v>59.8</v>
      </c>
    </row>
    <row r="4124" customFormat="false" ht="15" hidden="false" customHeight="false" outlineLevel="0" collapsed="false">
      <c r="A4124" s="0" t="n">
        <v>3</v>
      </c>
      <c r="B4124" s="59" t="n">
        <v>46249</v>
      </c>
      <c r="C4124" s="0" t="n">
        <v>11</v>
      </c>
      <c r="D4124" s="0" t="s">
        <v>2126</v>
      </c>
      <c r="E4124" s="0" t="n">
        <v>1621</v>
      </c>
      <c r="F4124" s="0" t="s">
        <v>308</v>
      </c>
      <c r="I4124" s="0" t="n">
        <v>957023</v>
      </c>
      <c r="J4124" s="0" t="n">
        <v>31030</v>
      </c>
      <c r="K4124" s="0" t="n">
        <v>7891991014090</v>
      </c>
      <c r="L4124" s="0" t="s">
        <v>2363</v>
      </c>
      <c r="N4124" s="0" t="n">
        <v>30</v>
      </c>
      <c r="O4124" s="60" t="n">
        <v>103</v>
      </c>
    </row>
    <row r="4125" customFormat="false" ht="15" hidden="false" customHeight="false" outlineLevel="0" collapsed="false">
      <c r="A4125" s="0" t="n">
        <v>3</v>
      </c>
      <c r="B4125" s="59" t="n">
        <v>46249</v>
      </c>
      <c r="C4125" s="0" t="n">
        <v>11</v>
      </c>
      <c r="D4125" s="0" t="s">
        <v>2126</v>
      </c>
      <c r="E4125" s="0" t="n">
        <v>1621</v>
      </c>
      <c r="F4125" s="0" t="s">
        <v>308</v>
      </c>
      <c r="I4125" s="0" t="n">
        <v>957023</v>
      </c>
      <c r="J4125" s="0" t="n">
        <v>31031</v>
      </c>
      <c r="K4125" s="0" t="n">
        <v>7891149441204</v>
      </c>
      <c r="L4125" s="0" t="s">
        <v>2364</v>
      </c>
      <c r="N4125" s="0" t="n">
        <v>24</v>
      </c>
      <c r="O4125" s="60" t="n">
        <v>82.15</v>
      </c>
    </row>
    <row r="4126" customFormat="false" ht="15" hidden="false" customHeight="false" outlineLevel="0" collapsed="false">
      <c r="A4126" s="0" t="n">
        <v>3</v>
      </c>
      <c r="B4126" s="59" t="n">
        <v>46249</v>
      </c>
      <c r="C4126" s="0" t="n">
        <v>11</v>
      </c>
      <c r="D4126" s="0" t="s">
        <v>2126</v>
      </c>
      <c r="E4126" s="0" t="n">
        <v>1621</v>
      </c>
      <c r="F4126" s="0" t="s">
        <v>308</v>
      </c>
      <c r="I4126" s="0" t="n">
        <v>957023</v>
      </c>
      <c r="J4126" s="0" t="n">
        <v>32100</v>
      </c>
      <c r="K4126" s="0" t="n">
        <v>7891991015493</v>
      </c>
      <c r="L4126" s="0" t="s">
        <v>2366</v>
      </c>
      <c r="N4126" s="0" t="n">
        <v>60</v>
      </c>
      <c r="O4126" s="60" t="n">
        <v>256.460127</v>
      </c>
    </row>
    <row r="4127" customFormat="false" ht="15" hidden="false" customHeight="false" outlineLevel="0" collapsed="false">
      <c r="A4127" s="0" t="n">
        <v>3</v>
      </c>
      <c r="B4127" s="59" t="n">
        <v>46249</v>
      </c>
      <c r="C4127" s="0" t="n">
        <v>11</v>
      </c>
      <c r="D4127" s="0" t="s">
        <v>2126</v>
      </c>
      <c r="E4127" s="0" t="n">
        <v>1621</v>
      </c>
      <c r="F4127" s="0" t="s">
        <v>308</v>
      </c>
      <c r="I4127" s="0" t="n">
        <v>957023</v>
      </c>
      <c r="J4127" s="0" t="n">
        <v>33355</v>
      </c>
      <c r="K4127" s="0" t="n">
        <v>7891991010177</v>
      </c>
      <c r="L4127" s="0" t="s">
        <v>3337</v>
      </c>
      <c r="N4127" s="0" t="n">
        <v>15</v>
      </c>
      <c r="O4127" s="60" t="n">
        <v>44.849903</v>
      </c>
    </row>
    <row r="4128" customFormat="false" ht="15" hidden="false" customHeight="false" outlineLevel="0" collapsed="false">
      <c r="A4128" s="0" t="n">
        <v>3</v>
      </c>
      <c r="B4128" s="59" t="n">
        <v>46249</v>
      </c>
      <c r="C4128" s="0" t="n">
        <v>11</v>
      </c>
      <c r="D4128" s="0" t="s">
        <v>2126</v>
      </c>
      <c r="E4128" s="0" t="n">
        <v>1621</v>
      </c>
      <c r="F4128" s="0" t="s">
        <v>308</v>
      </c>
      <c r="I4128" s="0" t="n">
        <v>957023</v>
      </c>
      <c r="J4128" s="0" t="n">
        <v>33537</v>
      </c>
      <c r="K4128" s="0" t="n">
        <v>7891991294942</v>
      </c>
      <c r="L4128" s="0" t="s">
        <v>2367</v>
      </c>
      <c r="N4128" s="0" t="n">
        <v>120</v>
      </c>
      <c r="O4128" s="60" t="n">
        <v>420.409956</v>
      </c>
    </row>
    <row r="4129" customFormat="false" ht="15" hidden="false" customHeight="false" outlineLevel="0" collapsed="false">
      <c r="A4129" s="0" t="n">
        <v>3</v>
      </c>
      <c r="B4129" s="59" t="n">
        <v>46249</v>
      </c>
      <c r="C4129" s="0" t="n">
        <v>11</v>
      </c>
      <c r="D4129" s="0" t="s">
        <v>2126</v>
      </c>
      <c r="E4129" s="0" t="n">
        <v>1621</v>
      </c>
      <c r="F4129" s="0" t="s">
        <v>308</v>
      </c>
      <c r="I4129" s="0" t="n">
        <v>957023</v>
      </c>
      <c r="J4129" s="0" t="n">
        <v>34937</v>
      </c>
      <c r="K4129" s="0" t="n">
        <v>7891991015462</v>
      </c>
      <c r="L4129" s="0" t="s">
        <v>2368</v>
      </c>
      <c r="N4129" s="0" t="n">
        <v>24</v>
      </c>
      <c r="O4129" s="60" t="n">
        <v>137.940046</v>
      </c>
    </row>
    <row r="4130" customFormat="false" ht="15" hidden="false" customHeight="false" outlineLevel="0" collapsed="false">
      <c r="A4130" s="0" t="n">
        <v>3</v>
      </c>
      <c r="B4130" s="59" t="n">
        <v>46249</v>
      </c>
      <c r="C4130" s="0" t="n">
        <v>11</v>
      </c>
      <c r="D4130" s="0" t="s">
        <v>2126</v>
      </c>
      <c r="E4130" s="0" t="n">
        <v>1621</v>
      </c>
      <c r="F4130" s="0" t="s">
        <v>308</v>
      </c>
      <c r="I4130" s="0" t="n">
        <v>957023</v>
      </c>
      <c r="J4130" s="0" t="n">
        <v>36310</v>
      </c>
      <c r="K4130" s="0" t="n">
        <v>78938854</v>
      </c>
      <c r="L4130" s="0" t="s">
        <v>3814</v>
      </c>
      <c r="N4130" s="0" t="n">
        <v>42</v>
      </c>
      <c r="O4130" s="60" t="n">
        <v>59.8</v>
      </c>
    </row>
    <row r="4131" customFormat="false" ht="15" hidden="false" customHeight="false" outlineLevel="0" collapsed="false">
      <c r="A4131" s="0" t="n">
        <v>3</v>
      </c>
      <c r="B4131" s="59" t="n">
        <v>46249</v>
      </c>
      <c r="C4131" s="0" t="n">
        <v>11</v>
      </c>
      <c r="D4131" s="0" t="s">
        <v>2126</v>
      </c>
      <c r="E4131" s="0" t="n">
        <v>1621</v>
      </c>
      <c r="F4131" s="0" t="s">
        <v>308</v>
      </c>
      <c r="I4131" s="0" t="n">
        <v>957023</v>
      </c>
      <c r="J4131" s="0" t="n">
        <v>38561</v>
      </c>
      <c r="K4131" s="0" t="n">
        <v>7891991295086</v>
      </c>
      <c r="L4131" s="0" t="s">
        <v>2370</v>
      </c>
      <c r="N4131" s="0" t="n">
        <v>15</v>
      </c>
      <c r="O4131" s="60" t="n">
        <v>50.049953</v>
      </c>
    </row>
    <row r="4132" customFormat="false" ht="15" hidden="false" customHeight="false" outlineLevel="0" collapsed="false">
      <c r="A4132" s="0" t="n">
        <v>3</v>
      </c>
      <c r="B4132" s="59" t="n">
        <v>46249</v>
      </c>
      <c r="C4132" s="0" t="n">
        <v>11</v>
      </c>
      <c r="D4132" s="0" t="s">
        <v>2126</v>
      </c>
      <c r="E4132" s="0" t="n">
        <v>1621</v>
      </c>
      <c r="F4132" s="0" t="s">
        <v>308</v>
      </c>
      <c r="I4132" s="0" t="n">
        <v>957023</v>
      </c>
      <c r="J4132" s="0" t="n">
        <v>40508</v>
      </c>
      <c r="K4132" s="0" t="n">
        <v>7891991301138</v>
      </c>
      <c r="L4132" s="0" t="s">
        <v>2371</v>
      </c>
      <c r="N4132" s="0" t="n">
        <v>24</v>
      </c>
      <c r="O4132" s="60" t="n">
        <v>165.530085</v>
      </c>
    </row>
    <row r="4133" customFormat="false" ht="15" hidden="false" customHeight="false" outlineLevel="0" collapsed="false">
      <c r="A4133" s="0" t="n">
        <v>3</v>
      </c>
      <c r="B4133" s="59" t="n">
        <v>46249</v>
      </c>
      <c r="C4133" s="0" t="n">
        <v>11</v>
      </c>
      <c r="D4133" s="0" t="s">
        <v>2126</v>
      </c>
      <c r="E4133" s="0" t="n">
        <v>1621</v>
      </c>
      <c r="F4133" s="0" t="s">
        <v>308</v>
      </c>
      <c r="I4133" s="0" t="n">
        <v>957023</v>
      </c>
      <c r="J4133" s="0" t="n">
        <v>44674</v>
      </c>
      <c r="K4133" s="0" t="n">
        <v>7891991297424</v>
      </c>
      <c r="L4133" s="0" t="s">
        <v>3339</v>
      </c>
      <c r="N4133" s="0" t="n">
        <v>36</v>
      </c>
      <c r="O4133" s="60" t="n">
        <v>160.040127</v>
      </c>
    </row>
    <row r="4134" customFormat="false" ht="15" hidden="false" customHeight="false" outlineLevel="0" collapsed="false">
      <c r="A4134" s="0" t="n">
        <v>3</v>
      </c>
      <c r="B4134" s="59" t="n">
        <v>46249</v>
      </c>
      <c r="C4134" s="0" t="n">
        <v>11</v>
      </c>
      <c r="D4134" s="0" t="s">
        <v>2126</v>
      </c>
      <c r="E4134" s="0" t="n">
        <v>1621</v>
      </c>
      <c r="F4134" s="0" t="s">
        <v>308</v>
      </c>
      <c r="I4134" s="0" t="n">
        <v>957023</v>
      </c>
      <c r="J4134" s="0" t="n">
        <v>46066</v>
      </c>
      <c r="K4134" s="0" t="n">
        <v>7891991295277</v>
      </c>
      <c r="L4134" s="0" t="s">
        <v>2372</v>
      </c>
      <c r="N4134" s="0" t="n">
        <v>15</v>
      </c>
      <c r="O4134" s="60" t="n">
        <v>43.559953</v>
      </c>
    </row>
    <row r="4135" customFormat="false" ht="15" hidden="false" customHeight="false" outlineLevel="0" collapsed="false">
      <c r="A4135" s="0" t="n">
        <v>3</v>
      </c>
      <c r="B4135" s="59" t="n">
        <v>46249</v>
      </c>
      <c r="C4135" s="0" t="n">
        <v>11</v>
      </c>
      <c r="D4135" s="0" t="s">
        <v>2126</v>
      </c>
      <c r="E4135" s="0" t="n">
        <v>1621</v>
      </c>
      <c r="F4135" s="0" t="s">
        <v>308</v>
      </c>
      <c r="I4135" s="0" t="n">
        <v>957023</v>
      </c>
      <c r="J4135" s="0" t="n">
        <v>48997</v>
      </c>
      <c r="K4135" s="0" t="n">
        <v>7891991302029</v>
      </c>
      <c r="L4135" s="0" t="s">
        <v>3815</v>
      </c>
      <c r="N4135" s="0" t="n">
        <v>72</v>
      </c>
      <c r="O4135" s="60" t="n">
        <v>338.960048</v>
      </c>
    </row>
    <row r="4136" customFormat="false" ht="15" hidden="false" customHeight="false" outlineLevel="0" collapsed="false">
      <c r="A4136" s="0" t="n">
        <v>3</v>
      </c>
      <c r="B4136" s="59" t="n">
        <v>46249</v>
      </c>
      <c r="C4136" s="0" t="n">
        <v>11</v>
      </c>
      <c r="D4136" s="0" t="s">
        <v>2126</v>
      </c>
      <c r="E4136" s="0" t="n">
        <v>1621</v>
      </c>
      <c r="F4136" s="0" t="s">
        <v>308</v>
      </c>
      <c r="I4136" s="0" t="n">
        <v>957023</v>
      </c>
      <c r="J4136" s="0" t="n">
        <v>48997</v>
      </c>
      <c r="K4136" s="0" t="n">
        <v>7891991302029</v>
      </c>
      <c r="L4136" s="0" t="s">
        <v>3815</v>
      </c>
      <c r="N4136" s="0" t="n">
        <v>8</v>
      </c>
      <c r="O4136" s="60" t="n">
        <v>36.080009</v>
      </c>
    </row>
    <row r="4137" customFormat="false" ht="15" hidden="false" customHeight="false" outlineLevel="0" collapsed="false">
      <c r="A4137" s="0" t="n">
        <v>3</v>
      </c>
      <c r="B4137" s="59" t="n">
        <v>46249</v>
      </c>
      <c r="C4137" s="0" t="n">
        <v>11</v>
      </c>
      <c r="D4137" s="0" t="s">
        <v>2126</v>
      </c>
      <c r="E4137" s="0" t="n">
        <v>1621</v>
      </c>
      <c r="F4137" s="0" t="s">
        <v>308</v>
      </c>
      <c r="I4137" s="0" t="n">
        <v>957023</v>
      </c>
      <c r="J4137" s="0" t="n">
        <v>51810</v>
      </c>
      <c r="K4137" s="0" t="n">
        <v>7891991010900</v>
      </c>
      <c r="L4137" s="0" t="s">
        <v>2374</v>
      </c>
      <c r="N4137" s="0" t="n">
        <v>15</v>
      </c>
      <c r="O4137" s="60" t="n">
        <v>40.990041</v>
      </c>
    </row>
    <row r="4138" customFormat="false" ht="15" hidden="false" customHeight="false" outlineLevel="0" collapsed="false">
      <c r="A4138" s="0" t="n">
        <v>3</v>
      </c>
      <c r="B4138" s="59" t="n">
        <v>46249</v>
      </c>
      <c r="C4138" s="0" t="n">
        <v>11</v>
      </c>
      <c r="D4138" s="0" t="s">
        <v>2126</v>
      </c>
      <c r="E4138" s="0" t="n">
        <v>1621</v>
      </c>
      <c r="F4138" s="0" t="s">
        <v>308</v>
      </c>
      <c r="I4138" s="0" t="n">
        <v>957023</v>
      </c>
      <c r="J4138" s="0" t="n">
        <v>52560</v>
      </c>
      <c r="K4138" s="0" t="n">
        <v>7891991299619</v>
      </c>
      <c r="L4138" s="0" t="s">
        <v>2794</v>
      </c>
      <c r="N4138" s="0" t="n">
        <v>48</v>
      </c>
      <c r="O4138" s="60" t="n">
        <v>264.049929</v>
      </c>
    </row>
    <row r="4139" customFormat="false" ht="15" hidden="false" customHeight="false" outlineLevel="0" collapsed="false">
      <c r="A4139" s="0" t="n">
        <v>3</v>
      </c>
      <c r="B4139" s="59" t="n">
        <v>46249</v>
      </c>
      <c r="C4139" s="0" t="n">
        <v>11</v>
      </c>
      <c r="D4139" s="0" t="s">
        <v>2126</v>
      </c>
      <c r="E4139" s="0" t="n">
        <v>1621</v>
      </c>
      <c r="F4139" s="0" t="s">
        <v>308</v>
      </c>
      <c r="I4139" s="0" t="n">
        <v>957023</v>
      </c>
      <c r="J4139" s="0" t="n">
        <v>54120</v>
      </c>
      <c r="K4139" s="0" t="n">
        <v>7892840820862</v>
      </c>
      <c r="L4139" s="0" t="s">
        <v>2375</v>
      </c>
      <c r="N4139" s="0" t="n">
        <v>6</v>
      </c>
      <c r="O4139" s="60" t="n">
        <v>19.92</v>
      </c>
    </row>
    <row r="4140" customFormat="false" ht="15" hidden="false" customHeight="false" outlineLevel="0" collapsed="false">
      <c r="A4140" s="0" t="n">
        <v>3</v>
      </c>
      <c r="B4140" s="59" t="n">
        <v>46249</v>
      </c>
      <c r="C4140" s="0" t="n">
        <v>11</v>
      </c>
      <c r="D4140" s="0" t="s">
        <v>2126</v>
      </c>
      <c r="E4140" s="0" t="n">
        <v>1621</v>
      </c>
      <c r="F4140" s="0" t="s">
        <v>308</v>
      </c>
      <c r="I4140" s="0" t="n">
        <v>957023</v>
      </c>
      <c r="J4140" s="0" t="n">
        <v>55510</v>
      </c>
      <c r="K4140" s="0" t="n">
        <v>7891991303347</v>
      </c>
      <c r="L4140" s="0" t="s">
        <v>3340</v>
      </c>
      <c r="N4140" s="0" t="n">
        <v>8</v>
      </c>
      <c r="O4140" s="60" t="n">
        <v>27.380005</v>
      </c>
    </row>
    <row r="4141" customFormat="false" ht="15" hidden="false" customHeight="false" outlineLevel="0" collapsed="false">
      <c r="A4141" s="0" t="n">
        <v>3</v>
      </c>
      <c r="B4141" s="59" t="n">
        <v>46249</v>
      </c>
      <c r="C4141" s="0" t="n">
        <v>11</v>
      </c>
      <c r="D4141" s="0" t="s">
        <v>2126</v>
      </c>
      <c r="E4141" s="0" t="n">
        <v>1621</v>
      </c>
      <c r="F4141" s="0" t="s">
        <v>308</v>
      </c>
      <c r="I4141" s="0" t="n">
        <v>957023</v>
      </c>
      <c r="J4141" s="0" t="n">
        <v>57246</v>
      </c>
      <c r="K4141" s="0" t="n">
        <v>7892840800406</v>
      </c>
      <c r="L4141" s="0" t="s">
        <v>3341</v>
      </c>
      <c r="N4141" s="0" t="n">
        <v>30</v>
      </c>
      <c r="O4141" s="60" t="n">
        <v>102.69</v>
      </c>
    </row>
    <row r="4142" customFormat="false" ht="15" hidden="false" customHeight="false" outlineLevel="0" collapsed="false">
      <c r="A4142" s="0" t="n">
        <v>3</v>
      </c>
      <c r="B4142" s="59" t="n">
        <v>46249</v>
      </c>
      <c r="C4142" s="0" t="n">
        <v>11</v>
      </c>
      <c r="D4142" s="0" t="s">
        <v>2126</v>
      </c>
      <c r="E4142" s="0" t="n">
        <v>1621</v>
      </c>
      <c r="F4142" s="0" t="s">
        <v>308</v>
      </c>
      <c r="I4142" s="0" t="n">
        <v>957023</v>
      </c>
      <c r="J4142" s="0" t="n">
        <v>63479</v>
      </c>
      <c r="K4142" s="0" t="n">
        <v>7891991295055</v>
      </c>
      <c r="L4142" s="0" t="s">
        <v>2376</v>
      </c>
      <c r="N4142" s="0" t="n">
        <v>24</v>
      </c>
      <c r="O4142" s="60" t="n">
        <v>129.299883</v>
      </c>
    </row>
    <row r="4143" customFormat="false" ht="15" hidden="false" customHeight="false" outlineLevel="0" collapsed="false">
      <c r="A4143" s="0" t="n">
        <v>3</v>
      </c>
      <c r="B4143" s="59" t="n">
        <v>46249</v>
      </c>
      <c r="C4143" s="0" t="n">
        <v>11</v>
      </c>
      <c r="D4143" s="0" t="s">
        <v>2126</v>
      </c>
      <c r="E4143" s="0" t="n">
        <v>1621</v>
      </c>
      <c r="F4143" s="0" t="s">
        <v>308</v>
      </c>
      <c r="I4143" s="0" t="n">
        <v>957023</v>
      </c>
      <c r="J4143" s="0" t="n">
        <v>64674</v>
      </c>
      <c r="K4143" s="0" t="n">
        <v>7891991304870</v>
      </c>
      <c r="L4143" s="0" t="s">
        <v>2377</v>
      </c>
      <c r="N4143" s="0" t="n">
        <v>24</v>
      </c>
      <c r="O4143" s="60" t="n">
        <v>147.819974</v>
      </c>
    </row>
    <row r="4144" customFormat="false" ht="15" hidden="false" customHeight="false" outlineLevel="0" collapsed="false">
      <c r="A4144" s="0" t="n">
        <v>3</v>
      </c>
      <c r="B4144" s="59" t="n">
        <v>46249</v>
      </c>
      <c r="C4144" s="0" t="n">
        <v>11</v>
      </c>
      <c r="D4144" s="0" t="s">
        <v>2126</v>
      </c>
      <c r="E4144" s="0" t="n">
        <v>1621</v>
      </c>
      <c r="F4144" s="0" t="s">
        <v>308</v>
      </c>
      <c r="I4144" s="0" t="n">
        <v>957023</v>
      </c>
      <c r="J4144" s="0" t="n">
        <v>71497</v>
      </c>
      <c r="K4144" s="0" t="n">
        <v>7891991304184</v>
      </c>
      <c r="L4144" s="0" t="s">
        <v>3816</v>
      </c>
      <c r="N4144" s="0" t="n">
        <v>24</v>
      </c>
      <c r="O4144" s="60" t="n">
        <v>150.22</v>
      </c>
    </row>
    <row r="4145" customFormat="false" ht="15" hidden="false" customHeight="false" outlineLevel="0" collapsed="false">
      <c r="A4145" s="0" t="n">
        <v>3</v>
      </c>
      <c r="B4145" s="59" t="n">
        <v>46249</v>
      </c>
      <c r="C4145" s="0" t="n">
        <v>11</v>
      </c>
      <c r="D4145" s="0" t="s">
        <v>2126</v>
      </c>
      <c r="E4145" s="0" t="n">
        <v>1621</v>
      </c>
      <c r="F4145" s="0" t="s">
        <v>308</v>
      </c>
      <c r="I4145" s="0" t="n">
        <v>957023</v>
      </c>
      <c r="J4145" s="0" t="n">
        <v>73036</v>
      </c>
      <c r="K4145" s="0" t="n">
        <v>7892840822019</v>
      </c>
      <c r="L4145" s="0" t="s">
        <v>2378</v>
      </c>
      <c r="N4145" s="0" t="n">
        <v>6</v>
      </c>
      <c r="O4145" s="60" t="n">
        <v>32.87</v>
      </c>
    </row>
    <row r="4146" customFormat="false" ht="15" hidden="false" customHeight="false" outlineLevel="0" collapsed="false">
      <c r="A4146" s="0" t="n">
        <v>3</v>
      </c>
      <c r="B4146" s="59" t="n">
        <v>46249</v>
      </c>
      <c r="C4146" s="0" t="n">
        <v>11</v>
      </c>
      <c r="D4146" s="0" t="s">
        <v>2126</v>
      </c>
      <c r="E4146" s="0" t="n">
        <v>1621</v>
      </c>
      <c r="F4146" s="0" t="s">
        <v>308</v>
      </c>
      <c r="I4146" s="0" t="n">
        <v>957023</v>
      </c>
      <c r="J4146" s="0" t="n">
        <v>73807</v>
      </c>
      <c r="K4146" s="0" t="n">
        <v>7891991306485</v>
      </c>
      <c r="L4146" s="0" t="s">
        <v>3817</v>
      </c>
      <c r="N4146" s="0" t="n">
        <v>8</v>
      </c>
      <c r="O4146" s="60" t="n">
        <v>38.930078</v>
      </c>
    </row>
    <row r="4147" customFormat="false" ht="15" hidden="false" customHeight="false" outlineLevel="0" collapsed="false">
      <c r="A4147" s="0" t="n">
        <v>3</v>
      </c>
      <c r="B4147" s="59" t="n">
        <v>46249</v>
      </c>
      <c r="C4147" s="0" t="n">
        <v>11</v>
      </c>
      <c r="D4147" s="0" t="s">
        <v>2126</v>
      </c>
      <c r="E4147" s="0" t="n">
        <v>1621</v>
      </c>
      <c r="F4147" s="0" t="s">
        <v>308</v>
      </c>
      <c r="I4147" s="0" t="n">
        <v>957023</v>
      </c>
      <c r="J4147" s="0" t="n">
        <v>76646</v>
      </c>
      <c r="K4147" s="0" t="n">
        <v>7891991307208</v>
      </c>
      <c r="L4147" s="0" t="s">
        <v>2380</v>
      </c>
      <c r="N4147" s="0" t="n">
        <v>24</v>
      </c>
      <c r="O4147" s="60" t="n">
        <v>165.530085</v>
      </c>
    </row>
    <row r="4148" customFormat="false" ht="15" hidden="false" customHeight="false" outlineLevel="0" collapsed="false">
      <c r="A4148" s="0" t="n">
        <v>3</v>
      </c>
      <c r="B4148" s="59" t="n">
        <v>46249</v>
      </c>
      <c r="C4148" s="0" t="n">
        <v>11</v>
      </c>
      <c r="D4148" s="0" t="s">
        <v>2126</v>
      </c>
      <c r="E4148" s="0" t="n">
        <v>1621</v>
      </c>
      <c r="F4148" s="0" t="s">
        <v>308</v>
      </c>
      <c r="I4148" s="0" t="n">
        <v>957023</v>
      </c>
      <c r="J4148" s="0" t="n">
        <v>78038</v>
      </c>
      <c r="K4148" s="0" t="n">
        <v>7891991010481</v>
      </c>
      <c r="L4148" s="0" t="s">
        <v>2381</v>
      </c>
      <c r="N4148" s="0" t="n">
        <v>48</v>
      </c>
      <c r="O4148" s="60" t="n">
        <v>176.389898</v>
      </c>
    </row>
    <row r="4149" customFormat="false" ht="15" hidden="false" customHeight="false" outlineLevel="0" collapsed="false">
      <c r="A4149" s="0" t="n">
        <v>3</v>
      </c>
      <c r="B4149" s="59" t="n">
        <v>46249</v>
      </c>
      <c r="C4149" s="0" t="n">
        <v>11</v>
      </c>
      <c r="D4149" s="0" t="s">
        <v>2126</v>
      </c>
      <c r="E4149" s="0" t="n">
        <v>1621</v>
      </c>
      <c r="F4149" s="0" t="s">
        <v>308</v>
      </c>
      <c r="I4149" s="0" t="n">
        <v>957023</v>
      </c>
      <c r="J4149" s="0" t="n">
        <v>78062</v>
      </c>
      <c r="K4149" s="0" t="n">
        <v>7891991305440</v>
      </c>
      <c r="L4149" s="0" t="s">
        <v>2382</v>
      </c>
      <c r="N4149" s="0" t="n">
        <v>24</v>
      </c>
      <c r="O4149" s="60" t="n">
        <v>133.419988</v>
      </c>
    </row>
    <row r="4150" customFormat="false" ht="15" hidden="false" customHeight="false" outlineLevel="0" collapsed="false">
      <c r="A4150" s="0" t="n">
        <v>3</v>
      </c>
      <c r="B4150" s="59" t="n">
        <v>46249</v>
      </c>
      <c r="C4150" s="0" t="n">
        <v>11</v>
      </c>
      <c r="D4150" s="0" t="s">
        <v>2126</v>
      </c>
      <c r="E4150" s="0" t="n">
        <v>1621</v>
      </c>
      <c r="F4150" s="0" t="s">
        <v>308</v>
      </c>
      <c r="I4150" s="0" t="n">
        <v>957023</v>
      </c>
      <c r="J4150" s="0" t="n">
        <v>78063</v>
      </c>
      <c r="K4150" s="0" t="n">
        <v>7891149108718</v>
      </c>
      <c r="L4150" s="0" t="s">
        <v>3343</v>
      </c>
      <c r="N4150" s="0" t="n">
        <v>96</v>
      </c>
      <c r="O4150" s="60" t="n">
        <v>630.759983</v>
      </c>
    </row>
    <row r="4151" customFormat="false" ht="15" hidden="false" customHeight="false" outlineLevel="0" collapsed="false">
      <c r="A4151" s="0" t="n">
        <v>3</v>
      </c>
      <c r="B4151" s="59" t="n">
        <v>46249</v>
      </c>
      <c r="C4151" s="0" t="n">
        <v>11</v>
      </c>
      <c r="D4151" s="0" t="s">
        <v>2126</v>
      </c>
      <c r="E4151" s="0" t="n">
        <v>1621</v>
      </c>
      <c r="F4151" s="0" t="s">
        <v>308</v>
      </c>
      <c r="I4151" s="0" t="n">
        <v>957023</v>
      </c>
      <c r="J4151" s="0" t="n">
        <v>78502</v>
      </c>
      <c r="K4151" s="0" t="n">
        <v>7891991306461</v>
      </c>
      <c r="L4151" s="0" t="s">
        <v>3344</v>
      </c>
      <c r="N4151" s="0" t="n">
        <v>8</v>
      </c>
      <c r="O4151" s="60" t="n">
        <v>32.139816</v>
      </c>
    </row>
    <row r="4152" customFormat="false" ht="15" hidden="false" customHeight="false" outlineLevel="0" collapsed="false">
      <c r="A4152" s="0" t="n">
        <v>3</v>
      </c>
      <c r="B4152" s="59" t="n">
        <v>46249</v>
      </c>
      <c r="C4152" s="0" t="n">
        <v>11</v>
      </c>
      <c r="D4152" s="0" t="s">
        <v>2126</v>
      </c>
      <c r="E4152" s="0" t="n">
        <v>1621</v>
      </c>
      <c r="F4152" s="0" t="s">
        <v>308</v>
      </c>
      <c r="I4152" s="0" t="n">
        <v>957023</v>
      </c>
      <c r="J4152" s="0" t="n">
        <v>80426</v>
      </c>
      <c r="K4152" s="0" t="n">
        <v>7891149109050</v>
      </c>
      <c r="L4152" s="0" t="s">
        <v>3818</v>
      </c>
      <c r="N4152" s="0" t="n">
        <v>15</v>
      </c>
      <c r="O4152" s="60" t="n">
        <v>38.419992</v>
      </c>
    </row>
    <row r="4153" customFormat="false" ht="15" hidden="false" customHeight="false" outlineLevel="0" collapsed="false">
      <c r="A4153" s="0" t="n">
        <v>3</v>
      </c>
      <c r="B4153" s="59" t="n">
        <v>46249</v>
      </c>
      <c r="C4153" s="0" t="n">
        <v>11</v>
      </c>
      <c r="D4153" s="0" t="s">
        <v>2126</v>
      </c>
      <c r="E4153" s="0" t="n">
        <v>1621</v>
      </c>
      <c r="F4153" s="0" t="s">
        <v>308</v>
      </c>
      <c r="I4153" s="0" t="n">
        <v>957023</v>
      </c>
      <c r="J4153" s="0" t="n">
        <v>81970</v>
      </c>
      <c r="K4153" s="0" t="n">
        <v>7892840823986</v>
      </c>
      <c r="L4153" s="0" t="s">
        <v>3819</v>
      </c>
      <c r="N4153" s="0" t="n">
        <v>12</v>
      </c>
      <c r="O4153" s="60" t="n">
        <v>28.81</v>
      </c>
    </row>
    <row r="4154" customFormat="false" ht="15" hidden="false" customHeight="false" outlineLevel="0" collapsed="false">
      <c r="A4154" s="0" t="n">
        <v>3</v>
      </c>
      <c r="B4154" s="59" t="n">
        <v>46249</v>
      </c>
      <c r="C4154" s="0" t="n">
        <v>11</v>
      </c>
      <c r="D4154" s="0" t="s">
        <v>2126</v>
      </c>
      <c r="E4154" s="0" t="n">
        <v>1613</v>
      </c>
      <c r="F4154" s="0" t="s">
        <v>178</v>
      </c>
      <c r="I4154" s="0" t="n">
        <v>1619343</v>
      </c>
      <c r="J4154" s="0" t="n">
        <v>110883</v>
      </c>
      <c r="K4154" s="0" t="n">
        <v>45</v>
      </c>
      <c r="L4154" s="0" t="s">
        <v>2973</v>
      </c>
      <c r="N4154" s="0" t="n">
        <v>100</v>
      </c>
      <c r="O4154" s="60" t="n">
        <v>1219.43</v>
      </c>
    </row>
    <row r="4155" customFormat="false" ht="15" hidden="false" customHeight="false" outlineLevel="0" collapsed="false">
      <c r="A4155" s="0" t="n">
        <v>3</v>
      </c>
      <c r="B4155" s="59" t="n">
        <v>46249</v>
      </c>
      <c r="C4155" s="0" t="n">
        <v>11</v>
      </c>
      <c r="D4155" s="0" t="s">
        <v>2126</v>
      </c>
      <c r="E4155" s="0" t="n">
        <v>1613</v>
      </c>
      <c r="F4155" s="0" t="s">
        <v>178</v>
      </c>
      <c r="I4155" s="0" t="n">
        <v>1619343</v>
      </c>
      <c r="J4155" s="0" t="n">
        <v>100045</v>
      </c>
      <c r="K4155" s="0" t="n">
        <v>46</v>
      </c>
      <c r="L4155" s="0" t="s">
        <v>2974</v>
      </c>
      <c r="N4155" s="0" t="n">
        <v>20</v>
      </c>
      <c r="O4155" s="60" t="n">
        <v>224.2</v>
      </c>
    </row>
    <row r="4156" customFormat="false" ht="15" hidden="false" customHeight="false" outlineLevel="0" collapsed="false">
      <c r="A4156" s="0" t="n">
        <v>3</v>
      </c>
      <c r="B4156" s="59" t="n">
        <v>46249</v>
      </c>
      <c r="C4156" s="0" t="n">
        <v>11</v>
      </c>
      <c r="D4156" s="0" t="s">
        <v>2126</v>
      </c>
      <c r="E4156" s="0" t="n">
        <v>1613</v>
      </c>
      <c r="F4156" s="0" t="s">
        <v>178</v>
      </c>
      <c r="I4156" s="0" t="n">
        <v>1619343</v>
      </c>
      <c r="J4156" s="0" t="n">
        <v>102408</v>
      </c>
      <c r="K4156" s="0" t="n">
        <v>7891515602918</v>
      </c>
      <c r="L4156" s="0" t="s">
        <v>2428</v>
      </c>
      <c r="N4156" s="0" t="n">
        <v>120</v>
      </c>
      <c r="O4156" s="60" t="n">
        <v>416.1</v>
      </c>
    </row>
    <row r="4157" customFormat="false" ht="15" hidden="false" customHeight="false" outlineLevel="0" collapsed="false">
      <c r="A4157" s="0" t="n">
        <v>3</v>
      </c>
      <c r="B4157" s="59" t="n">
        <v>46249</v>
      </c>
      <c r="C4157" s="0" t="n">
        <v>11</v>
      </c>
      <c r="D4157" s="0" t="s">
        <v>2126</v>
      </c>
      <c r="E4157" s="0" t="n">
        <v>1613</v>
      </c>
      <c r="F4157" s="0" t="s">
        <v>178</v>
      </c>
      <c r="I4157" s="0" t="n">
        <v>1619343</v>
      </c>
      <c r="J4157" s="0" t="n">
        <v>108591</v>
      </c>
      <c r="K4157" s="0" t="n">
        <v>8461</v>
      </c>
      <c r="L4157" s="0" t="s">
        <v>2171</v>
      </c>
      <c r="N4157" s="0" t="n">
        <v>75</v>
      </c>
      <c r="O4157" s="60" t="n">
        <v>1018.5</v>
      </c>
    </row>
    <row r="4158" customFormat="false" ht="15" hidden="false" customHeight="false" outlineLevel="0" collapsed="false">
      <c r="A4158" s="0" t="n">
        <v>3</v>
      </c>
      <c r="B4158" s="59" t="n">
        <v>46249</v>
      </c>
      <c r="C4158" s="0" t="n">
        <v>11</v>
      </c>
      <c r="D4158" s="0" t="s">
        <v>2126</v>
      </c>
      <c r="E4158" s="0" t="n">
        <v>1613</v>
      </c>
      <c r="F4158" s="0" t="s">
        <v>178</v>
      </c>
      <c r="I4158" s="0" t="n">
        <v>1619343</v>
      </c>
      <c r="J4158" s="0" t="n">
        <v>23695</v>
      </c>
      <c r="K4158" s="0" t="n">
        <v>7891515474126</v>
      </c>
      <c r="L4158" s="0" t="s">
        <v>2789</v>
      </c>
      <c r="N4158" s="0" t="n">
        <v>90</v>
      </c>
      <c r="O4158" s="60" t="n">
        <v>158.33</v>
      </c>
    </row>
    <row r="4159" customFormat="false" ht="15" hidden="false" customHeight="false" outlineLevel="0" collapsed="false">
      <c r="A4159" s="0" t="n">
        <v>3</v>
      </c>
      <c r="B4159" s="59" t="n">
        <v>46249</v>
      </c>
      <c r="C4159" s="0" t="n">
        <v>11</v>
      </c>
      <c r="D4159" s="0" t="s">
        <v>2126</v>
      </c>
      <c r="E4159" s="0" t="n">
        <v>1613</v>
      </c>
      <c r="F4159" s="0" t="s">
        <v>178</v>
      </c>
      <c r="I4159" s="0" t="n">
        <v>1619343</v>
      </c>
      <c r="J4159" s="0" t="n">
        <v>110181</v>
      </c>
      <c r="K4159" s="0" t="n">
        <v>37389</v>
      </c>
      <c r="L4159" s="0" t="s">
        <v>2978</v>
      </c>
      <c r="N4159" s="0" t="n">
        <v>30</v>
      </c>
      <c r="O4159" s="60" t="n">
        <v>324.3</v>
      </c>
    </row>
    <row r="4160" customFormat="false" ht="15" hidden="false" customHeight="false" outlineLevel="0" collapsed="false">
      <c r="A4160" s="0" t="n">
        <v>3</v>
      </c>
      <c r="B4160" s="59" t="n">
        <v>46251</v>
      </c>
      <c r="C4160" s="0" t="n">
        <v>6</v>
      </c>
      <c r="D4160" s="0" t="s">
        <v>2125</v>
      </c>
      <c r="E4160" s="0" t="n">
        <v>42</v>
      </c>
      <c r="F4160" s="0" t="s">
        <v>81</v>
      </c>
      <c r="I4160" s="0" t="n">
        <v>4507</v>
      </c>
      <c r="J4160" s="0" t="n">
        <v>109791</v>
      </c>
      <c r="K4160" s="0" t="n">
        <v>9667</v>
      </c>
      <c r="L4160" s="0" t="s">
        <v>2123</v>
      </c>
      <c r="N4160" s="0" t="n">
        <v>8</v>
      </c>
      <c r="O4160" s="60" t="n">
        <v>20</v>
      </c>
    </row>
    <row r="4161" customFormat="false" ht="15" hidden="false" customHeight="false" outlineLevel="0" collapsed="false">
      <c r="A4161" s="0" t="n">
        <v>3</v>
      </c>
      <c r="B4161" s="59" t="n">
        <v>46251</v>
      </c>
      <c r="C4161" s="0" t="n">
        <v>6</v>
      </c>
      <c r="D4161" s="0" t="s">
        <v>2125</v>
      </c>
      <c r="E4161" s="0" t="n">
        <v>42</v>
      </c>
      <c r="F4161" s="0" t="s">
        <v>81</v>
      </c>
      <c r="I4161" s="0" t="n">
        <v>4507</v>
      </c>
      <c r="J4161" s="0" t="n">
        <v>37359</v>
      </c>
      <c r="K4161" s="0" t="n">
        <v>55526</v>
      </c>
      <c r="L4161" s="0" t="s">
        <v>2194</v>
      </c>
      <c r="N4161" s="0" t="n">
        <v>8</v>
      </c>
      <c r="O4161" s="60" t="n">
        <v>48</v>
      </c>
    </row>
    <row r="4162" customFormat="false" ht="15" hidden="false" customHeight="false" outlineLevel="0" collapsed="false">
      <c r="A4162" s="0" t="n">
        <v>3</v>
      </c>
      <c r="B4162" s="59" t="n">
        <v>46251</v>
      </c>
      <c r="C4162" s="0" t="n">
        <v>6</v>
      </c>
      <c r="D4162" s="0" t="s">
        <v>2125</v>
      </c>
      <c r="E4162" s="0" t="n">
        <v>42</v>
      </c>
      <c r="F4162" s="0" t="s">
        <v>81</v>
      </c>
      <c r="I4162" s="0" t="n">
        <v>4507</v>
      </c>
      <c r="J4162" s="0" t="n">
        <v>37361</v>
      </c>
      <c r="K4162" s="0" t="n">
        <v>2240817</v>
      </c>
      <c r="L4162" s="0" t="s">
        <v>2124</v>
      </c>
      <c r="N4162" s="0" t="n">
        <v>30</v>
      </c>
      <c r="O4162" s="60" t="n">
        <v>60</v>
      </c>
    </row>
    <row r="4163" customFormat="false" ht="15" hidden="false" customHeight="false" outlineLevel="0" collapsed="false">
      <c r="A4163" s="0" t="n">
        <v>3</v>
      </c>
      <c r="B4163" s="59" t="n">
        <v>46251</v>
      </c>
      <c r="C4163" s="0" t="n">
        <v>6</v>
      </c>
      <c r="D4163" s="0" t="s">
        <v>2125</v>
      </c>
      <c r="E4163" s="0" t="n">
        <v>42</v>
      </c>
      <c r="F4163" s="0" t="s">
        <v>81</v>
      </c>
      <c r="I4163" s="0" t="n">
        <v>4508</v>
      </c>
      <c r="J4163" s="0" t="n">
        <v>100103</v>
      </c>
      <c r="K4163" s="0" t="n">
        <v>104</v>
      </c>
      <c r="L4163" s="0" t="s">
        <v>2193</v>
      </c>
      <c r="N4163" s="0" t="n">
        <v>20</v>
      </c>
      <c r="O4163" s="60" t="n">
        <v>125</v>
      </c>
    </row>
    <row r="4164" customFormat="false" ht="15" hidden="false" customHeight="false" outlineLevel="0" collapsed="false">
      <c r="A4164" s="0" t="n">
        <v>3</v>
      </c>
      <c r="B4164" s="59" t="n">
        <v>46251</v>
      </c>
      <c r="C4164" s="0" t="n">
        <v>11</v>
      </c>
      <c r="D4164" s="0" t="s">
        <v>2126</v>
      </c>
      <c r="E4164" s="0" t="n">
        <v>10096</v>
      </c>
      <c r="F4164" s="0" t="s">
        <v>1235</v>
      </c>
      <c r="I4164" s="0" t="n">
        <v>171</v>
      </c>
      <c r="J4164" s="0" t="n">
        <v>61580</v>
      </c>
      <c r="K4164" s="0" t="n">
        <v>2258157</v>
      </c>
      <c r="L4164" s="0" t="s">
        <v>3008</v>
      </c>
      <c r="N4164" s="0" t="n">
        <v>15</v>
      </c>
      <c r="O4164" s="60" t="n">
        <v>180</v>
      </c>
    </row>
    <row r="4165" customFormat="false" ht="15" hidden="false" customHeight="false" outlineLevel="0" collapsed="false">
      <c r="A4165" s="0" t="n">
        <v>3</v>
      </c>
      <c r="B4165" s="59" t="n">
        <v>46251</v>
      </c>
      <c r="C4165" s="0" t="n">
        <v>11</v>
      </c>
      <c r="D4165" s="0" t="s">
        <v>2126</v>
      </c>
      <c r="E4165" s="0" t="n">
        <v>1723</v>
      </c>
      <c r="F4165" s="0" t="s">
        <v>77</v>
      </c>
      <c r="I4165" s="0" t="n">
        <v>174945</v>
      </c>
      <c r="J4165" s="0" t="n">
        <v>29079</v>
      </c>
      <c r="K4165" s="0" t="n">
        <v>55515</v>
      </c>
      <c r="L4165" s="0" t="s">
        <v>2213</v>
      </c>
      <c r="N4165" s="0" t="n">
        <v>75.4</v>
      </c>
      <c r="O4165" s="60" t="n">
        <v>2488.2</v>
      </c>
    </row>
    <row r="4166" customFormat="false" ht="15" hidden="false" customHeight="false" outlineLevel="0" collapsed="false">
      <c r="A4166" s="0" t="n">
        <v>3</v>
      </c>
      <c r="B4166" s="59" t="n">
        <v>46251</v>
      </c>
      <c r="C4166" s="0" t="n">
        <v>11</v>
      </c>
      <c r="D4166" s="0" t="s">
        <v>2126</v>
      </c>
      <c r="E4166" s="0" t="n">
        <v>1723</v>
      </c>
      <c r="F4166" s="0" t="s">
        <v>77</v>
      </c>
      <c r="I4166" s="0" t="n">
        <v>174945</v>
      </c>
      <c r="J4166" s="0" t="n">
        <v>110184</v>
      </c>
      <c r="K4166" s="0" t="n">
        <v>37393</v>
      </c>
      <c r="L4166" s="0" t="s">
        <v>2280</v>
      </c>
      <c r="N4166" s="0" t="n">
        <v>60</v>
      </c>
      <c r="O4166" s="60" t="n">
        <v>510</v>
      </c>
    </row>
    <row r="4167" customFormat="false" ht="15" hidden="false" customHeight="false" outlineLevel="0" collapsed="false">
      <c r="A4167" s="0" t="n">
        <v>3</v>
      </c>
      <c r="B4167" s="59" t="n">
        <v>46251</v>
      </c>
      <c r="C4167" s="0" t="n">
        <v>11</v>
      </c>
      <c r="D4167" s="0" t="s">
        <v>2126</v>
      </c>
      <c r="E4167" s="0" t="n">
        <v>1723</v>
      </c>
      <c r="F4167" s="0" t="s">
        <v>77</v>
      </c>
      <c r="I4167" s="0" t="n">
        <v>174946</v>
      </c>
      <c r="J4167" s="0" t="n">
        <v>29079</v>
      </c>
      <c r="K4167" s="0" t="n">
        <v>55515</v>
      </c>
      <c r="L4167" s="0" t="s">
        <v>2213</v>
      </c>
      <c r="N4167" s="0" t="n">
        <v>70</v>
      </c>
      <c r="O4167" s="60" t="n">
        <v>2310</v>
      </c>
    </row>
    <row r="4168" customFormat="false" ht="15" hidden="false" customHeight="false" outlineLevel="0" collapsed="false">
      <c r="A4168" s="0" t="n">
        <v>3</v>
      </c>
      <c r="B4168" s="59" t="n">
        <v>46251</v>
      </c>
      <c r="C4168" s="0" t="n">
        <v>11</v>
      </c>
      <c r="D4168" s="0" t="s">
        <v>2126</v>
      </c>
      <c r="E4168" s="0" t="n">
        <v>1723</v>
      </c>
      <c r="F4168" s="0" t="s">
        <v>77</v>
      </c>
      <c r="I4168" s="0" t="n">
        <v>174946</v>
      </c>
      <c r="J4168" s="0" t="n">
        <v>77455</v>
      </c>
      <c r="K4168" s="0" t="n">
        <v>774567</v>
      </c>
      <c r="L4168" s="0" t="s">
        <v>3668</v>
      </c>
      <c r="N4168" s="0" t="n">
        <v>33.3</v>
      </c>
      <c r="O4168" s="60" t="n">
        <v>1065.6</v>
      </c>
    </row>
    <row r="4169" customFormat="false" ht="15" hidden="false" customHeight="false" outlineLevel="0" collapsed="false">
      <c r="A4169" s="0" t="n">
        <v>3</v>
      </c>
      <c r="B4169" s="59" t="n">
        <v>46251</v>
      </c>
      <c r="C4169" s="0" t="n">
        <v>11</v>
      </c>
      <c r="D4169" s="0" t="s">
        <v>2126</v>
      </c>
      <c r="E4169" s="0" t="n">
        <v>1723</v>
      </c>
      <c r="F4169" s="0" t="s">
        <v>77</v>
      </c>
      <c r="I4169" s="0" t="n">
        <v>174988</v>
      </c>
      <c r="J4169" s="0" t="n">
        <v>29080</v>
      </c>
      <c r="K4169" s="0" t="n">
        <v>55516</v>
      </c>
      <c r="L4169" s="0" t="s">
        <v>2137</v>
      </c>
      <c r="N4169" s="0" t="n">
        <v>49.5</v>
      </c>
      <c r="O4169" s="60" t="n">
        <v>1138.5</v>
      </c>
    </row>
    <row r="4170" customFormat="false" ht="15" hidden="false" customHeight="false" outlineLevel="0" collapsed="false">
      <c r="A4170" s="0" t="n">
        <v>3</v>
      </c>
      <c r="B4170" s="59" t="n">
        <v>46251</v>
      </c>
      <c r="C4170" s="0" t="n">
        <v>22</v>
      </c>
      <c r="D4170" s="0" t="s">
        <v>2172</v>
      </c>
      <c r="E4170" s="0" t="n">
        <v>42</v>
      </c>
      <c r="F4170" s="0" t="s">
        <v>81</v>
      </c>
      <c r="I4170" s="0" t="n">
        <v>4510</v>
      </c>
      <c r="J4170" s="0" t="n">
        <v>100006</v>
      </c>
      <c r="K4170" s="0" t="n">
        <v>7</v>
      </c>
      <c r="L4170" s="0" t="s">
        <v>2228</v>
      </c>
      <c r="N4170" s="0" t="n">
        <v>0.538</v>
      </c>
      <c r="O4170" s="60" t="n">
        <v>18.41</v>
      </c>
    </row>
    <row r="4171" customFormat="false" ht="15" hidden="false" customHeight="false" outlineLevel="0" collapsed="false">
      <c r="A4171" s="0" t="n">
        <v>3</v>
      </c>
      <c r="B4171" s="59" t="n">
        <v>46251</v>
      </c>
      <c r="C4171" s="0" t="n">
        <v>22</v>
      </c>
      <c r="D4171" s="0" t="s">
        <v>2172</v>
      </c>
      <c r="E4171" s="0" t="n">
        <v>42</v>
      </c>
      <c r="F4171" s="0" t="s">
        <v>81</v>
      </c>
      <c r="I4171" s="0" t="n">
        <v>4510</v>
      </c>
      <c r="J4171" s="0" t="n">
        <v>100006</v>
      </c>
      <c r="K4171" s="0" t="n">
        <v>7</v>
      </c>
      <c r="L4171" s="0" t="s">
        <v>2228</v>
      </c>
      <c r="N4171" s="0" t="n">
        <v>6.504</v>
      </c>
      <c r="O4171" s="60" t="n">
        <v>231.91</v>
      </c>
    </row>
    <row r="4172" customFormat="false" ht="15" hidden="false" customHeight="false" outlineLevel="0" collapsed="false">
      <c r="A4172" s="0" t="n">
        <v>3</v>
      </c>
      <c r="B4172" s="59" t="n">
        <v>46251</v>
      </c>
      <c r="C4172" s="0" t="n">
        <v>22</v>
      </c>
      <c r="D4172" s="0" t="s">
        <v>2172</v>
      </c>
      <c r="E4172" s="0" t="n">
        <v>42</v>
      </c>
      <c r="F4172" s="0" t="s">
        <v>81</v>
      </c>
      <c r="I4172" s="0" t="n">
        <v>4510</v>
      </c>
      <c r="J4172" s="0" t="n">
        <v>100008</v>
      </c>
      <c r="K4172" s="0" t="n">
        <v>9</v>
      </c>
      <c r="L4172" s="0" t="s">
        <v>2229</v>
      </c>
      <c r="N4172" s="0" t="n">
        <v>13.64</v>
      </c>
      <c r="O4172" s="60" t="n">
        <v>498.52</v>
      </c>
    </row>
    <row r="4173" customFormat="false" ht="15" hidden="false" customHeight="false" outlineLevel="0" collapsed="false">
      <c r="A4173" s="0" t="n">
        <v>3</v>
      </c>
      <c r="B4173" s="59" t="n">
        <v>46251</v>
      </c>
      <c r="C4173" s="0" t="n">
        <v>22</v>
      </c>
      <c r="D4173" s="0" t="s">
        <v>2172</v>
      </c>
      <c r="E4173" s="0" t="n">
        <v>42</v>
      </c>
      <c r="F4173" s="0" t="s">
        <v>81</v>
      </c>
      <c r="I4173" s="0" t="n">
        <v>4510</v>
      </c>
      <c r="J4173" s="0" t="n">
        <v>100008</v>
      </c>
      <c r="K4173" s="0" t="n">
        <v>9</v>
      </c>
      <c r="L4173" s="0" t="s">
        <v>2229</v>
      </c>
      <c r="N4173" s="0" t="n">
        <v>26.415</v>
      </c>
      <c r="O4173" s="60" t="n">
        <v>926.61</v>
      </c>
    </row>
    <row r="4174" customFormat="false" ht="15" hidden="false" customHeight="false" outlineLevel="0" collapsed="false">
      <c r="A4174" s="0" t="n">
        <v>3</v>
      </c>
      <c r="B4174" s="59" t="n">
        <v>46251</v>
      </c>
      <c r="C4174" s="0" t="n">
        <v>22</v>
      </c>
      <c r="D4174" s="0" t="s">
        <v>2172</v>
      </c>
      <c r="E4174" s="0" t="n">
        <v>42</v>
      </c>
      <c r="F4174" s="0" t="s">
        <v>81</v>
      </c>
      <c r="I4174" s="0" t="n">
        <v>4510</v>
      </c>
      <c r="J4174" s="0" t="n">
        <v>100010</v>
      </c>
      <c r="K4174" s="0" t="n">
        <v>11</v>
      </c>
      <c r="L4174" s="0" t="s">
        <v>2230</v>
      </c>
      <c r="N4174" s="0" t="n">
        <v>2.192</v>
      </c>
      <c r="O4174" s="60" t="n">
        <v>91.84</v>
      </c>
    </row>
    <row r="4175" customFormat="false" ht="15" hidden="false" customHeight="false" outlineLevel="0" collapsed="false">
      <c r="A4175" s="0" t="n">
        <v>3</v>
      </c>
      <c r="B4175" s="59" t="n">
        <v>46251</v>
      </c>
      <c r="C4175" s="0" t="n">
        <v>22</v>
      </c>
      <c r="D4175" s="0" t="s">
        <v>2172</v>
      </c>
      <c r="E4175" s="0" t="n">
        <v>42</v>
      </c>
      <c r="F4175" s="0" t="s">
        <v>81</v>
      </c>
      <c r="I4175" s="0" t="n">
        <v>4510</v>
      </c>
      <c r="J4175" s="0" t="n">
        <v>100011</v>
      </c>
      <c r="K4175" s="0" t="n">
        <v>12</v>
      </c>
      <c r="L4175" s="0" t="s">
        <v>2231</v>
      </c>
      <c r="N4175" s="0" t="n">
        <v>5.684</v>
      </c>
      <c r="O4175" s="60" t="n">
        <v>238.15</v>
      </c>
    </row>
    <row r="4176" customFormat="false" ht="15" hidden="false" customHeight="false" outlineLevel="0" collapsed="false">
      <c r="A4176" s="0" t="n">
        <v>3</v>
      </c>
      <c r="B4176" s="59" t="n">
        <v>46251</v>
      </c>
      <c r="C4176" s="0" t="n">
        <v>22</v>
      </c>
      <c r="D4176" s="0" t="s">
        <v>2172</v>
      </c>
      <c r="E4176" s="0" t="n">
        <v>42</v>
      </c>
      <c r="F4176" s="0" t="s">
        <v>81</v>
      </c>
      <c r="I4176" s="0" t="n">
        <v>4510</v>
      </c>
      <c r="J4176" s="0" t="n">
        <v>100012</v>
      </c>
      <c r="K4176" s="0" t="n">
        <v>13</v>
      </c>
      <c r="L4176" s="0" t="s">
        <v>2232</v>
      </c>
      <c r="N4176" s="0" t="n">
        <v>4.304</v>
      </c>
      <c r="O4176" s="60" t="n">
        <v>195.68</v>
      </c>
    </row>
    <row r="4177" customFormat="false" ht="15" hidden="false" customHeight="false" outlineLevel="0" collapsed="false">
      <c r="A4177" s="0" t="n">
        <v>3</v>
      </c>
      <c r="B4177" s="59" t="n">
        <v>46251</v>
      </c>
      <c r="C4177" s="0" t="n">
        <v>22</v>
      </c>
      <c r="D4177" s="0" t="s">
        <v>2172</v>
      </c>
      <c r="E4177" s="0" t="n">
        <v>42</v>
      </c>
      <c r="F4177" s="0" t="s">
        <v>81</v>
      </c>
      <c r="I4177" s="0" t="n">
        <v>4510</v>
      </c>
      <c r="J4177" s="0" t="n">
        <v>100013</v>
      </c>
      <c r="K4177" s="0" t="n">
        <v>14</v>
      </c>
      <c r="L4177" s="0" t="s">
        <v>2233</v>
      </c>
      <c r="N4177" s="0" t="n">
        <v>10.325</v>
      </c>
      <c r="O4177" s="60" t="n">
        <v>506.25</v>
      </c>
    </row>
    <row r="4178" customFormat="false" ht="15" hidden="false" customHeight="false" outlineLevel="0" collapsed="false">
      <c r="A4178" s="0" t="n">
        <v>3</v>
      </c>
      <c r="B4178" s="59" t="n">
        <v>46251</v>
      </c>
      <c r="C4178" s="0" t="n">
        <v>22</v>
      </c>
      <c r="D4178" s="0" t="s">
        <v>2172</v>
      </c>
      <c r="E4178" s="0" t="n">
        <v>42</v>
      </c>
      <c r="F4178" s="0" t="s">
        <v>81</v>
      </c>
      <c r="I4178" s="0" t="n">
        <v>4510</v>
      </c>
      <c r="J4178" s="0" t="n">
        <v>100014</v>
      </c>
      <c r="K4178" s="0" t="n">
        <v>15</v>
      </c>
      <c r="L4178" s="0" t="s">
        <v>2234</v>
      </c>
      <c r="N4178" s="0" t="n">
        <v>3.386</v>
      </c>
      <c r="O4178" s="60" t="n">
        <v>169.04</v>
      </c>
    </row>
    <row r="4179" customFormat="false" ht="15" hidden="false" customHeight="false" outlineLevel="0" collapsed="false">
      <c r="A4179" s="0" t="n">
        <v>3</v>
      </c>
      <c r="B4179" s="59" t="n">
        <v>46251</v>
      </c>
      <c r="C4179" s="0" t="n">
        <v>22</v>
      </c>
      <c r="D4179" s="0" t="s">
        <v>2172</v>
      </c>
      <c r="E4179" s="0" t="n">
        <v>42</v>
      </c>
      <c r="F4179" s="0" t="s">
        <v>81</v>
      </c>
      <c r="I4179" s="0" t="n">
        <v>4510</v>
      </c>
      <c r="J4179" s="0" t="n">
        <v>100015</v>
      </c>
      <c r="K4179" s="0" t="n">
        <v>16</v>
      </c>
      <c r="L4179" s="0" t="s">
        <v>2235</v>
      </c>
      <c r="N4179" s="0" t="n">
        <v>1.57</v>
      </c>
      <c r="O4179" s="60" t="n">
        <v>71.38</v>
      </c>
    </row>
    <row r="4180" customFormat="false" ht="15" hidden="false" customHeight="false" outlineLevel="0" collapsed="false">
      <c r="A4180" s="0" t="n">
        <v>3</v>
      </c>
      <c r="B4180" s="59" t="n">
        <v>46251</v>
      </c>
      <c r="C4180" s="0" t="n">
        <v>22</v>
      </c>
      <c r="D4180" s="0" t="s">
        <v>2172</v>
      </c>
      <c r="E4180" s="0" t="n">
        <v>42</v>
      </c>
      <c r="F4180" s="0" t="s">
        <v>81</v>
      </c>
      <c r="I4180" s="0" t="n">
        <v>4510</v>
      </c>
      <c r="J4180" s="0" t="n">
        <v>100016</v>
      </c>
      <c r="K4180" s="0" t="n">
        <v>17</v>
      </c>
      <c r="L4180" s="0" t="s">
        <v>2236</v>
      </c>
      <c r="N4180" s="0" t="n">
        <v>1.718</v>
      </c>
      <c r="O4180" s="60" t="n">
        <v>84.24</v>
      </c>
    </row>
    <row r="4181" customFormat="false" ht="15" hidden="false" customHeight="false" outlineLevel="0" collapsed="false">
      <c r="A4181" s="0" t="n">
        <v>3</v>
      </c>
      <c r="B4181" s="59" t="n">
        <v>46251</v>
      </c>
      <c r="C4181" s="0" t="n">
        <v>22</v>
      </c>
      <c r="D4181" s="0" t="s">
        <v>2172</v>
      </c>
      <c r="E4181" s="0" t="n">
        <v>42</v>
      </c>
      <c r="F4181" s="0" t="s">
        <v>81</v>
      </c>
      <c r="I4181" s="0" t="n">
        <v>4510</v>
      </c>
      <c r="J4181" s="0" t="n">
        <v>100017</v>
      </c>
      <c r="K4181" s="0" t="n">
        <v>18</v>
      </c>
      <c r="L4181" s="0" t="s">
        <v>2237</v>
      </c>
      <c r="N4181" s="0" t="n">
        <v>1.76</v>
      </c>
      <c r="O4181" s="60" t="n">
        <v>101.99</v>
      </c>
    </row>
    <row r="4182" customFormat="false" ht="15" hidden="false" customHeight="false" outlineLevel="0" collapsed="false">
      <c r="A4182" s="0" t="n">
        <v>3</v>
      </c>
      <c r="B4182" s="59" t="n">
        <v>46251</v>
      </c>
      <c r="C4182" s="0" t="n">
        <v>22</v>
      </c>
      <c r="D4182" s="0" t="s">
        <v>2172</v>
      </c>
      <c r="E4182" s="0" t="n">
        <v>42</v>
      </c>
      <c r="F4182" s="0" t="s">
        <v>81</v>
      </c>
      <c r="I4182" s="0" t="n">
        <v>4510</v>
      </c>
      <c r="J4182" s="0" t="n">
        <v>100053</v>
      </c>
      <c r="K4182" s="0" t="n">
        <v>54</v>
      </c>
      <c r="L4182" s="0" t="s">
        <v>2238</v>
      </c>
      <c r="N4182" s="0" t="n">
        <v>2.022</v>
      </c>
      <c r="O4182" s="60" t="n">
        <v>81.11</v>
      </c>
    </row>
    <row r="4183" customFormat="false" ht="15" hidden="false" customHeight="false" outlineLevel="0" collapsed="false">
      <c r="A4183" s="0" t="n">
        <v>3</v>
      </c>
      <c r="B4183" s="59" t="n">
        <v>46251</v>
      </c>
      <c r="C4183" s="0" t="n">
        <v>22</v>
      </c>
      <c r="D4183" s="0" t="s">
        <v>2172</v>
      </c>
      <c r="E4183" s="0" t="n">
        <v>42</v>
      </c>
      <c r="F4183" s="0" t="s">
        <v>81</v>
      </c>
      <c r="I4183" s="0" t="n">
        <v>4510</v>
      </c>
      <c r="J4183" s="0" t="n">
        <v>100053</v>
      </c>
      <c r="K4183" s="0" t="n">
        <v>54</v>
      </c>
      <c r="L4183" s="0" t="s">
        <v>2238</v>
      </c>
      <c r="N4183" s="0" t="n">
        <v>2.95</v>
      </c>
      <c r="O4183" s="60" t="n">
        <v>113.58</v>
      </c>
    </row>
    <row r="4184" customFormat="false" ht="15" hidden="false" customHeight="false" outlineLevel="0" collapsed="false">
      <c r="A4184" s="0" t="n">
        <v>3</v>
      </c>
      <c r="B4184" s="59" t="n">
        <v>46251</v>
      </c>
      <c r="C4184" s="0" t="n">
        <v>22</v>
      </c>
      <c r="D4184" s="0" t="s">
        <v>2172</v>
      </c>
      <c r="E4184" s="0" t="n">
        <v>42</v>
      </c>
      <c r="F4184" s="0" t="s">
        <v>81</v>
      </c>
      <c r="I4184" s="0" t="n">
        <v>4510</v>
      </c>
      <c r="J4184" s="0" t="n">
        <v>100638</v>
      </c>
      <c r="K4184" s="0" t="n">
        <v>508</v>
      </c>
      <c r="L4184" s="0" t="s">
        <v>2178</v>
      </c>
      <c r="N4184" s="0" t="n">
        <v>5.116</v>
      </c>
      <c r="O4184" s="60" t="n">
        <v>9.08</v>
      </c>
    </row>
    <row r="4185" customFormat="false" ht="15" hidden="false" customHeight="false" outlineLevel="0" collapsed="false">
      <c r="A4185" s="0" t="n">
        <v>3</v>
      </c>
      <c r="B4185" s="59" t="n">
        <v>46251</v>
      </c>
      <c r="C4185" s="0" t="n">
        <v>22</v>
      </c>
      <c r="D4185" s="0" t="s">
        <v>2172</v>
      </c>
      <c r="E4185" s="0" t="n">
        <v>42</v>
      </c>
      <c r="F4185" s="0" t="s">
        <v>81</v>
      </c>
      <c r="I4185" s="0" t="n">
        <v>4510</v>
      </c>
      <c r="J4185" s="0" t="n">
        <v>100638</v>
      </c>
      <c r="K4185" s="0" t="n">
        <v>508</v>
      </c>
      <c r="L4185" s="0" t="s">
        <v>2178</v>
      </c>
      <c r="N4185" s="0" t="n">
        <v>0.474</v>
      </c>
      <c r="O4185" s="60" t="n">
        <v>0.81</v>
      </c>
    </row>
    <row r="4186" customFormat="false" ht="15" hidden="false" customHeight="false" outlineLevel="0" collapsed="false">
      <c r="A4186" s="0" t="n">
        <v>3</v>
      </c>
      <c r="B4186" s="59" t="n">
        <v>46251</v>
      </c>
      <c r="C4186" s="0" t="n">
        <v>22</v>
      </c>
      <c r="D4186" s="0" t="s">
        <v>2172</v>
      </c>
      <c r="E4186" s="0" t="n">
        <v>42</v>
      </c>
      <c r="F4186" s="0" t="s">
        <v>81</v>
      </c>
      <c r="I4186" s="0" t="n">
        <v>4510</v>
      </c>
      <c r="J4186" s="0" t="n">
        <v>100520</v>
      </c>
      <c r="K4186" s="0" t="n">
        <v>507</v>
      </c>
      <c r="L4186" s="0" t="s">
        <v>2179</v>
      </c>
      <c r="N4186" s="0" t="n">
        <v>11.556</v>
      </c>
      <c r="O4186" s="60" t="n">
        <v>30.81</v>
      </c>
    </row>
    <row r="4187" customFormat="false" ht="15" hidden="false" customHeight="false" outlineLevel="0" collapsed="false">
      <c r="A4187" s="0" t="n">
        <v>3</v>
      </c>
      <c r="B4187" s="59" t="n">
        <v>46251</v>
      </c>
      <c r="C4187" s="0" t="n">
        <v>22</v>
      </c>
      <c r="D4187" s="0" t="s">
        <v>2172</v>
      </c>
      <c r="E4187" s="0" t="n">
        <v>42</v>
      </c>
      <c r="F4187" s="0" t="s">
        <v>81</v>
      </c>
      <c r="I4187" s="0" t="n">
        <v>4510</v>
      </c>
      <c r="J4187" s="0" t="n">
        <v>100520</v>
      </c>
      <c r="K4187" s="0" t="n">
        <v>507</v>
      </c>
      <c r="L4187" s="0" t="s">
        <v>2179</v>
      </c>
      <c r="N4187" s="0" t="n">
        <v>2.42</v>
      </c>
      <c r="O4187" s="60" t="n">
        <v>6.19</v>
      </c>
    </row>
    <row r="4188" customFormat="false" ht="15" hidden="false" customHeight="false" outlineLevel="0" collapsed="false">
      <c r="A4188" s="0" t="n">
        <v>3</v>
      </c>
      <c r="B4188" s="59" t="n">
        <v>46251</v>
      </c>
      <c r="C4188" s="0" t="n">
        <v>22</v>
      </c>
      <c r="D4188" s="0" t="s">
        <v>2172</v>
      </c>
      <c r="E4188" s="0" t="n">
        <v>42</v>
      </c>
      <c r="F4188" s="0" t="s">
        <v>81</v>
      </c>
      <c r="I4188" s="0" t="n">
        <v>4510</v>
      </c>
      <c r="J4188" s="0" t="n">
        <v>110455</v>
      </c>
      <c r="K4188" s="0" t="n">
        <v>53212</v>
      </c>
      <c r="L4188" s="0" t="s">
        <v>2180</v>
      </c>
      <c r="N4188" s="0" t="n">
        <v>0.503</v>
      </c>
      <c r="O4188" s="60" t="n">
        <v>0</v>
      </c>
    </row>
    <row r="4189" customFormat="false" ht="15" hidden="false" customHeight="false" outlineLevel="0" collapsed="false">
      <c r="A4189" s="0" t="n">
        <v>3</v>
      </c>
      <c r="B4189" s="59" t="n">
        <v>46251</v>
      </c>
      <c r="C4189" s="0" t="n">
        <v>22</v>
      </c>
      <c r="D4189" s="0" t="s">
        <v>2172</v>
      </c>
      <c r="E4189" s="0" t="n">
        <v>42</v>
      </c>
      <c r="F4189" s="0" t="s">
        <v>81</v>
      </c>
      <c r="I4189" s="0" t="n">
        <v>4510</v>
      </c>
      <c r="J4189" s="0" t="n">
        <v>110455</v>
      </c>
      <c r="K4189" s="0" t="n">
        <v>53212</v>
      </c>
      <c r="L4189" s="0" t="s">
        <v>2180</v>
      </c>
      <c r="N4189" s="0" t="n">
        <v>0.223</v>
      </c>
      <c r="O4189" s="60" t="n">
        <v>0</v>
      </c>
    </row>
    <row r="4190" customFormat="false" ht="15" hidden="false" customHeight="false" outlineLevel="0" collapsed="false">
      <c r="A4190" s="0" t="n">
        <v>3</v>
      </c>
      <c r="B4190" s="59" t="n">
        <v>46251</v>
      </c>
      <c r="C4190" s="0" t="n">
        <v>22</v>
      </c>
      <c r="D4190" s="0" t="s">
        <v>2172</v>
      </c>
      <c r="E4190" s="0" t="n">
        <v>42</v>
      </c>
      <c r="F4190" s="0" t="s">
        <v>81</v>
      </c>
      <c r="I4190" s="0" t="n">
        <v>4512</v>
      </c>
      <c r="J4190" s="0" t="n">
        <v>100000</v>
      </c>
      <c r="K4190" s="0" t="n">
        <v>1</v>
      </c>
      <c r="L4190" s="0" t="s">
        <v>2173</v>
      </c>
      <c r="N4190" s="0" t="n">
        <v>3.104</v>
      </c>
      <c r="O4190" s="60" t="n">
        <v>75.58</v>
      </c>
    </row>
    <row r="4191" customFormat="false" ht="15" hidden="false" customHeight="false" outlineLevel="0" collapsed="false">
      <c r="A4191" s="0" t="n">
        <v>3</v>
      </c>
      <c r="B4191" s="59" t="n">
        <v>46251</v>
      </c>
      <c r="C4191" s="0" t="n">
        <v>22</v>
      </c>
      <c r="D4191" s="0" t="s">
        <v>2172</v>
      </c>
      <c r="E4191" s="0" t="n">
        <v>42</v>
      </c>
      <c r="F4191" s="0" t="s">
        <v>81</v>
      </c>
      <c r="I4191" s="0" t="n">
        <v>4512</v>
      </c>
      <c r="J4191" s="0" t="n">
        <v>100006</v>
      </c>
      <c r="K4191" s="0" t="n">
        <v>7</v>
      </c>
      <c r="L4191" s="0" t="s">
        <v>2228</v>
      </c>
      <c r="N4191" s="0" t="n">
        <v>4.402</v>
      </c>
      <c r="O4191" s="60" t="n">
        <v>147.85</v>
      </c>
    </row>
    <row r="4192" customFormat="false" ht="15" hidden="false" customHeight="false" outlineLevel="0" collapsed="false">
      <c r="A4192" s="0" t="n">
        <v>3</v>
      </c>
      <c r="B4192" s="59" t="n">
        <v>46251</v>
      </c>
      <c r="C4192" s="0" t="n">
        <v>22</v>
      </c>
      <c r="D4192" s="0" t="s">
        <v>2172</v>
      </c>
      <c r="E4192" s="0" t="n">
        <v>42</v>
      </c>
      <c r="F4192" s="0" t="s">
        <v>81</v>
      </c>
      <c r="I4192" s="0" t="n">
        <v>4512</v>
      </c>
      <c r="J4192" s="0" t="n">
        <v>100008</v>
      </c>
      <c r="K4192" s="0" t="n">
        <v>9</v>
      </c>
      <c r="L4192" s="0" t="s">
        <v>2229</v>
      </c>
      <c r="N4192" s="0" t="n">
        <v>15.53</v>
      </c>
      <c r="O4192" s="60" t="n">
        <v>534.64</v>
      </c>
    </row>
    <row r="4193" customFormat="false" ht="15" hidden="false" customHeight="false" outlineLevel="0" collapsed="false">
      <c r="A4193" s="0" t="n">
        <v>3</v>
      </c>
      <c r="B4193" s="59" t="n">
        <v>46251</v>
      </c>
      <c r="C4193" s="0" t="n">
        <v>22</v>
      </c>
      <c r="D4193" s="0" t="s">
        <v>2172</v>
      </c>
      <c r="E4193" s="0" t="n">
        <v>42</v>
      </c>
      <c r="F4193" s="0" t="s">
        <v>81</v>
      </c>
      <c r="I4193" s="0" t="n">
        <v>4512</v>
      </c>
      <c r="J4193" s="0" t="n">
        <v>100010</v>
      </c>
      <c r="K4193" s="0" t="n">
        <v>11</v>
      </c>
      <c r="L4193" s="0" t="s">
        <v>2230</v>
      </c>
      <c r="N4193" s="0" t="n">
        <v>3.704</v>
      </c>
      <c r="O4193" s="60" t="n">
        <v>146.18</v>
      </c>
    </row>
    <row r="4194" customFormat="false" ht="15" hidden="false" customHeight="false" outlineLevel="0" collapsed="false">
      <c r="A4194" s="0" t="n">
        <v>3</v>
      </c>
      <c r="B4194" s="59" t="n">
        <v>46251</v>
      </c>
      <c r="C4194" s="0" t="n">
        <v>22</v>
      </c>
      <c r="D4194" s="0" t="s">
        <v>2172</v>
      </c>
      <c r="E4194" s="0" t="n">
        <v>42</v>
      </c>
      <c r="F4194" s="0" t="s">
        <v>81</v>
      </c>
      <c r="I4194" s="0" t="n">
        <v>4512</v>
      </c>
      <c r="J4194" s="0" t="n">
        <v>100011</v>
      </c>
      <c r="K4194" s="0" t="n">
        <v>12</v>
      </c>
      <c r="L4194" s="0" t="s">
        <v>2231</v>
      </c>
      <c r="N4194" s="0" t="n">
        <v>6.495</v>
      </c>
      <c r="O4194" s="60" t="n">
        <v>256.33</v>
      </c>
    </row>
    <row r="4195" customFormat="false" ht="15" hidden="false" customHeight="false" outlineLevel="0" collapsed="false">
      <c r="A4195" s="0" t="n">
        <v>3</v>
      </c>
      <c r="B4195" s="59" t="n">
        <v>46251</v>
      </c>
      <c r="C4195" s="0" t="n">
        <v>22</v>
      </c>
      <c r="D4195" s="0" t="s">
        <v>2172</v>
      </c>
      <c r="E4195" s="0" t="n">
        <v>42</v>
      </c>
      <c r="F4195" s="0" t="s">
        <v>81</v>
      </c>
      <c r="I4195" s="0" t="n">
        <v>4512</v>
      </c>
      <c r="J4195" s="0" t="n">
        <v>100012</v>
      </c>
      <c r="K4195" s="0" t="n">
        <v>13</v>
      </c>
      <c r="L4195" s="0" t="s">
        <v>2232</v>
      </c>
      <c r="N4195" s="0" t="n">
        <v>5.532</v>
      </c>
      <c r="O4195" s="60" t="n">
        <v>236.91</v>
      </c>
    </row>
    <row r="4196" customFormat="false" ht="15" hidden="false" customHeight="false" outlineLevel="0" collapsed="false">
      <c r="A4196" s="0" t="n">
        <v>3</v>
      </c>
      <c r="B4196" s="59" t="n">
        <v>46251</v>
      </c>
      <c r="C4196" s="0" t="n">
        <v>22</v>
      </c>
      <c r="D4196" s="0" t="s">
        <v>2172</v>
      </c>
      <c r="E4196" s="0" t="n">
        <v>42</v>
      </c>
      <c r="F4196" s="0" t="s">
        <v>81</v>
      </c>
      <c r="I4196" s="0" t="n">
        <v>4512</v>
      </c>
      <c r="J4196" s="0" t="n">
        <v>100013</v>
      </c>
      <c r="K4196" s="0" t="n">
        <v>14</v>
      </c>
      <c r="L4196" s="0" t="s">
        <v>2233</v>
      </c>
      <c r="N4196" s="0" t="n">
        <v>11.14</v>
      </c>
      <c r="O4196" s="60" t="n">
        <v>514.49</v>
      </c>
    </row>
    <row r="4197" customFormat="false" ht="15" hidden="false" customHeight="false" outlineLevel="0" collapsed="false">
      <c r="A4197" s="0" t="n">
        <v>3</v>
      </c>
      <c r="B4197" s="59" t="n">
        <v>46251</v>
      </c>
      <c r="C4197" s="0" t="n">
        <v>22</v>
      </c>
      <c r="D4197" s="0" t="s">
        <v>2172</v>
      </c>
      <c r="E4197" s="0" t="n">
        <v>42</v>
      </c>
      <c r="F4197" s="0" t="s">
        <v>81</v>
      </c>
      <c r="I4197" s="0" t="n">
        <v>4512</v>
      </c>
      <c r="J4197" s="0" t="n">
        <v>100014</v>
      </c>
      <c r="K4197" s="0" t="n">
        <v>15</v>
      </c>
      <c r="L4197" s="0" t="s">
        <v>2234</v>
      </c>
      <c r="N4197" s="0" t="n">
        <v>4.216</v>
      </c>
      <c r="O4197" s="60" t="n">
        <v>198.25</v>
      </c>
    </row>
    <row r="4198" customFormat="false" ht="15" hidden="false" customHeight="false" outlineLevel="0" collapsed="false">
      <c r="A4198" s="0" t="n">
        <v>3</v>
      </c>
      <c r="B4198" s="59" t="n">
        <v>46251</v>
      </c>
      <c r="C4198" s="0" t="n">
        <v>22</v>
      </c>
      <c r="D4198" s="0" t="s">
        <v>2172</v>
      </c>
      <c r="E4198" s="0" t="n">
        <v>42</v>
      </c>
      <c r="F4198" s="0" t="s">
        <v>81</v>
      </c>
      <c r="I4198" s="0" t="n">
        <v>4512</v>
      </c>
      <c r="J4198" s="0" t="n">
        <v>100015</v>
      </c>
      <c r="K4198" s="0" t="n">
        <v>16</v>
      </c>
      <c r="L4198" s="0" t="s">
        <v>2235</v>
      </c>
      <c r="N4198" s="0" t="n">
        <v>1.664</v>
      </c>
      <c r="O4198" s="60" t="n">
        <v>71.26</v>
      </c>
    </row>
    <row r="4199" customFormat="false" ht="15" hidden="false" customHeight="false" outlineLevel="0" collapsed="false">
      <c r="A4199" s="0" t="n">
        <v>3</v>
      </c>
      <c r="B4199" s="59" t="n">
        <v>46251</v>
      </c>
      <c r="C4199" s="0" t="n">
        <v>22</v>
      </c>
      <c r="D4199" s="0" t="s">
        <v>2172</v>
      </c>
      <c r="E4199" s="0" t="n">
        <v>42</v>
      </c>
      <c r="F4199" s="0" t="s">
        <v>81</v>
      </c>
      <c r="I4199" s="0" t="n">
        <v>4512</v>
      </c>
      <c r="J4199" s="0" t="n">
        <v>100016</v>
      </c>
      <c r="K4199" s="0" t="n">
        <v>17</v>
      </c>
      <c r="L4199" s="0" t="s">
        <v>2236</v>
      </c>
      <c r="N4199" s="0" t="n">
        <v>2.22</v>
      </c>
      <c r="O4199" s="60" t="n">
        <v>102.53</v>
      </c>
    </row>
    <row r="4200" customFormat="false" ht="15" hidden="false" customHeight="false" outlineLevel="0" collapsed="false">
      <c r="A4200" s="0" t="n">
        <v>3</v>
      </c>
      <c r="B4200" s="59" t="n">
        <v>46251</v>
      </c>
      <c r="C4200" s="0" t="n">
        <v>22</v>
      </c>
      <c r="D4200" s="0" t="s">
        <v>2172</v>
      </c>
      <c r="E4200" s="0" t="n">
        <v>42</v>
      </c>
      <c r="F4200" s="0" t="s">
        <v>81</v>
      </c>
      <c r="I4200" s="0" t="n">
        <v>4512</v>
      </c>
      <c r="J4200" s="0" t="n">
        <v>100017</v>
      </c>
      <c r="K4200" s="0" t="n">
        <v>18</v>
      </c>
      <c r="L4200" s="0" t="s">
        <v>2237</v>
      </c>
      <c r="N4200" s="0" t="n">
        <v>1.932</v>
      </c>
      <c r="O4200" s="60" t="n">
        <v>105.45</v>
      </c>
    </row>
    <row r="4201" customFormat="false" ht="15" hidden="false" customHeight="false" outlineLevel="0" collapsed="false">
      <c r="A4201" s="0" t="n">
        <v>3</v>
      </c>
      <c r="B4201" s="59" t="n">
        <v>46251</v>
      </c>
      <c r="C4201" s="0" t="n">
        <v>22</v>
      </c>
      <c r="D4201" s="0" t="s">
        <v>2172</v>
      </c>
      <c r="E4201" s="0" t="n">
        <v>42</v>
      </c>
      <c r="F4201" s="0" t="s">
        <v>81</v>
      </c>
      <c r="I4201" s="0" t="n">
        <v>4512</v>
      </c>
      <c r="J4201" s="0" t="n">
        <v>100053</v>
      </c>
      <c r="K4201" s="0" t="n">
        <v>54</v>
      </c>
      <c r="L4201" s="0" t="s">
        <v>2238</v>
      </c>
      <c r="N4201" s="0" t="n">
        <v>1.822</v>
      </c>
      <c r="O4201" s="60" t="n">
        <v>68.85</v>
      </c>
    </row>
    <row r="4202" customFormat="false" ht="15" hidden="false" customHeight="false" outlineLevel="0" collapsed="false">
      <c r="A4202" s="0" t="n">
        <v>3</v>
      </c>
      <c r="B4202" s="59" t="n">
        <v>46251</v>
      </c>
      <c r="C4202" s="0" t="n">
        <v>22</v>
      </c>
      <c r="D4202" s="0" t="s">
        <v>2172</v>
      </c>
      <c r="E4202" s="0" t="n">
        <v>42</v>
      </c>
      <c r="F4202" s="0" t="s">
        <v>81</v>
      </c>
      <c r="I4202" s="0" t="n">
        <v>4512</v>
      </c>
      <c r="J4202" s="0" t="n">
        <v>100638</v>
      </c>
      <c r="K4202" s="0" t="n">
        <v>508</v>
      </c>
      <c r="L4202" s="0" t="s">
        <v>2178</v>
      </c>
      <c r="N4202" s="0" t="n">
        <v>2.798</v>
      </c>
      <c r="O4202" s="60" t="n">
        <v>4.68</v>
      </c>
    </row>
    <row r="4203" customFormat="false" ht="15" hidden="false" customHeight="false" outlineLevel="0" collapsed="false">
      <c r="A4203" s="0" t="n">
        <v>3</v>
      </c>
      <c r="B4203" s="59" t="n">
        <v>46251</v>
      </c>
      <c r="C4203" s="0" t="n">
        <v>22</v>
      </c>
      <c r="D4203" s="0" t="s">
        <v>2172</v>
      </c>
      <c r="E4203" s="0" t="n">
        <v>42</v>
      </c>
      <c r="F4203" s="0" t="s">
        <v>81</v>
      </c>
      <c r="I4203" s="0" t="n">
        <v>4512</v>
      </c>
      <c r="J4203" s="0" t="n">
        <v>100520</v>
      </c>
      <c r="K4203" s="0" t="n">
        <v>507</v>
      </c>
      <c r="L4203" s="0" t="s">
        <v>2179</v>
      </c>
      <c r="N4203" s="0" t="n">
        <v>10.04</v>
      </c>
      <c r="O4203" s="60" t="n">
        <v>25.21</v>
      </c>
    </row>
    <row r="4204" customFormat="false" ht="15" hidden="false" customHeight="false" outlineLevel="0" collapsed="false">
      <c r="A4204" s="0" t="n">
        <v>3</v>
      </c>
      <c r="B4204" s="59" t="n">
        <v>46251</v>
      </c>
      <c r="C4204" s="0" t="n">
        <v>22</v>
      </c>
      <c r="D4204" s="0" t="s">
        <v>2172</v>
      </c>
      <c r="E4204" s="0" t="n">
        <v>42</v>
      </c>
      <c r="F4204" s="0" t="s">
        <v>81</v>
      </c>
      <c r="I4204" s="0" t="n">
        <v>4512</v>
      </c>
      <c r="J4204" s="0" t="n">
        <v>110455</v>
      </c>
      <c r="K4204" s="0" t="n">
        <v>53212</v>
      </c>
      <c r="L4204" s="0" t="s">
        <v>2180</v>
      </c>
      <c r="N4204" s="0" t="n">
        <v>0.801</v>
      </c>
      <c r="O4204" s="60" t="n">
        <v>0</v>
      </c>
    </row>
    <row r="4205" customFormat="false" ht="15" hidden="false" customHeight="false" outlineLevel="0" collapsed="false">
      <c r="A4205" s="0" t="n">
        <v>3</v>
      </c>
      <c r="B4205" s="59" t="n">
        <v>46251</v>
      </c>
      <c r="C4205" s="0" t="n">
        <v>22</v>
      </c>
      <c r="D4205" s="0" t="s">
        <v>2172</v>
      </c>
      <c r="E4205" s="0" t="n">
        <v>42</v>
      </c>
      <c r="F4205" s="0" t="s">
        <v>81</v>
      </c>
      <c r="I4205" s="0" t="n">
        <v>4514</v>
      </c>
      <c r="J4205" s="0" t="n">
        <v>100000</v>
      </c>
      <c r="K4205" s="0" t="n">
        <v>1</v>
      </c>
      <c r="L4205" s="0" t="s">
        <v>2173</v>
      </c>
      <c r="N4205" s="0" t="n">
        <v>2.032</v>
      </c>
      <c r="O4205" s="60" t="n">
        <v>44.71</v>
      </c>
    </row>
    <row r="4206" customFormat="false" ht="15" hidden="false" customHeight="false" outlineLevel="0" collapsed="false">
      <c r="A4206" s="0" t="n">
        <v>3</v>
      </c>
      <c r="B4206" s="59" t="n">
        <v>46251</v>
      </c>
      <c r="C4206" s="0" t="n">
        <v>22</v>
      </c>
      <c r="D4206" s="0" t="s">
        <v>2172</v>
      </c>
      <c r="E4206" s="0" t="n">
        <v>42</v>
      </c>
      <c r="F4206" s="0" t="s">
        <v>81</v>
      </c>
      <c r="I4206" s="0" t="n">
        <v>4514</v>
      </c>
      <c r="J4206" s="0" t="n">
        <v>100001</v>
      </c>
      <c r="K4206" s="0" t="n">
        <v>2</v>
      </c>
      <c r="L4206" s="0" t="s">
        <v>2174</v>
      </c>
      <c r="N4206" s="0" t="n">
        <v>9.125</v>
      </c>
      <c r="O4206" s="60" t="n">
        <v>214.63</v>
      </c>
    </row>
    <row r="4207" customFormat="false" ht="15" hidden="false" customHeight="false" outlineLevel="0" collapsed="false">
      <c r="A4207" s="0" t="n">
        <v>3</v>
      </c>
      <c r="B4207" s="59" t="n">
        <v>46251</v>
      </c>
      <c r="C4207" s="0" t="n">
        <v>22</v>
      </c>
      <c r="D4207" s="0" t="s">
        <v>2172</v>
      </c>
      <c r="E4207" s="0" t="n">
        <v>42</v>
      </c>
      <c r="F4207" s="0" t="s">
        <v>81</v>
      </c>
      <c r="I4207" s="0" t="n">
        <v>4514</v>
      </c>
      <c r="J4207" s="0" t="n">
        <v>100002</v>
      </c>
      <c r="K4207" s="0" t="n">
        <v>3</v>
      </c>
      <c r="L4207" s="0" t="s">
        <v>2175</v>
      </c>
      <c r="N4207" s="0" t="n">
        <v>14.075</v>
      </c>
      <c r="O4207" s="60" t="n">
        <v>341.74</v>
      </c>
    </row>
    <row r="4208" customFormat="false" ht="15" hidden="false" customHeight="false" outlineLevel="0" collapsed="false">
      <c r="A4208" s="0" t="n">
        <v>3</v>
      </c>
      <c r="B4208" s="59" t="n">
        <v>46251</v>
      </c>
      <c r="C4208" s="0" t="n">
        <v>22</v>
      </c>
      <c r="D4208" s="0" t="s">
        <v>2172</v>
      </c>
      <c r="E4208" s="0" t="n">
        <v>42</v>
      </c>
      <c r="F4208" s="0" t="s">
        <v>81</v>
      </c>
      <c r="I4208" s="0" t="n">
        <v>4514</v>
      </c>
      <c r="J4208" s="0" t="n">
        <v>100003</v>
      </c>
      <c r="K4208" s="0" t="n">
        <v>4</v>
      </c>
      <c r="L4208" s="0" t="s">
        <v>2176</v>
      </c>
      <c r="N4208" s="0" t="n">
        <v>16.055</v>
      </c>
      <c r="O4208" s="60" t="n">
        <v>426.38</v>
      </c>
    </row>
    <row r="4209" customFormat="false" ht="15" hidden="false" customHeight="false" outlineLevel="0" collapsed="false">
      <c r="A4209" s="0" t="n">
        <v>3</v>
      </c>
      <c r="B4209" s="59" t="n">
        <v>46251</v>
      </c>
      <c r="C4209" s="0" t="n">
        <v>22</v>
      </c>
      <c r="D4209" s="0" t="s">
        <v>2172</v>
      </c>
      <c r="E4209" s="0" t="n">
        <v>42</v>
      </c>
      <c r="F4209" s="0" t="s">
        <v>81</v>
      </c>
      <c r="I4209" s="0" t="n">
        <v>4514</v>
      </c>
      <c r="J4209" s="0" t="n">
        <v>100007</v>
      </c>
      <c r="K4209" s="0" t="n">
        <v>8</v>
      </c>
      <c r="L4209" s="0" t="s">
        <v>2177</v>
      </c>
      <c r="N4209" s="0" t="n">
        <v>3.994</v>
      </c>
      <c r="O4209" s="60" t="n">
        <v>103.04</v>
      </c>
    </row>
    <row r="4210" customFormat="false" ht="15" hidden="false" customHeight="false" outlineLevel="0" collapsed="false">
      <c r="A4210" s="0" t="n">
        <v>3</v>
      </c>
      <c r="B4210" s="59" t="n">
        <v>46251</v>
      </c>
      <c r="C4210" s="0" t="n">
        <v>22</v>
      </c>
      <c r="D4210" s="0" t="s">
        <v>2172</v>
      </c>
      <c r="E4210" s="0" t="n">
        <v>42</v>
      </c>
      <c r="F4210" s="0" t="s">
        <v>81</v>
      </c>
      <c r="I4210" s="0" t="n">
        <v>4514</v>
      </c>
      <c r="J4210" s="0" t="n">
        <v>100638</v>
      </c>
      <c r="K4210" s="0" t="n">
        <v>508</v>
      </c>
      <c r="L4210" s="0" t="s">
        <v>2178</v>
      </c>
      <c r="N4210" s="0" t="n">
        <v>1.642</v>
      </c>
      <c r="O4210" s="60" t="n">
        <v>2.48</v>
      </c>
    </row>
    <row r="4211" customFormat="false" ht="15" hidden="false" customHeight="false" outlineLevel="0" collapsed="false">
      <c r="A4211" s="0" t="n">
        <v>3</v>
      </c>
      <c r="B4211" s="59" t="n">
        <v>46251</v>
      </c>
      <c r="C4211" s="0" t="n">
        <v>22</v>
      </c>
      <c r="D4211" s="0" t="s">
        <v>2172</v>
      </c>
      <c r="E4211" s="0" t="n">
        <v>42</v>
      </c>
      <c r="F4211" s="0" t="s">
        <v>81</v>
      </c>
      <c r="I4211" s="0" t="n">
        <v>4514</v>
      </c>
      <c r="J4211" s="0" t="n">
        <v>100520</v>
      </c>
      <c r="K4211" s="0" t="n">
        <v>507</v>
      </c>
      <c r="L4211" s="0" t="s">
        <v>2179</v>
      </c>
      <c r="N4211" s="0" t="n">
        <v>2.432</v>
      </c>
      <c r="O4211" s="60" t="n">
        <v>5.52</v>
      </c>
    </row>
    <row r="4212" customFormat="false" ht="15" hidden="false" customHeight="false" outlineLevel="0" collapsed="false">
      <c r="A4212" s="0" t="n">
        <v>3</v>
      </c>
      <c r="B4212" s="59" t="n">
        <v>46251</v>
      </c>
      <c r="C4212" s="0" t="n">
        <v>22</v>
      </c>
      <c r="D4212" s="0" t="s">
        <v>2172</v>
      </c>
      <c r="E4212" s="0" t="n">
        <v>42</v>
      </c>
      <c r="F4212" s="0" t="s">
        <v>81</v>
      </c>
      <c r="I4212" s="0" t="n">
        <v>4514</v>
      </c>
      <c r="J4212" s="0" t="n">
        <v>110455</v>
      </c>
      <c r="K4212" s="0" t="n">
        <v>53212</v>
      </c>
      <c r="L4212" s="0" t="s">
        <v>2180</v>
      </c>
      <c r="N4212" s="0" t="n">
        <v>0.145</v>
      </c>
      <c r="O4212" s="60" t="n">
        <v>0</v>
      </c>
    </row>
    <row r="4213" customFormat="false" ht="15" hidden="false" customHeight="false" outlineLevel="0" collapsed="false">
      <c r="A4213" s="0" t="n">
        <v>3</v>
      </c>
      <c r="B4213" s="59" t="n">
        <v>46251</v>
      </c>
      <c r="C4213" s="0" t="n">
        <v>100</v>
      </c>
      <c r="D4213" s="0" t="s">
        <v>2181</v>
      </c>
      <c r="E4213" s="0" t="n">
        <v>42</v>
      </c>
      <c r="F4213" s="0" t="s">
        <v>81</v>
      </c>
      <c r="I4213" s="0" t="n">
        <v>1562347</v>
      </c>
      <c r="J4213" s="0" t="n">
        <v>100006</v>
      </c>
      <c r="K4213" s="0" t="n">
        <v>7</v>
      </c>
      <c r="L4213" s="0" t="s">
        <v>2228</v>
      </c>
      <c r="N4213" s="0" t="n">
        <v>0.538</v>
      </c>
      <c r="O4213" s="60" t="n">
        <v>18.41</v>
      </c>
    </row>
    <row r="4214" customFormat="false" ht="15" hidden="false" customHeight="false" outlineLevel="0" collapsed="false">
      <c r="A4214" s="0" t="n">
        <v>3</v>
      </c>
      <c r="B4214" s="59" t="n">
        <v>46251</v>
      </c>
      <c r="C4214" s="0" t="n">
        <v>100</v>
      </c>
      <c r="D4214" s="0" t="s">
        <v>2181</v>
      </c>
      <c r="E4214" s="0" t="n">
        <v>42</v>
      </c>
      <c r="F4214" s="0" t="s">
        <v>81</v>
      </c>
      <c r="I4214" s="0" t="n">
        <v>1562347</v>
      </c>
      <c r="J4214" s="0" t="n">
        <v>100008</v>
      </c>
      <c r="K4214" s="0" t="n">
        <v>9</v>
      </c>
      <c r="L4214" s="0" t="s">
        <v>2229</v>
      </c>
      <c r="N4214" s="0" t="n">
        <v>26.415</v>
      </c>
      <c r="O4214" s="60" t="n">
        <v>926.61</v>
      </c>
    </row>
    <row r="4215" customFormat="false" ht="15" hidden="false" customHeight="false" outlineLevel="0" collapsed="false">
      <c r="A4215" s="0" t="n">
        <v>3</v>
      </c>
      <c r="B4215" s="59" t="n">
        <v>46251</v>
      </c>
      <c r="C4215" s="0" t="n">
        <v>100</v>
      </c>
      <c r="D4215" s="0" t="s">
        <v>2181</v>
      </c>
      <c r="E4215" s="0" t="n">
        <v>42</v>
      </c>
      <c r="F4215" s="0" t="s">
        <v>81</v>
      </c>
      <c r="I4215" s="0" t="n">
        <v>1562347</v>
      </c>
      <c r="J4215" s="0" t="n">
        <v>100053</v>
      </c>
      <c r="K4215" s="0" t="n">
        <v>54</v>
      </c>
      <c r="L4215" s="0" t="s">
        <v>2238</v>
      </c>
      <c r="N4215" s="0" t="n">
        <v>2.95</v>
      </c>
      <c r="O4215" s="60" t="n">
        <v>113.58</v>
      </c>
    </row>
    <row r="4216" customFormat="false" ht="15" hidden="false" customHeight="false" outlineLevel="0" collapsed="false">
      <c r="A4216" s="0" t="n">
        <v>3</v>
      </c>
      <c r="B4216" s="59" t="n">
        <v>46251</v>
      </c>
      <c r="C4216" s="0" t="n">
        <v>100</v>
      </c>
      <c r="D4216" s="0" t="s">
        <v>2181</v>
      </c>
      <c r="E4216" s="0" t="n">
        <v>42</v>
      </c>
      <c r="F4216" s="0" t="s">
        <v>81</v>
      </c>
      <c r="I4216" s="0" t="n">
        <v>1562347</v>
      </c>
      <c r="J4216" s="0" t="n">
        <v>100638</v>
      </c>
      <c r="K4216" s="0" t="n">
        <v>508</v>
      </c>
      <c r="L4216" s="0" t="s">
        <v>2178</v>
      </c>
      <c r="N4216" s="0" t="n">
        <v>0.474</v>
      </c>
      <c r="O4216" s="60" t="n">
        <v>0.81</v>
      </c>
    </row>
    <row r="4217" customFormat="false" ht="15" hidden="false" customHeight="false" outlineLevel="0" collapsed="false">
      <c r="A4217" s="0" t="n">
        <v>3</v>
      </c>
      <c r="B4217" s="59" t="n">
        <v>46251</v>
      </c>
      <c r="C4217" s="0" t="n">
        <v>100</v>
      </c>
      <c r="D4217" s="0" t="s">
        <v>2181</v>
      </c>
      <c r="E4217" s="0" t="n">
        <v>42</v>
      </c>
      <c r="F4217" s="0" t="s">
        <v>81</v>
      </c>
      <c r="I4217" s="0" t="n">
        <v>1562347</v>
      </c>
      <c r="J4217" s="0" t="n">
        <v>100520</v>
      </c>
      <c r="K4217" s="0" t="n">
        <v>507</v>
      </c>
      <c r="L4217" s="0" t="s">
        <v>2179</v>
      </c>
      <c r="N4217" s="0" t="n">
        <v>2.42</v>
      </c>
      <c r="O4217" s="60" t="n">
        <v>6.19</v>
      </c>
    </row>
    <row r="4218" customFormat="false" ht="15" hidden="false" customHeight="false" outlineLevel="0" collapsed="false">
      <c r="A4218" s="0" t="n">
        <v>3</v>
      </c>
      <c r="B4218" s="59" t="n">
        <v>46251</v>
      </c>
      <c r="C4218" s="0" t="n">
        <v>100</v>
      </c>
      <c r="D4218" s="0" t="s">
        <v>2181</v>
      </c>
      <c r="E4218" s="0" t="n">
        <v>42</v>
      </c>
      <c r="F4218" s="0" t="s">
        <v>81</v>
      </c>
      <c r="I4218" s="0" t="n">
        <v>1562347</v>
      </c>
      <c r="J4218" s="0" t="n">
        <v>110455</v>
      </c>
      <c r="K4218" s="0" t="n">
        <v>53212</v>
      </c>
      <c r="L4218" s="0" t="s">
        <v>2180</v>
      </c>
      <c r="N4218" s="0" t="n">
        <v>0.503</v>
      </c>
      <c r="O4218" s="60" t="n">
        <v>0</v>
      </c>
    </row>
    <row r="4219" customFormat="false" ht="15" hidden="false" customHeight="false" outlineLevel="0" collapsed="false">
      <c r="A4219" s="0" t="n">
        <v>3</v>
      </c>
      <c r="B4219" s="59" t="n">
        <v>46251</v>
      </c>
      <c r="C4219" s="0" t="n">
        <v>100</v>
      </c>
      <c r="D4219" s="0" t="s">
        <v>2181</v>
      </c>
      <c r="E4219" s="0" t="n">
        <v>42</v>
      </c>
      <c r="F4219" s="0" t="s">
        <v>81</v>
      </c>
      <c r="I4219" s="0" t="n">
        <v>1562352</v>
      </c>
      <c r="J4219" s="0" t="n">
        <v>100006</v>
      </c>
      <c r="K4219" s="0" t="n">
        <v>7</v>
      </c>
      <c r="L4219" s="0" t="s">
        <v>2228</v>
      </c>
      <c r="N4219" s="0" t="n">
        <v>6.504</v>
      </c>
      <c r="O4219" s="60" t="n">
        <v>231.91</v>
      </c>
    </row>
    <row r="4220" customFormat="false" ht="15" hidden="false" customHeight="false" outlineLevel="0" collapsed="false">
      <c r="A4220" s="0" t="n">
        <v>3</v>
      </c>
      <c r="B4220" s="59" t="n">
        <v>46251</v>
      </c>
      <c r="C4220" s="0" t="n">
        <v>100</v>
      </c>
      <c r="D4220" s="0" t="s">
        <v>2181</v>
      </c>
      <c r="E4220" s="0" t="n">
        <v>42</v>
      </c>
      <c r="F4220" s="0" t="s">
        <v>81</v>
      </c>
      <c r="I4220" s="0" t="n">
        <v>1562352</v>
      </c>
      <c r="J4220" s="0" t="n">
        <v>100008</v>
      </c>
      <c r="K4220" s="0" t="n">
        <v>9</v>
      </c>
      <c r="L4220" s="0" t="s">
        <v>2229</v>
      </c>
      <c r="N4220" s="0" t="n">
        <v>13.64</v>
      </c>
      <c r="O4220" s="60" t="n">
        <v>498.52</v>
      </c>
    </row>
    <row r="4221" customFormat="false" ht="15" hidden="false" customHeight="false" outlineLevel="0" collapsed="false">
      <c r="A4221" s="0" t="n">
        <v>3</v>
      </c>
      <c r="B4221" s="59" t="n">
        <v>46251</v>
      </c>
      <c r="C4221" s="0" t="n">
        <v>100</v>
      </c>
      <c r="D4221" s="0" t="s">
        <v>2181</v>
      </c>
      <c r="E4221" s="0" t="n">
        <v>42</v>
      </c>
      <c r="F4221" s="0" t="s">
        <v>81</v>
      </c>
      <c r="I4221" s="0" t="n">
        <v>1562352</v>
      </c>
      <c r="J4221" s="0" t="n">
        <v>100010</v>
      </c>
      <c r="K4221" s="0" t="n">
        <v>11</v>
      </c>
      <c r="L4221" s="0" t="s">
        <v>2230</v>
      </c>
      <c r="N4221" s="0" t="n">
        <v>2.192</v>
      </c>
      <c r="O4221" s="60" t="n">
        <v>91.84</v>
      </c>
    </row>
    <row r="4222" customFormat="false" ht="15" hidden="false" customHeight="false" outlineLevel="0" collapsed="false">
      <c r="A4222" s="0" t="n">
        <v>3</v>
      </c>
      <c r="B4222" s="59" t="n">
        <v>46251</v>
      </c>
      <c r="C4222" s="0" t="n">
        <v>100</v>
      </c>
      <c r="D4222" s="0" t="s">
        <v>2181</v>
      </c>
      <c r="E4222" s="0" t="n">
        <v>42</v>
      </c>
      <c r="F4222" s="0" t="s">
        <v>81</v>
      </c>
      <c r="I4222" s="0" t="n">
        <v>1562352</v>
      </c>
      <c r="J4222" s="0" t="n">
        <v>100011</v>
      </c>
      <c r="K4222" s="0" t="n">
        <v>12</v>
      </c>
      <c r="L4222" s="0" t="s">
        <v>2231</v>
      </c>
      <c r="N4222" s="0" t="n">
        <v>5.684</v>
      </c>
      <c r="O4222" s="60" t="n">
        <v>238.15</v>
      </c>
    </row>
    <row r="4223" customFormat="false" ht="15" hidden="false" customHeight="false" outlineLevel="0" collapsed="false">
      <c r="A4223" s="0" t="n">
        <v>3</v>
      </c>
      <c r="B4223" s="59" t="n">
        <v>46251</v>
      </c>
      <c r="C4223" s="0" t="n">
        <v>100</v>
      </c>
      <c r="D4223" s="0" t="s">
        <v>2181</v>
      </c>
      <c r="E4223" s="0" t="n">
        <v>42</v>
      </c>
      <c r="F4223" s="0" t="s">
        <v>81</v>
      </c>
      <c r="I4223" s="0" t="n">
        <v>1562352</v>
      </c>
      <c r="J4223" s="0" t="n">
        <v>100012</v>
      </c>
      <c r="K4223" s="0" t="n">
        <v>13</v>
      </c>
      <c r="L4223" s="0" t="s">
        <v>2232</v>
      </c>
      <c r="N4223" s="0" t="n">
        <v>4.304</v>
      </c>
      <c r="O4223" s="60" t="n">
        <v>195.68</v>
      </c>
    </row>
    <row r="4224" customFormat="false" ht="15" hidden="false" customHeight="false" outlineLevel="0" collapsed="false">
      <c r="A4224" s="0" t="n">
        <v>3</v>
      </c>
      <c r="B4224" s="59" t="n">
        <v>46251</v>
      </c>
      <c r="C4224" s="0" t="n">
        <v>100</v>
      </c>
      <c r="D4224" s="0" t="s">
        <v>2181</v>
      </c>
      <c r="E4224" s="0" t="n">
        <v>42</v>
      </c>
      <c r="F4224" s="0" t="s">
        <v>81</v>
      </c>
      <c r="I4224" s="0" t="n">
        <v>1562352</v>
      </c>
      <c r="J4224" s="0" t="n">
        <v>100013</v>
      </c>
      <c r="K4224" s="0" t="n">
        <v>14</v>
      </c>
      <c r="L4224" s="0" t="s">
        <v>2233</v>
      </c>
      <c r="N4224" s="0" t="n">
        <v>10.325</v>
      </c>
      <c r="O4224" s="60" t="n">
        <v>506.25</v>
      </c>
    </row>
    <row r="4225" customFormat="false" ht="15" hidden="false" customHeight="false" outlineLevel="0" collapsed="false">
      <c r="A4225" s="0" t="n">
        <v>3</v>
      </c>
      <c r="B4225" s="59" t="n">
        <v>46251</v>
      </c>
      <c r="C4225" s="0" t="n">
        <v>100</v>
      </c>
      <c r="D4225" s="0" t="s">
        <v>2181</v>
      </c>
      <c r="E4225" s="0" t="n">
        <v>42</v>
      </c>
      <c r="F4225" s="0" t="s">
        <v>81</v>
      </c>
      <c r="I4225" s="0" t="n">
        <v>1562352</v>
      </c>
      <c r="J4225" s="0" t="n">
        <v>100014</v>
      </c>
      <c r="K4225" s="0" t="n">
        <v>15</v>
      </c>
      <c r="L4225" s="0" t="s">
        <v>2234</v>
      </c>
      <c r="N4225" s="0" t="n">
        <v>3.386</v>
      </c>
      <c r="O4225" s="60" t="n">
        <v>169.04</v>
      </c>
    </row>
    <row r="4226" customFormat="false" ht="15" hidden="false" customHeight="false" outlineLevel="0" collapsed="false">
      <c r="A4226" s="0" t="n">
        <v>3</v>
      </c>
      <c r="B4226" s="59" t="n">
        <v>46251</v>
      </c>
      <c r="C4226" s="0" t="n">
        <v>100</v>
      </c>
      <c r="D4226" s="0" t="s">
        <v>2181</v>
      </c>
      <c r="E4226" s="0" t="n">
        <v>42</v>
      </c>
      <c r="F4226" s="0" t="s">
        <v>81</v>
      </c>
      <c r="I4226" s="0" t="n">
        <v>1562352</v>
      </c>
      <c r="J4226" s="0" t="n">
        <v>100015</v>
      </c>
      <c r="K4226" s="0" t="n">
        <v>16</v>
      </c>
      <c r="L4226" s="0" t="s">
        <v>2235</v>
      </c>
      <c r="N4226" s="0" t="n">
        <v>1.57</v>
      </c>
      <c r="O4226" s="60" t="n">
        <v>71.38</v>
      </c>
    </row>
    <row r="4227" customFormat="false" ht="15" hidden="false" customHeight="false" outlineLevel="0" collapsed="false">
      <c r="A4227" s="0" t="n">
        <v>3</v>
      </c>
      <c r="B4227" s="59" t="n">
        <v>46251</v>
      </c>
      <c r="C4227" s="0" t="n">
        <v>100</v>
      </c>
      <c r="D4227" s="0" t="s">
        <v>2181</v>
      </c>
      <c r="E4227" s="0" t="n">
        <v>42</v>
      </c>
      <c r="F4227" s="0" t="s">
        <v>81</v>
      </c>
      <c r="I4227" s="0" t="n">
        <v>1562352</v>
      </c>
      <c r="J4227" s="0" t="n">
        <v>100016</v>
      </c>
      <c r="K4227" s="0" t="n">
        <v>17</v>
      </c>
      <c r="L4227" s="0" t="s">
        <v>2236</v>
      </c>
      <c r="N4227" s="0" t="n">
        <v>1.718</v>
      </c>
      <c r="O4227" s="60" t="n">
        <v>84.24</v>
      </c>
    </row>
    <row r="4228" customFormat="false" ht="15" hidden="false" customHeight="false" outlineLevel="0" collapsed="false">
      <c r="A4228" s="0" t="n">
        <v>3</v>
      </c>
      <c r="B4228" s="59" t="n">
        <v>46251</v>
      </c>
      <c r="C4228" s="0" t="n">
        <v>100</v>
      </c>
      <c r="D4228" s="0" t="s">
        <v>2181</v>
      </c>
      <c r="E4228" s="0" t="n">
        <v>42</v>
      </c>
      <c r="F4228" s="0" t="s">
        <v>81</v>
      </c>
      <c r="I4228" s="0" t="n">
        <v>1562352</v>
      </c>
      <c r="J4228" s="0" t="n">
        <v>100017</v>
      </c>
      <c r="K4228" s="0" t="n">
        <v>18</v>
      </c>
      <c r="L4228" s="0" t="s">
        <v>2237</v>
      </c>
      <c r="N4228" s="0" t="n">
        <v>1.76</v>
      </c>
      <c r="O4228" s="60" t="n">
        <v>101.99</v>
      </c>
    </row>
    <row r="4229" customFormat="false" ht="15" hidden="false" customHeight="false" outlineLevel="0" collapsed="false">
      <c r="A4229" s="0" t="n">
        <v>3</v>
      </c>
      <c r="B4229" s="59" t="n">
        <v>46251</v>
      </c>
      <c r="C4229" s="0" t="n">
        <v>100</v>
      </c>
      <c r="D4229" s="0" t="s">
        <v>2181</v>
      </c>
      <c r="E4229" s="0" t="n">
        <v>42</v>
      </c>
      <c r="F4229" s="0" t="s">
        <v>81</v>
      </c>
      <c r="I4229" s="0" t="n">
        <v>1562352</v>
      </c>
      <c r="J4229" s="0" t="n">
        <v>100053</v>
      </c>
      <c r="K4229" s="0" t="n">
        <v>54</v>
      </c>
      <c r="L4229" s="0" t="s">
        <v>2238</v>
      </c>
      <c r="N4229" s="0" t="n">
        <v>2.022</v>
      </c>
      <c r="O4229" s="60" t="n">
        <v>81.11</v>
      </c>
    </row>
    <row r="4230" customFormat="false" ht="15" hidden="false" customHeight="false" outlineLevel="0" collapsed="false">
      <c r="A4230" s="0" t="n">
        <v>3</v>
      </c>
      <c r="B4230" s="59" t="n">
        <v>46251</v>
      </c>
      <c r="C4230" s="0" t="n">
        <v>100</v>
      </c>
      <c r="D4230" s="0" t="s">
        <v>2181</v>
      </c>
      <c r="E4230" s="0" t="n">
        <v>42</v>
      </c>
      <c r="F4230" s="0" t="s">
        <v>81</v>
      </c>
      <c r="I4230" s="0" t="n">
        <v>1562352</v>
      </c>
      <c r="J4230" s="0" t="n">
        <v>100638</v>
      </c>
      <c r="K4230" s="0" t="n">
        <v>508</v>
      </c>
      <c r="L4230" s="0" t="s">
        <v>2178</v>
      </c>
      <c r="N4230" s="0" t="n">
        <v>5.116</v>
      </c>
      <c r="O4230" s="60" t="n">
        <v>9.08</v>
      </c>
    </row>
    <row r="4231" customFormat="false" ht="15" hidden="false" customHeight="false" outlineLevel="0" collapsed="false">
      <c r="A4231" s="0" t="n">
        <v>3</v>
      </c>
      <c r="B4231" s="59" t="n">
        <v>46251</v>
      </c>
      <c r="C4231" s="0" t="n">
        <v>100</v>
      </c>
      <c r="D4231" s="0" t="s">
        <v>2181</v>
      </c>
      <c r="E4231" s="0" t="n">
        <v>42</v>
      </c>
      <c r="F4231" s="0" t="s">
        <v>81</v>
      </c>
      <c r="I4231" s="0" t="n">
        <v>1562352</v>
      </c>
      <c r="J4231" s="0" t="n">
        <v>100520</v>
      </c>
      <c r="K4231" s="0" t="n">
        <v>507</v>
      </c>
      <c r="L4231" s="0" t="s">
        <v>2179</v>
      </c>
      <c r="N4231" s="0" t="n">
        <v>11.556</v>
      </c>
      <c r="O4231" s="60" t="n">
        <v>30.81</v>
      </c>
    </row>
    <row r="4232" customFormat="false" ht="15" hidden="false" customHeight="false" outlineLevel="0" collapsed="false">
      <c r="A4232" s="0" t="n">
        <v>3</v>
      </c>
      <c r="B4232" s="59" t="n">
        <v>46251</v>
      </c>
      <c r="C4232" s="0" t="n">
        <v>100</v>
      </c>
      <c r="D4232" s="0" t="s">
        <v>2181</v>
      </c>
      <c r="E4232" s="0" t="n">
        <v>42</v>
      </c>
      <c r="F4232" s="0" t="s">
        <v>81</v>
      </c>
      <c r="I4232" s="0" t="n">
        <v>1562352</v>
      </c>
      <c r="J4232" s="0" t="n">
        <v>110455</v>
      </c>
      <c r="K4232" s="0" t="n">
        <v>53212</v>
      </c>
      <c r="L4232" s="0" t="s">
        <v>2180</v>
      </c>
      <c r="N4232" s="0" t="n">
        <v>0.223</v>
      </c>
      <c r="O4232" s="60" t="n">
        <v>0</v>
      </c>
    </row>
    <row r="4233" customFormat="false" ht="15" hidden="false" customHeight="false" outlineLevel="0" collapsed="false">
      <c r="A4233" s="0" t="n">
        <v>3</v>
      </c>
      <c r="B4233" s="59" t="n">
        <v>46251</v>
      </c>
      <c r="C4233" s="0" t="n">
        <v>100</v>
      </c>
      <c r="D4233" s="0" t="s">
        <v>2181</v>
      </c>
      <c r="E4233" s="0" t="n">
        <v>42</v>
      </c>
      <c r="F4233" s="0" t="s">
        <v>81</v>
      </c>
      <c r="I4233" s="0" t="n">
        <v>1562395</v>
      </c>
      <c r="J4233" s="0" t="n">
        <v>100000</v>
      </c>
      <c r="K4233" s="0" t="n">
        <v>1</v>
      </c>
      <c r="L4233" s="0" t="s">
        <v>2173</v>
      </c>
      <c r="N4233" s="0" t="n">
        <v>3.104</v>
      </c>
      <c r="O4233" s="60" t="n">
        <v>75.58</v>
      </c>
    </row>
    <row r="4234" customFormat="false" ht="15" hidden="false" customHeight="false" outlineLevel="0" collapsed="false">
      <c r="A4234" s="0" t="n">
        <v>3</v>
      </c>
      <c r="B4234" s="59" t="n">
        <v>46251</v>
      </c>
      <c r="C4234" s="0" t="n">
        <v>100</v>
      </c>
      <c r="D4234" s="0" t="s">
        <v>2181</v>
      </c>
      <c r="E4234" s="0" t="n">
        <v>42</v>
      </c>
      <c r="F4234" s="0" t="s">
        <v>81</v>
      </c>
      <c r="I4234" s="0" t="n">
        <v>1562395</v>
      </c>
      <c r="J4234" s="0" t="n">
        <v>100006</v>
      </c>
      <c r="K4234" s="0" t="n">
        <v>7</v>
      </c>
      <c r="L4234" s="0" t="s">
        <v>2228</v>
      </c>
      <c r="N4234" s="0" t="n">
        <v>4.402</v>
      </c>
      <c r="O4234" s="60" t="n">
        <v>147.85</v>
      </c>
    </row>
    <row r="4235" customFormat="false" ht="15" hidden="false" customHeight="false" outlineLevel="0" collapsed="false">
      <c r="A4235" s="0" t="n">
        <v>3</v>
      </c>
      <c r="B4235" s="59" t="n">
        <v>46251</v>
      </c>
      <c r="C4235" s="0" t="n">
        <v>100</v>
      </c>
      <c r="D4235" s="0" t="s">
        <v>2181</v>
      </c>
      <c r="E4235" s="0" t="n">
        <v>42</v>
      </c>
      <c r="F4235" s="0" t="s">
        <v>81</v>
      </c>
      <c r="I4235" s="0" t="n">
        <v>1562395</v>
      </c>
      <c r="J4235" s="0" t="n">
        <v>100008</v>
      </c>
      <c r="K4235" s="0" t="n">
        <v>9</v>
      </c>
      <c r="L4235" s="0" t="s">
        <v>2229</v>
      </c>
      <c r="N4235" s="0" t="n">
        <v>15.53</v>
      </c>
      <c r="O4235" s="60" t="n">
        <v>534.64</v>
      </c>
    </row>
    <row r="4236" customFormat="false" ht="15" hidden="false" customHeight="false" outlineLevel="0" collapsed="false">
      <c r="A4236" s="0" t="n">
        <v>3</v>
      </c>
      <c r="B4236" s="59" t="n">
        <v>46251</v>
      </c>
      <c r="C4236" s="0" t="n">
        <v>100</v>
      </c>
      <c r="D4236" s="0" t="s">
        <v>2181</v>
      </c>
      <c r="E4236" s="0" t="n">
        <v>42</v>
      </c>
      <c r="F4236" s="0" t="s">
        <v>81</v>
      </c>
      <c r="I4236" s="0" t="n">
        <v>1562395</v>
      </c>
      <c r="J4236" s="0" t="n">
        <v>100010</v>
      </c>
      <c r="K4236" s="0" t="n">
        <v>11</v>
      </c>
      <c r="L4236" s="0" t="s">
        <v>2230</v>
      </c>
      <c r="N4236" s="0" t="n">
        <v>3.704</v>
      </c>
      <c r="O4236" s="60" t="n">
        <v>146.18</v>
      </c>
    </row>
    <row r="4237" customFormat="false" ht="15" hidden="false" customHeight="false" outlineLevel="0" collapsed="false">
      <c r="A4237" s="0" t="n">
        <v>3</v>
      </c>
      <c r="B4237" s="59" t="n">
        <v>46251</v>
      </c>
      <c r="C4237" s="0" t="n">
        <v>100</v>
      </c>
      <c r="D4237" s="0" t="s">
        <v>2181</v>
      </c>
      <c r="E4237" s="0" t="n">
        <v>42</v>
      </c>
      <c r="F4237" s="0" t="s">
        <v>81</v>
      </c>
      <c r="I4237" s="0" t="n">
        <v>1562395</v>
      </c>
      <c r="J4237" s="0" t="n">
        <v>100011</v>
      </c>
      <c r="K4237" s="0" t="n">
        <v>12</v>
      </c>
      <c r="L4237" s="0" t="s">
        <v>2231</v>
      </c>
      <c r="N4237" s="0" t="n">
        <v>6.495</v>
      </c>
      <c r="O4237" s="60" t="n">
        <v>256.33</v>
      </c>
    </row>
    <row r="4238" customFormat="false" ht="15" hidden="false" customHeight="false" outlineLevel="0" collapsed="false">
      <c r="A4238" s="0" t="n">
        <v>3</v>
      </c>
      <c r="B4238" s="59" t="n">
        <v>46251</v>
      </c>
      <c r="C4238" s="0" t="n">
        <v>100</v>
      </c>
      <c r="D4238" s="0" t="s">
        <v>2181</v>
      </c>
      <c r="E4238" s="0" t="n">
        <v>42</v>
      </c>
      <c r="F4238" s="0" t="s">
        <v>81</v>
      </c>
      <c r="I4238" s="0" t="n">
        <v>1562395</v>
      </c>
      <c r="J4238" s="0" t="n">
        <v>100012</v>
      </c>
      <c r="K4238" s="0" t="n">
        <v>13</v>
      </c>
      <c r="L4238" s="0" t="s">
        <v>2232</v>
      </c>
      <c r="N4238" s="0" t="n">
        <v>5.532</v>
      </c>
      <c r="O4238" s="60" t="n">
        <v>236.91</v>
      </c>
    </row>
    <row r="4239" customFormat="false" ht="15" hidden="false" customHeight="false" outlineLevel="0" collapsed="false">
      <c r="A4239" s="0" t="n">
        <v>3</v>
      </c>
      <c r="B4239" s="59" t="n">
        <v>46251</v>
      </c>
      <c r="C4239" s="0" t="n">
        <v>100</v>
      </c>
      <c r="D4239" s="0" t="s">
        <v>2181</v>
      </c>
      <c r="E4239" s="0" t="n">
        <v>42</v>
      </c>
      <c r="F4239" s="0" t="s">
        <v>81</v>
      </c>
      <c r="I4239" s="0" t="n">
        <v>1562395</v>
      </c>
      <c r="J4239" s="0" t="n">
        <v>100013</v>
      </c>
      <c r="K4239" s="0" t="n">
        <v>14</v>
      </c>
      <c r="L4239" s="0" t="s">
        <v>2233</v>
      </c>
      <c r="N4239" s="0" t="n">
        <v>11.14</v>
      </c>
      <c r="O4239" s="60" t="n">
        <v>514.49</v>
      </c>
    </row>
    <row r="4240" customFormat="false" ht="15" hidden="false" customHeight="false" outlineLevel="0" collapsed="false">
      <c r="A4240" s="0" t="n">
        <v>3</v>
      </c>
      <c r="B4240" s="59" t="n">
        <v>46251</v>
      </c>
      <c r="C4240" s="0" t="n">
        <v>100</v>
      </c>
      <c r="D4240" s="0" t="s">
        <v>2181</v>
      </c>
      <c r="E4240" s="0" t="n">
        <v>42</v>
      </c>
      <c r="F4240" s="0" t="s">
        <v>81</v>
      </c>
      <c r="I4240" s="0" t="n">
        <v>1562395</v>
      </c>
      <c r="J4240" s="0" t="n">
        <v>100014</v>
      </c>
      <c r="K4240" s="0" t="n">
        <v>15</v>
      </c>
      <c r="L4240" s="0" t="s">
        <v>2234</v>
      </c>
      <c r="N4240" s="0" t="n">
        <v>4.216</v>
      </c>
      <c r="O4240" s="60" t="n">
        <v>198.25</v>
      </c>
    </row>
    <row r="4241" customFormat="false" ht="15" hidden="false" customHeight="false" outlineLevel="0" collapsed="false">
      <c r="A4241" s="0" t="n">
        <v>3</v>
      </c>
      <c r="B4241" s="59" t="n">
        <v>46251</v>
      </c>
      <c r="C4241" s="0" t="n">
        <v>100</v>
      </c>
      <c r="D4241" s="0" t="s">
        <v>2181</v>
      </c>
      <c r="E4241" s="0" t="n">
        <v>42</v>
      </c>
      <c r="F4241" s="0" t="s">
        <v>81</v>
      </c>
      <c r="I4241" s="0" t="n">
        <v>1562395</v>
      </c>
      <c r="J4241" s="0" t="n">
        <v>100015</v>
      </c>
      <c r="K4241" s="0" t="n">
        <v>16</v>
      </c>
      <c r="L4241" s="0" t="s">
        <v>2235</v>
      </c>
      <c r="N4241" s="0" t="n">
        <v>1.664</v>
      </c>
      <c r="O4241" s="60" t="n">
        <v>71.26</v>
      </c>
    </row>
    <row r="4242" customFormat="false" ht="15" hidden="false" customHeight="false" outlineLevel="0" collapsed="false">
      <c r="A4242" s="0" t="n">
        <v>3</v>
      </c>
      <c r="B4242" s="59" t="n">
        <v>46251</v>
      </c>
      <c r="C4242" s="0" t="n">
        <v>100</v>
      </c>
      <c r="D4242" s="0" t="s">
        <v>2181</v>
      </c>
      <c r="E4242" s="0" t="n">
        <v>42</v>
      </c>
      <c r="F4242" s="0" t="s">
        <v>81</v>
      </c>
      <c r="I4242" s="0" t="n">
        <v>1562395</v>
      </c>
      <c r="J4242" s="0" t="n">
        <v>100016</v>
      </c>
      <c r="K4242" s="0" t="n">
        <v>17</v>
      </c>
      <c r="L4242" s="0" t="s">
        <v>2236</v>
      </c>
      <c r="N4242" s="0" t="n">
        <v>2.22</v>
      </c>
      <c r="O4242" s="60" t="n">
        <v>102.53</v>
      </c>
    </row>
    <row r="4243" customFormat="false" ht="15" hidden="false" customHeight="false" outlineLevel="0" collapsed="false">
      <c r="A4243" s="0" t="n">
        <v>3</v>
      </c>
      <c r="B4243" s="59" t="n">
        <v>46251</v>
      </c>
      <c r="C4243" s="0" t="n">
        <v>100</v>
      </c>
      <c r="D4243" s="0" t="s">
        <v>2181</v>
      </c>
      <c r="E4243" s="0" t="n">
        <v>42</v>
      </c>
      <c r="F4243" s="0" t="s">
        <v>81</v>
      </c>
      <c r="I4243" s="0" t="n">
        <v>1562395</v>
      </c>
      <c r="J4243" s="0" t="n">
        <v>100017</v>
      </c>
      <c r="K4243" s="0" t="n">
        <v>18</v>
      </c>
      <c r="L4243" s="0" t="s">
        <v>2237</v>
      </c>
      <c r="N4243" s="0" t="n">
        <v>1.932</v>
      </c>
      <c r="O4243" s="60" t="n">
        <v>105.45</v>
      </c>
    </row>
    <row r="4244" customFormat="false" ht="15" hidden="false" customHeight="false" outlineLevel="0" collapsed="false">
      <c r="A4244" s="0" t="n">
        <v>3</v>
      </c>
      <c r="B4244" s="59" t="n">
        <v>46251</v>
      </c>
      <c r="C4244" s="0" t="n">
        <v>100</v>
      </c>
      <c r="D4244" s="0" t="s">
        <v>2181</v>
      </c>
      <c r="E4244" s="0" t="n">
        <v>42</v>
      </c>
      <c r="F4244" s="0" t="s">
        <v>81</v>
      </c>
      <c r="I4244" s="0" t="n">
        <v>1562395</v>
      </c>
      <c r="J4244" s="0" t="n">
        <v>100053</v>
      </c>
      <c r="K4244" s="0" t="n">
        <v>54</v>
      </c>
      <c r="L4244" s="0" t="s">
        <v>2238</v>
      </c>
      <c r="N4244" s="0" t="n">
        <v>1.822</v>
      </c>
      <c r="O4244" s="60" t="n">
        <v>68.85</v>
      </c>
    </row>
    <row r="4245" customFormat="false" ht="15" hidden="false" customHeight="false" outlineLevel="0" collapsed="false">
      <c r="A4245" s="0" t="n">
        <v>3</v>
      </c>
      <c r="B4245" s="59" t="n">
        <v>46251</v>
      </c>
      <c r="C4245" s="0" t="n">
        <v>100</v>
      </c>
      <c r="D4245" s="0" t="s">
        <v>2181</v>
      </c>
      <c r="E4245" s="0" t="n">
        <v>42</v>
      </c>
      <c r="F4245" s="0" t="s">
        <v>81</v>
      </c>
      <c r="I4245" s="0" t="n">
        <v>1562395</v>
      </c>
      <c r="J4245" s="0" t="n">
        <v>100638</v>
      </c>
      <c r="K4245" s="0" t="n">
        <v>508</v>
      </c>
      <c r="L4245" s="0" t="s">
        <v>2178</v>
      </c>
      <c r="N4245" s="0" t="n">
        <v>2.798</v>
      </c>
      <c r="O4245" s="60" t="n">
        <v>4.68</v>
      </c>
    </row>
    <row r="4246" customFormat="false" ht="15" hidden="false" customHeight="false" outlineLevel="0" collapsed="false">
      <c r="A4246" s="0" t="n">
        <v>3</v>
      </c>
      <c r="B4246" s="59" t="n">
        <v>46251</v>
      </c>
      <c r="C4246" s="0" t="n">
        <v>100</v>
      </c>
      <c r="D4246" s="0" t="s">
        <v>2181</v>
      </c>
      <c r="E4246" s="0" t="n">
        <v>42</v>
      </c>
      <c r="F4246" s="0" t="s">
        <v>81</v>
      </c>
      <c r="I4246" s="0" t="n">
        <v>1562395</v>
      </c>
      <c r="J4246" s="0" t="n">
        <v>100520</v>
      </c>
      <c r="K4246" s="0" t="n">
        <v>507</v>
      </c>
      <c r="L4246" s="0" t="s">
        <v>2179</v>
      </c>
      <c r="N4246" s="0" t="n">
        <v>10.04</v>
      </c>
      <c r="O4246" s="60" t="n">
        <v>25.21</v>
      </c>
    </row>
    <row r="4247" customFormat="false" ht="15" hidden="false" customHeight="false" outlineLevel="0" collapsed="false">
      <c r="A4247" s="0" t="n">
        <v>3</v>
      </c>
      <c r="B4247" s="59" t="n">
        <v>46251</v>
      </c>
      <c r="C4247" s="0" t="n">
        <v>100</v>
      </c>
      <c r="D4247" s="0" t="s">
        <v>2181</v>
      </c>
      <c r="E4247" s="0" t="n">
        <v>42</v>
      </c>
      <c r="F4247" s="0" t="s">
        <v>81</v>
      </c>
      <c r="I4247" s="0" t="n">
        <v>1562395</v>
      </c>
      <c r="J4247" s="0" t="n">
        <v>110455</v>
      </c>
      <c r="K4247" s="0" t="n">
        <v>53212</v>
      </c>
      <c r="L4247" s="0" t="s">
        <v>2180</v>
      </c>
      <c r="N4247" s="0" t="n">
        <v>0.801</v>
      </c>
      <c r="O4247" s="60" t="n">
        <v>0</v>
      </c>
    </row>
    <row r="4248" customFormat="false" ht="15" hidden="false" customHeight="false" outlineLevel="0" collapsed="false">
      <c r="A4248" s="0" t="n">
        <v>3</v>
      </c>
      <c r="B4248" s="59" t="n">
        <v>46251</v>
      </c>
      <c r="C4248" s="0" t="n">
        <v>100</v>
      </c>
      <c r="D4248" s="0" t="s">
        <v>2181</v>
      </c>
      <c r="E4248" s="0" t="n">
        <v>42</v>
      </c>
      <c r="F4248" s="0" t="s">
        <v>81</v>
      </c>
      <c r="I4248" s="0" t="n">
        <v>1562445</v>
      </c>
      <c r="J4248" s="0" t="n">
        <v>100000</v>
      </c>
      <c r="K4248" s="0" t="n">
        <v>1</v>
      </c>
      <c r="L4248" s="0" t="s">
        <v>2173</v>
      </c>
      <c r="N4248" s="0" t="n">
        <v>2.032</v>
      </c>
      <c r="O4248" s="60" t="n">
        <v>44.71</v>
      </c>
    </row>
    <row r="4249" customFormat="false" ht="15" hidden="false" customHeight="false" outlineLevel="0" collapsed="false">
      <c r="A4249" s="0" t="n">
        <v>3</v>
      </c>
      <c r="B4249" s="59" t="n">
        <v>46251</v>
      </c>
      <c r="C4249" s="0" t="n">
        <v>100</v>
      </c>
      <c r="D4249" s="0" t="s">
        <v>2181</v>
      </c>
      <c r="E4249" s="0" t="n">
        <v>42</v>
      </c>
      <c r="F4249" s="0" t="s">
        <v>81</v>
      </c>
      <c r="I4249" s="0" t="n">
        <v>1562445</v>
      </c>
      <c r="J4249" s="0" t="n">
        <v>100001</v>
      </c>
      <c r="K4249" s="0" t="n">
        <v>2</v>
      </c>
      <c r="L4249" s="0" t="s">
        <v>2174</v>
      </c>
      <c r="N4249" s="0" t="n">
        <v>9.125</v>
      </c>
      <c r="O4249" s="60" t="n">
        <v>214.63</v>
      </c>
    </row>
    <row r="4250" customFormat="false" ht="15" hidden="false" customHeight="false" outlineLevel="0" collapsed="false">
      <c r="A4250" s="0" t="n">
        <v>3</v>
      </c>
      <c r="B4250" s="59" t="n">
        <v>46251</v>
      </c>
      <c r="C4250" s="0" t="n">
        <v>100</v>
      </c>
      <c r="D4250" s="0" t="s">
        <v>2181</v>
      </c>
      <c r="E4250" s="0" t="n">
        <v>42</v>
      </c>
      <c r="F4250" s="0" t="s">
        <v>81</v>
      </c>
      <c r="I4250" s="0" t="n">
        <v>1562445</v>
      </c>
      <c r="J4250" s="0" t="n">
        <v>100002</v>
      </c>
      <c r="K4250" s="0" t="n">
        <v>3</v>
      </c>
      <c r="L4250" s="0" t="s">
        <v>2175</v>
      </c>
      <c r="N4250" s="0" t="n">
        <v>14.075</v>
      </c>
      <c r="O4250" s="60" t="n">
        <v>341.74</v>
      </c>
    </row>
    <row r="4251" customFormat="false" ht="15" hidden="false" customHeight="false" outlineLevel="0" collapsed="false">
      <c r="A4251" s="0" t="n">
        <v>3</v>
      </c>
      <c r="B4251" s="59" t="n">
        <v>46251</v>
      </c>
      <c r="C4251" s="0" t="n">
        <v>100</v>
      </c>
      <c r="D4251" s="0" t="s">
        <v>2181</v>
      </c>
      <c r="E4251" s="0" t="n">
        <v>42</v>
      </c>
      <c r="F4251" s="0" t="s">
        <v>81</v>
      </c>
      <c r="I4251" s="0" t="n">
        <v>1562445</v>
      </c>
      <c r="J4251" s="0" t="n">
        <v>100003</v>
      </c>
      <c r="K4251" s="0" t="n">
        <v>4</v>
      </c>
      <c r="L4251" s="0" t="s">
        <v>2176</v>
      </c>
      <c r="N4251" s="0" t="n">
        <v>16.055</v>
      </c>
      <c r="O4251" s="60" t="n">
        <v>426.38</v>
      </c>
    </row>
    <row r="4252" customFormat="false" ht="15" hidden="false" customHeight="false" outlineLevel="0" collapsed="false">
      <c r="A4252" s="0" t="n">
        <v>3</v>
      </c>
      <c r="B4252" s="59" t="n">
        <v>46251</v>
      </c>
      <c r="C4252" s="0" t="n">
        <v>100</v>
      </c>
      <c r="D4252" s="0" t="s">
        <v>2181</v>
      </c>
      <c r="E4252" s="0" t="n">
        <v>42</v>
      </c>
      <c r="F4252" s="0" t="s">
        <v>81</v>
      </c>
      <c r="I4252" s="0" t="n">
        <v>1562445</v>
      </c>
      <c r="J4252" s="0" t="n">
        <v>100007</v>
      </c>
      <c r="K4252" s="0" t="n">
        <v>8</v>
      </c>
      <c r="L4252" s="0" t="s">
        <v>2177</v>
      </c>
      <c r="N4252" s="0" t="n">
        <v>3.994</v>
      </c>
      <c r="O4252" s="60" t="n">
        <v>103.04</v>
      </c>
    </row>
    <row r="4253" customFormat="false" ht="15" hidden="false" customHeight="false" outlineLevel="0" collapsed="false">
      <c r="A4253" s="0" t="n">
        <v>3</v>
      </c>
      <c r="B4253" s="59" t="n">
        <v>46251</v>
      </c>
      <c r="C4253" s="0" t="n">
        <v>100</v>
      </c>
      <c r="D4253" s="0" t="s">
        <v>2181</v>
      </c>
      <c r="E4253" s="0" t="n">
        <v>42</v>
      </c>
      <c r="F4253" s="0" t="s">
        <v>81</v>
      </c>
      <c r="I4253" s="0" t="n">
        <v>1562445</v>
      </c>
      <c r="J4253" s="0" t="n">
        <v>100638</v>
      </c>
      <c r="K4253" s="0" t="n">
        <v>508</v>
      </c>
      <c r="L4253" s="0" t="s">
        <v>2178</v>
      </c>
      <c r="N4253" s="0" t="n">
        <v>1.642</v>
      </c>
      <c r="O4253" s="60" t="n">
        <v>2.48</v>
      </c>
    </row>
    <row r="4254" customFormat="false" ht="15" hidden="false" customHeight="false" outlineLevel="0" collapsed="false">
      <c r="A4254" s="0" t="n">
        <v>3</v>
      </c>
      <c r="B4254" s="59" t="n">
        <v>46251</v>
      </c>
      <c r="C4254" s="0" t="n">
        <v>100</v>
      </c>
      <c r="D4254" s="0" t="s">
        <v>2181</v>
      </c>
      <c r="E4254" s="0" t="n">
        <v>42</v>
      </c>
      <c r="F4254" s="0" t="s">
        <v>81</v>
      </c>
      <c r="I4254" s="0" t="n">
        <v>1562445</v>
      </c>
      <c r="J4254" s="0" t="n">
        <v>100520</v>
      </c>
      <c r="K4254" s="0" t="n">
        <v>507</v>
      </c>
      <c r="L4254" s="0" t="s">
        <v>2179</v>
      </c>
      <c r="N4254" s="0" t="n">
        <v>2.432</v>
      </c>
      <c r="O4254" s="60" t="n">
        <v>5.52</v>
      </c>
    </row>
    <row r="4255" customFormat="false" ht="15" hidden="false" customHeight="false" outlineLevel="0" collapsed="false">
      <c r="A4255" s="0" t="n">
        <v>3</v>
      </c>
      <c r="B4255" s="59" t="n">
        <v>46251</v>
      </c>
      <c r="C4255" s="0" t="n">
        <v>100</v>
      </c>
      <c r="D4255" s="0" t="s">
        <v>2181</v>
      </c>
      <c r="E4255" s="0" t="n">
        <v>42</v>
      </c>
      <c r="F4255" s="0" t="s">
        <v>81</v>
      </c>
      <c r="I4255" s="0" t="n">
        <v>1562445</v>
      </c>
      <c r="J4255" s="0" t="n">
        <v>110455</v>
      </c>
      <c r="K4255" s="0" t="n">
        <v>53212</v>
      </c>
      <c r="L4255" s="0" t="s">
        <v>2180</v>
      </c>
      <c r="N4255" s="0" t="n">
        <v>0.145</v>
      </c>
      <c r="O4255" s="60" t="n">
        <v>0</v>
      </c>
    </row>
    <row r="4256" customFormat="false" ht="15" hidden="false" customHeight="false" outlineLevel="0" collapsed="false">
      <c r="A4256" s="0" t="n">
        <v>3</v>
      </c>
      <c r="B4256" s="59" t="n">
        <v>46252</v>
      </c>
      <c r="C4256" s="0" t="n">
        <v>1</v>
      </c>
      <c r="D4256" s="0" t="s">
        <v>2118</v>
      </c>
      <c r="E4256" s="0" t="n">
        <v>476</v>
      </c>
      <c r="F4256" s="0" t="s">
        <v>1608</v>
      </c>
      <c r="I4256" s="0" t="n">
        <v>1666189</v>
      </c>
      <c r="J4256" s="0" t="n">
        <v>61126</v>
      </c>
      <c r="K4256" s="0" t="n">
        <v>9786556173931</v>
      </c>
      <c r="L4256" s="0" t="s">
        <v>3820</v>
      </c>
      <c r="N4256" s="0" t="n">
        <v>90</v>
      </c>
      <c r="O4256" s="60" t="n">
        <v>150.3</v>
      </c>
    </row>
    <row r="4257" customFormat="false" ht="15" hidden="false" customHeight="false" outlineLevel="0" collapsed="false">
      <c r="A4257" s="0" t="n">
        <v>3</v>
      </c>
      <c r="B4257" s="59" t="n">
        <v>46252</v>
      </c>
      <c r="C4257" s="0" t="n">
        <v>6</v>
      </c>
      <c r="D4257" s="0" t="s">
        <v>2125</v>
      </c>
      <c r="E4257" s="0" t="n">
        <v>42</v>
      </c>
      <c r="F4257" s="0" t="s">
        <v>81</v>
      </c>
      <c r="I4257" s="0" t="n">
        <v>4516</v>
      </c>
      <c r="J4257" s="0" t="n">
        <v>109791</v>
      </c>
      <c r="K4257" s="0" t="n">
        <v>9667</v>
      </c>
      <c r="L4257" s="0" t="s">
        <v>2123</v>
      </c>
      <c r="N4257" s="0" t="n">
        <v>4</v>
      </c>
      <c r="O4257" s="60" t="n">
        <v>10</v>
      </c>
    </row>
    <row r="4258" customFormat="false" ht="15" hidden="false" customHeight="false" outlineLevel="0" collapsed="false">
      <c r="A4258" s="0" t="n">
        <v>3</v>
      </c>
      <c r="B4258" s="59" t="n">
        <v>46252</v>
      </c>
      <c r="C4258" s="0" t="n">
        <v>6</v>
      </c>
      <c r="D4258" s="0" t="s">
        <v>2125</v>
      </c>
      <c r="E4258" s="0" t="n">
        <v>42</v>
      </c>
      <c r="F4258" s="0" t="s">
        <v>81</v>
      </c>
      <c r="I4258" s="0" t="n">
        <v>4516</v>
      </c>
      <c r="J4258" s="0" t="n">
        <v>37359</v>
      </c>
      <c r="K4258" s="0" t="n">
        <v>55526</v>
      </c>
      <c r="L4258" s="0" t="s">
        <v>2194</v>
      </c>
      <c r="N4258" s="0" t="n">
        <v>4</v>
      </c>
      <c r="O4258" s="60" t="n">
        <v>24</v>
      </c>
    </row>
    <row r="4259" customFormat="false" ht="15" hidden="false" customHeight="false" outlineLevel="0" collapsed="false">
      <c r="A4259" s="0" t="n">
        <v>3</v>
      </c>
      <c r="B4259" s="59" t="n">
        <v>46252</v>
      </c>
      <c r="C4259" s="0" t="n">
        <v>6</v>
      </c>
      <c r="D4259" s="0" t="s">
        <v>2125</v>
      </c>
      <c r="E4259" s="0" t="n">
        <v>42</v>
      </c>
      <c r="F4259" s="0" t="s">
        <v>81</v>
      </c>
      <c r="I4259" s="0" t="n">
        <v>4516</v>
      </c>
      <c r="J4259" s="0" t="n">
        <v>37361</v>
      </c>
      <c r="K4259" s="0" t="n">
        <v>2240817</v>
      </c>
      <c r="L4259" s="0" t="s">
        <v>2124</v>
      </c>
      <c r="N4259" s="0" t="n">
        <v>30</v>
      </c>
      <c r="O4259" s="60" t="n">
        <v>60</v>
      </c>
    </row>
    <row r="4260" customFormat="false" ht="15" hidden="false" customHeight="false" outlineLevel="0" collapsed="false">
      <c r="A4260" s="0" t="n">
        <v>3</v>
      </c>
      <c r="B4260" s="59" t="n">
        <v>46252</v>
      </c>
      <c r="C4260" s="0" t="n">
        <v>6</v>
      </c>
      <c r="D4260" s="0" t="s">
        <v>2125</v>
      </c>
      <c r="E4260" s="0" t="n">
        <v>42</v>
      </c>
      <c r="F4260" s="0" t="s">
        <v>81</v>
      </c>
      <c r="I4260" s="0" t="n">
        <v>4517</v>
      </c>
      <c r="J4260" s="0" t="n">
        <v>100062</v>
      </c>
      <c r="K4260" s="0" t="n">
        <v>63</v>
      </c>
      <c r="L4260" s="0" t="s">
        <v>2259</v>
      </c>
      <c r="N4260" s="0" t="n">
        <v>8.8</v>
      </c>
      <c r="O4260" s="60" t="n">
        <v>105</v>
      </c>
    </row>
    <row r="4261" customFormat="false" ht="15" hidden="false" customHeight="false" outlineLevel="0" collapsed="false">
      <c r="A4261" s="0" t="n">
        <v>3</v>
      </c>
      <c r="B4261" s="59" t="n">
        <v>46252</v>
      </c>
      <c r="C4261" s="0" t="n">
        <v>6</v>
      </c>
      <c r="D4261" s="0" t="s">
        <v>2125</v>
      </c>
      <c r="E4261" s="0" t="n">
        <v>42</v>
      </c>
      <c r="F4261" s="0" t="s">
        <v>81</v>
      </c>
      <c r="I4261" s="0" t="n">
        <v>4517</v>
      </c>
      <c r="J4261" s="0" t="n">
        <v>100105</v>
      </c>
      <c r="K4261" s="0" t="n">
        <v>106</v>
      </c>
      <c r="L4261" s="0" t="s">
        <v>2620</v>
      </c>
      <c r="N4261" s="0" t="n">
        <v>24</v>
      </c>
      <c r="O4261" s="60" t="n">
        <v>160</v>
      </c>
    </row>
    <row r="4262" customFormat="false" ht="15" hidden="false" customHeight="false" outlineLevel="0" collapsed="false">
      <c r="A4262" s="0" t="n">
        <v>3</v>
      </c>
      <c r="B4262" s="59" t="n">
        <v>46252</v>
      </c>
      <c r="C4262" s="0" t="n">
        <v>6</v>
      </c>
      <c r="D4262" s="0" t="s">
        <v>2125</v>
      </c>
      <c r="E4262" s="0" t="n">
        <v>42</v>
      </c>
      <c r="F4262" s="0" t="s">
        <v>81</v>
      </c>
      <c r="I4262" s="0" t="n">
        <v>4517</v>
      </c>
      <c r="J4262" s="0" t="n">
        <v>100107</v>
      </c>
      <c r="K4262" s="0" t="n">
        <v>108</v>
      </c>
      <c r="L4262" s="0" t="s">
        <v>2877</v>
      </c>
      <c r="N4262" s="0" t="n">
        <v>3</v>
      </c>
      <c r="O4262" s="60" t="n">
        <v>30</v>
      </c>
    </row>
    <row r="4263" customFormat="false" ht="15" hidden="false" customHeight="false" outlineLevel="0" collapsed="false">
      <c r="A4263" s="0" t="n">
        <v>3</v>
      </c>
      <c r="B4263" s="59" t="n">
        <v>46252</v>
      </c>
      <c r="C4263" s="0" t="n">
        <v>6</v>
      </c>
      <c r="D4263" s="0" t="s">
        <v>2125</v>
      </c>
      <c r="E4263" s="0" t="n">
        <v>42</v>
      </c>
      <c r="F4263" s="0" t="s">
        <v>81</v>
      </c>
      <c r="I4263" s="0" t="n">
        <v>4517</v>
      </c>
      <c r="J4263" s="0" t="n">
        <v>100109</v>
      </c>
      <c r="K4263" s="0" t="n">
        <v>110</v>
      </c>
      <c r="L4263" s="0" t="s">
        <v>2261</v>
      </c>
      <c r="N4263" s="0" t="n">
        <v>40</v>
      </c>
      <c r="O4263" s="60" t="n">
        <v>260</v>
      </c>
    </row>
    <row r="4264" customFormat="false" ht="15" hidden="false" customHeight="false" outlineLevel="0" collapsed="false">
      <c r="A4264" s="0" t="n">
        <v>3</v>
      </c>
      <c r="B4264" s="59" t="n">
        <v>46252</v>
      </c>
      <c r="C4264" s="0" t="n">
        <v>6</v>
      </c>
      <c r="D4264" s="0" t="s">
        <v>2125</v>
      </c>
      <c r="E4264" s="0" t="n">
        <v>42</v>
      </c>
      <c r="F4264" s="0" t="s">
        <v>81</v>
      </c>
      <c r="I4264" s="0" t="n">
        <v>4517</v>
      </c>
      <c r="J4264" s="0" t="n">
        <v>100113</v>
      </c>
      <c r="K4264" s="0" t="n">
        <v>114</v>
      </c>
      <c r="L4264" s="0" t="s">
        <v>2264</v>
      </c>
      <c r="N4264" s="0" t="n">
        <v>40</v>
      </c>
      <c r="O4264" s="60" t="n">
        <v>180</v>
      </c>
    </row>
    <row r="4265" customFormat="false" ht="15" hidden="false" customHeight="false" outlineLevel="0" collapsed="false">
      <c r="A4265" s="0" t="n">
        <v>3</v>
      </c>
      <c r="B4265" s="59" t="n">
        <v>46252</v>
      </c>
      <c r="C4265" s="0" t="n">
        <v>6</v>
      </c>
      <c r="D4265" s="0" t="s">
        <v>2125</v>
      </c>
      <c r="E4265" s="0" t="n">
        <v>42</v>
      </c>
      <c r="F4265" s="0" t="s">
        <v>81</v>
      </c>
      <c r="I4265" s="0" t="n">
        <v>4517</v>
      </c>
      <c r="J4265" s="0" t="n">
        <v>100115</v>
      </c>
      <c r="K4265" s="0" t="n">
        <v>116</v>
      </c>
      <c r="L4265" s="0" t="s">
        <v>2265</v>
      </c>
      <c r="N4265" s="0" t="n">
        <v>15</v>
      </c>
      <c r="O4265" s="60" t="n">
        <v>180</v>
      </c>
    </row>
    <row r="4266" customFormat="false" ht="15" hidden="false" customHeight="false" outlineLevel="0" collapsed="false">
      <c r="A4266" s="0" t="n">
        <v>3</v>
      </c>
      <c r="B4266" s="59" t="n">
        <v>46252</v>
      </c>
      <c r="C4266" s="0" t="n">
        <v>6</v>
      </c>
      <c r="D4266" s="0" t="s">
        <v>2125</v>
      </c>
      <c r="E4266" s="0" t="n">
        <v>42</v>
      </c>
      <c r="F4266" s="0" t="s">
        <v>81</v>
      </c>
      <c r="I4266" s="0" t="n">
        <v>4517</v>
      </c>
      <c r="J4266" s="0" t="n">
        <v>100121</v>
      </c>
      <c r="K4266" s="0" t="n">
        <v>122</v>
      </c>
      <c r="L4266" s="0" t="s">
        <v>2422</v>
      </c>
      <c r="N4266" s="0" t="n">
        <v>10</v>
      </c>
      <c r="O4266" s="60" t="n">
        <v>180</v>
      </c>
    </row>
    <row r="4267" customFormat="false" ht="15" hidden="false" customHeight="false" outlineLevel="0" collapsed="false">
      <c r="A4267" s="0" t="n">
        <v>3</v>
      </c>
      <c r="B4267" s="59" t="n">
        <v>46252</v>
      </c>
      <c r="C4267" s="0" t="n">
        <v>6</v>
      </c>
      <c r="D4267" s="0" t="s">
        <v>2125</v>
      </c>
      <c r="E4267" s="0" t="n">
        <v>42</v>
      </c>
      <c r="F4267" s="0" t="s">
        <v>81</v>
      </c>
      <c r="I4267" s="0" t="n">
        <v>4517</v>
      </c>
      <c r="J4267" s="0" t="n">
        <v>100122</v>
      </c>
      <c r="K4267" s="0" t="n">
        <v>123</v>
      </c>
      <c r="L4267" s="0" t="s">
        <v>2423</v>
      </c>
      <c r="N4267" s="0" t="n">
        <v>5</v>
      </c>
      <c r="O4267" s="60" t="n">
        <v>50</v>
      </c>
    </row>
    <row r="4268" customFormat="false" ht="15" hidden="false" customHeight="false" outlineLevel="0" collapsed="false">
      <c r="A4268" s="0" t="n">
        <v>3</v>
      </c>
      <c r="B4268" s="59" t="n">
        <v>46252</v>
      </c>
      <c r="C4268" s="0" t="n">
        <v>6</v>
      </c>
      <c r="D4268" s="0" t="s">
        <v>2125</v>
      </c>
      <c r="E4268" s="0" t="n">
        <v>42</v>
      </c>
      <c r="F4268" s="0" t="s">
        <v>81</v>
      </c>
      <c r="I4268" s="0" t="n">
        <v>4517</v>
      </c>
      <c r="J4268" s="0" t="n">
        <v>100124</v>
      </c>
      <c r="K4268" s="0" t="n">
        <v>125</v>
      </c>
      <c r="L4268" s="0" t="s">
        <v>2269</v>
      </c>
      <c r="N4268" s="0" t="n">
        <v>9.4</v>
      </c>
      <c r="O4268" s="60" t="n">
        <v>84</v>
      </c>
    </row>
    <row r="4269" customFormat="false" ht="15" hidden="false" customHeight="false" outlineLevel="0" collapsed="false">
      <c r="A4269" s="0" t="n">
        <v>3</v>
      </c>
      <c r="B4269" s="59" t="n">
        <v>46252</v>
      </c>
      <c r="C4269" s="0" t="n">
        <v>6</v>
      </c>
      <c r="D4269" s="0" t="s">
        <v>2125</v>
      </c>
      <c r="E4269" s="0" t="n">
        <v>42</v>
      </c>
      <c r="F4269" s="0" t="s">
        <v>81</v>
      </c>
      <c r="I4269" s="0" t="n">
        <v>4517</v>
      </c>
      <c r="J4269" s="0" t="n">
        <v>100125</v>
      </c>
      <c r="K4269" s="0" t="n">
        <v>126</v>
      </c>
      <c r="L4269" s="0" t="s">
        <v>2424</v>
      </c>
      <c r="N4269" s="0" t="n">
        <v>40</v>
      </c>
      <c r="O4269" s="60" t="n">
        <v>320</v>
      </c>
    </row>
    <row r="4270" customFormat="false" ht="15" hidden="false" customHeight="false" outlineLevel="0" collapsed="false">
      <c r="A4270" s="0" t="n">
        <v>3</v>
      </c>
      <c r="B4270" s="59" t="n">
        <v>46252</v>
      </c>
      <c r="C4270" s="0" t="n">
        <v>6</v>
      </c>
      <c r="D4270" s="0" t="s">
        <v>2125</v>
      </c>
      <c r="E4270" s="0" t="n">
        <v>42</v>
      </c>
      <c r="F4270" s="0" t="s">
        <v>81</v>
      </c>
      <c r="I4270" s="0" t="n">
        <v>4517</v>
      </c>
      <c r="J4270" s="0" t="n">
        <v>100130</v>
      </c>
      <c r="K4270" s="0" t="n">
        <v>131</v>
      </c>
      <c r="L4270" s="0" t="s">
        <v>2621</v>
      </c>
      <c r="N4270" s="0" t="n">
        <v>10</v>
      </c>
      <c r="O4270" s="60" t="n">
        <v>80</v>
      </c>
    </row>
    <row r="4271" customFormat="false" ht="15" hidden="false" customHeight="false" outlineLevel="0" collapsed="false">
      <c r="A4271" s="0" t="n">
        <v>3</v>
      </c>
      <c r="B4271" s="59" t="n">
        <v>46252</v>
      </c>
      <c r="C4271" s="0" t="n">
        <v>6</v>
      </c>
      <c r="D4271" s="0" t="s">
        <v>2125</v>
      </c>
      <c r="E4271" s="0" t="n">
        <v>42</v>
      </c>
      <c r="F4271" s="0" t="s">
        <v>81</v>
      </c>
      <c r="I4271" s="0" t="n">
        <v>4517</v>
      </c>
      <c r="J4271" s="0" t="n">
        <v>100132</v>
      </c>
      <c r="K4271" s="0" t="n">
        <v>133</v>
      </c>
      <c r="L4271" s="0" t="s">
        <v>2270</v>
      </c>
      <c r="N4271" s="0" t="n">
        <v>102.25</v>
      </c>
      <c r="O4271" s="60" t="n">
        <v>320</v>
      </c>
    </row>
    <row r="4272" customFormat="false" ht="15" hidden="false" customHeight="false" outlineLevel="0" collapsed="false">
      <c r="A4272" s="0" t="n">
        <v>3</v>
      </c>
      <c r="B4272" s="59" t="n">
        <v>46252</v>
      </c>
      <c r="C4272" s="0" t="n">
        <v>6</v>
      </c>
      <c r="D4272" s="0" t="s">
        <v>2125</v>
      </c>
      <c r="E4272" s="0" t="n">
        <v>42</v>
      </c>
      <c r="F4272" s="0" t="s">
        <v>81</v>
      </c>
      <c r="I4272" s="0" t="n">
        <v>4517</v>
      </c>
      <c r="J4272" s="0" t="n">
        <v>100133</v>
      </c>
      <c r="K4272" s="0" t="n">
        <v>134</v>
      </c>
      <c r="L4272" s="0" t="s">
        <v>2271</v>
      </c>
      <c r="N4272" s="0" t="n">
        <v>10</v>
      </c>
      <c r="O4272" s="60" t="n">
        <v>70</v>
      </c>
    </row>
    <row r="4273" customFormat="false" ht="15" hidden="false" customHeight="false" outlineLevel="0" collapsed="false">
      <c r="A4273" s="0" t="n">
        <v>3</v>
      </c>
      <c r="B4273" s="59" t="n">
        <v>46252</v>
      </c>
      <c r="C4273" s="0" t="n">
        <v>6</v>
      </c>
      <c r="D4273" s="0" t="s">
        <v>2125</v>
      </c>
      <c r="E4273" s="0" t="n">
        <v>42</v>
      </c>
      <c r="F4273" s="0" t="s">
        <v>81</v>
      </c>
      <c r="I4273" s="0" t="n">
        <v>4517</v>
      </c>
      <c r="J4273" s="0" t="n">
        <v>110265</v>
      </c>
      <c r="K4273" s="0" t="n">
        <v>41346</v>
      </c>
      <c r="L4273" s="0" t="s">
        <v>3007</v>
      </c>
      <c r="N4273" s="0" t="n">
        <v>7.5</v>
      </c>
      <c r="O4273" s="60" t="n">
        <v>105</v>
      </c>
    </row>
    <row r="4274" customFormat="false" ht="15" hidden="false" customHeight="false" outlineLevel="0" collapsed="false">
      <c r="A4274" s="0" t="n">
        <v>3</v>
      </c>
      <c r="B4274" s="59" t="n">
        <v>46252</v>
      </c>
      <c r="C4274" s="0" t="n">
        <v>6</v>
      </c>
      <c r="D4274" s="0" t="s">
        <v>2125</v>
      </c>
      <c r="E4274" s="0" t="n">
        <v>42</v>
      </c>
      <c r="F4274" s="0" t="s">
        <v>81</v>
      </c>
      <c r="I4274" s="0" t="n">
        <v>4518</v>
      </c>
      <c r="J4274" s="0" t="n">
        <v>100103</v>
      </c>
      <c r="K4274" s="0" t="n">
        <v>104</v>
      </c>
      <c r="L4274" s="0" t="s">
        <v>2193</v>
      </c>
      <c r="N4274" s="0" t="n">
        <v>40</v>
      </c>
      <c r="O4274" s="60" t="n">
        <v>250</v>
      </c>
    </row>
    <row r="4275" customFormat="false" ht="15" hidden="false" customHeight="false" outlineLevel="0" collapsed="false">
      <c r="A4275" s="0" t="n">
        <v>3</v>
      </c>
      <c r="B4275" s="59" t="n">
        <v>46252</v>
      </c>
      <c r="C4275" s="0" t="n">
        <v>11</v>
      </c>
      <c r="D4275" s="0" t="s">
        <v>2126</v>
      </c>
      <c r="E4275" s="0" t="n">
        <v>642</v>
      </c>
      <c r="F4275" s="0" t="s">
        <v>136</v>
      </c>
      <c r="I4275" s="0" t="n">
        <v>606</v>
      </c>
      <c r="J4275" s="0" t="n">
        <v>71766</v>
      </c>
      <c r="K4275" s="0" t="n">
        <v>779180</v>
      </c>
      <c r="L4275" s="0" t="s">
        <v>2340</v>
      </c>
      <c r="N4275" s="0" t="n">
        <v>20</v>
      </c>
      <c r="O4275" s="60" t="n">
        <v>240</v>
      </c>
    </row>
    <row r="4276" customFormat="false" ht="15" hidden="false" customHeight="false" outlineLevel="0" collapsed="false">
      <c r="A4276" s="0" t="n">
        <v>3</v>
      </c>
      <c r="B4276" s="59" t="n">
        <v>46252</v>
      </c>
      <c r="C4276" s="0" t="n">
        <v>11</v>
      </c>
      <c r="D4276" s="0" t="s">
        <v>2126</v>
      </c>
      <c r="E4276" s="0" t="n">
        <v>560</v>
      </c>
      <c r="F4276" s="0" t="s">
        <v>222</v>
      </c>
      <c r="I4276" s="0" t="n">
        <v>2015</v>
      </c>
      <c r="J4276" s="0" t="n">
        <v>72591</v>
      </c>
      <c r="K4276" s="0" t="n">
        <v>7891985925401</v>
      </c>
      <c r="L4276" s="0" t="s">
        <v>3821</v>
      </c>
      <c r="N4276" s="0" t="n">
        <v>50</v>
      </c>
      <c r="O4276" s="60" t="n">
        <v>250</v>
      </c>
    </row>
    <row r="4277" customFormat="false" ht="15" hidden="false" customHeight="false" outlineLevel="0" collapsed="false">
      <c r="A4277" s="0" t="n">
        <v>3</v>
      </c>
      <c r="B4277" s="59" t="n">
        <v>46252</v>
      </c>
      <c r="C4277" s="0" t="n">
        <v>11</v>
      </c>
      <c r="D4277" s="0" t="s">
        <v>2126</v>
      </c>
      <c r="E4277" s="0" t="n">
        <v>10048</v>
      </c>
      <c r="F4277" s="0" t="s">
        <v>1625</v>
      </c>
      <c r="I4277" s="0" t="n">
        <v>3017</v>
      </c>
      <c r="J4277" s="0" t="n">
        <v>12663</v>
      </c>
      <c r="K4277" s="0" t="n">
        <v>7891000061190</v>
      </c>
      <c r="L4277" s="0" t="s">
        <v>3822</v>
      </c>
      <c r="N4277" s="0" t="n">
        <v>24</v>
      </c>
      <c r="O4277" s="60" t="n">
        <v>147</v>
      </c>
    </row>
    <row r="4278" customFormat="false" ht="15" hidden="false" customHeight="false" outlineLevel="0" collapsed="false">
      <c r="A4278" s="0" t="n">
        <v>3</v>
      </c>
      <c r="B4278" s="59" t="n">
        <v>46252</v>
      </c>
      <c r="C4278" s="0" t="n">
        <v>11</v>
      </c>
      <c r="D4278" s="0" t="s">
        <v>2126</v>
      </c>
      <c r="E4278" s="0" t="n">
        <v>10048</v>
      </c>
      <c r="F4278" s="0" t="s">
        <v>1625</v>
      </c>
      <c r="I4278" s="0" t="n">
        <v>3017</v>
      </c>
      <c r="J4278" s="0" t="n">
        <v>18822</v>
      </c>
      <c r="K4278" s="0" t="n">
        <v>7898332870025</v>
      </c>
      <c r="L4278" s="0" t="s">
        <v>2649</v>
      </c>
      <c r="N4278" s="0" t="n">
        <v>20</v>
      </c>
      <c r="O4278" s="60" t="n">
        <v>60</v>
      </c>
    </row>
    <row r="4279" customFormat="false" ht="15" hidden="false" customHeight="false" outlineLevel="0" collapsed="false">
      <c r="A4279" s="0" t="n">
        <v>3</v>
      </c>
      <c r="B4279" s="59" t="n">
        <v>46252</v>
      </c>
      <c r="C4279" s="0" t="n">
        <v>11</v>
      </c>
      <c r="D4279" s="0" t="s">
        <v>2126</v>
      </c>
      <c r="E4279" s="0" t="n">
        <v>10048</v>
      </c>
      <c r="F4279" s="0" t="s">
        <v>1625</v>
      </c>
      <c r="I4279" s="0" t="n">
        <v>3017</v>
      </c>
      <c r="J4279" s="0" t="n">
        <v>18846</v>
      </c>
      <c r="K4279" s="0" t="n">
        <v>7898332870056</v>
      </c>
      <c r="L4279" s="0" t="s">
        <v>2650</v>
      </c>
      <c r="N4279" s="0" t="n">
        <v>30</v>
      </c>
      <c r="O4279" s="60" t="n">
        <v>105</v>
      </c>
    </row>
    <row r="4280" customFormat="false" ht="15" hidden="false" customHeight="false" outlineLevel="0" collapsed="false">
      <c r="A4280" s="0" t="n">
        <v>3</v>
      </c>
      <c r="B4280" s="59" t="n">
        <v>46252</v>
      </c>
      <c r="C4280" s="0" t="n">
        <v>11</v>
      </c>
      <c r="D4280" s="0" t="s">
        <v>2126</v>
      </c>
      <c r="E4280" s="0" t="n">
        <v>10048</v>
      </c>
      <c r="F4280" s="0" t="s">
        <v>1625</v>
      </c>
      <c r="I4280" s="0" t="n">
        <v>3017</v>
      </c>
      <c r="J4280" s="0" t="n">
        <v>40257</v>
      </c>
      <c r="K4280" s="0" t="n">
        <v>7898332870438</v>
      </c>
      <c r="L4280" s="0" t="s">
        <v>2653</v>
      </c>
      <c r="N4280" s="0" t="n">
        <v>500</v>
      </c>
      <c r="O4280" s="60" t="n">
        <v>300</v>
      </c>
    </row>
    <row r="4281" customFormat="false" ht="15" hidden="false" customHeight="false" outlineLevel="0" collapsed="false">
      <c r="A4281" s="0" t="n">
        <v>3</v>
      </c>
      <c r="B4281" s="59" t="n">
        <v>46252</v>
      </c>
      <c r="C4281" s="0" t="n">
        <v>11</v>
      </c>
      <c r="D4281" s="0" t="s">
        <v>2126</v>
      </c>
      <c r="E4281" s="0" t="n">
        <v>10048</v>
      </c>
      <c r="F4281" s="0" t="s">
        <v>1625</v>
      </c>
      <c r="I4281" s="0" t="n">
        <v>3017</v>
      </c>
      <c r="J4281" s="0" t="n">
        <v>70942</v>
      </c>
      <c r="K4281" s="0" t="n">
        <v>7891000412855</v>
      </c>
      <c r="L4281" s="0" t="s">
        <v>2928</v>
      </c>
      <c r="N4281" s="0" t="n">
        <v>36</v>
      </c>
      <c r="O4281" s="60" t="n">
        <v>351.73</v>
      </c>
    </row>
    <row r="4282" customFormat="false" ht="15" hidden="false" customHeight="false" outlineLevel="0" collapsed="false">
      <c r="A4282" s="0" t="n">
        <v>3</v>
      </c>
      <c r="B4282" s="59" t="n">
        <v>46252</v>
      </c>
      <c r="C4282" s="0" t="n">
        <v>11</v>
      </c>
      <c r="D4282" s="0" t="s">
        <v>2126</v>
      </c>
      <c r="E4282" s="0" t="n">
        <v>1432</v>
      </c>
      <c r="F4282" s="0" t="s">
        <v>956</v>
      </c>
      <c r="I4282" s="0" t="n">
        <v>3595</v>
      </c>
      <c r="J4282" s="0" t="n">
        <v>26881</v>
      </c>
      <c r="K4282" s="0" t="n">
        <v>7898951047044</v>
      </c>
      <c r="L4282" s="0" t="s">
        <v>2207</v>
      </c>
      <c r="N4282" s="0" t="n">
        <v>6</v>
      </c>
      <c r="O4282" s="60" t="n">
        <v>75.3</v>
      </c>
    </row>
    <row r="4283" customFormat="false" ht="15" hidden="false" customHeight="false" outlineLevel="0" collapsed="false">
      <c r="A4283" s="0" t="n">
        <v>3</v>
      </c>
      <c r="B4283" s="59" t="n">
        <v>46252</v>
      </c>
      <c r="C4283" s="0" t="n">
        <v>11</v>
      </c>
      <c r="D4283" s="0" t="s">
        <v>2126</v>
      </c>
      <c r="E4283" s="0" t="n">
        <v>1432</v>
      </c>
      <c r="F4283" s="0" t="s">
        <v>956</v>
      </c>
      <c r="I4283" s="0" t="n">
        <v>3595</v>
      </c>
      <c r="J4283" s="0" t="n">
        <v>26882</v>
      </c>
      <c r="K4283" s="0" t="n">
        <v>7898951047143</v>
      </c>
      <c r="L4283" s="0" t="s">
        <v>2207</v>
      </c>
      <c r="N4283" s="0" t="n">
        <v>2</v>
      </c>
      <c r="O4283" s="60" t="n">
        <v>25.1</v>
      </c>
    </row>
    <row r="4284" customFormat="false" ht="15" hidden="false" customHeight="false" outlineLevel="0" collapsed="false">
      <c r="A4284" s="0" t="n">
        <v>3</v>
      </c>
      <c r="B4284" s="59" t="n">
        <v>46252</v>
      </c>
      <c r="C4284" s="0" t="n">
        <v>11</v>
      </c>
      <c r="D4284" s="0" t="s">
        <v>2126</v>
      </c>
      <c r="E4284" s="0" t="n">
        <v>1432</v>
      </c>
      <c r="F4284" s="0" t="s">
        <v>956</v>
      </c>
      <c r="I4284" s="0" t="n">
        <v>3595</v>
      </c>
      <c r="J4284" s="0" t="n">
        <v>26883</v>
      </c>
      <c r="K4284" s="0" t="n">
        <v>7898951047136</v>
      </c>
      <c r="L4284" s="0" t="s">
        <v>2208</v>
      </c>
      <c r="N4284" s="0" t="n">
        <v>6</v>
      </c>
      <c r="O4284" s="60" t="n">
        <v>18.72</v>
      </c>
    </row>
    <row r="4285" customFormat="false" ht="15" hidden="false" customHeight="false" outlineLevel="0" collapsed="false">
      <c r="A4285" s="0" t="n">
        <v>3</v>
      </c>
      <c r="B4285" s="59" t="n">
        <v>46252</v>
      </c>
      <c r="C4285" s="0" t="n">
        <v>11</v>
      </c>
      <c r="D4285" s="0" t="s">
        <v>2126</v>
      </c>
      <c r="E4285" s="0" t="n">
        <v>1432</v>
      </c>
      <c r="F4285" s="0" t="s">
        <v>956</v>
      </c>
      <c r="I4285" s="0" t="n">
        <v>3595</v>
      </c>
      <c r="J4285" s="0" t="n">
        <v>36064</v>
      </c>
      <c r="K4285" s="0" t="n">
        <v>7898951047020</v>
      </c>
      <c r="L4285" s="0" t="s">
        <v>2210</v>
      </c>
      <c r="N4285" s="0" t="n">
        <v>5</v>
      </c>
      <c r="O4285" s="60" t="n">
        <v>61.65</v>
      </c>
    </row>
    <row r="4286" customFormat="false" ht="15" hidden="false" customHeight="false" outlineLevel="0" collapsed="false">
      <c r="A4286" s="0" t="n">
        <v>3</v>
      </c>
      <c r="B4286" s="59" t="n">
        <v>46252</v>
      </c>
      <c r="C4286" s="0" t="n">
        <v>11</v>
      </c>
      <c r="D4286" s="0" t="s">
        <v>2126</v>
      </c>
      <c r="E4286" s="0" t="n">
        <v>1432</v>
      </c>
      <c r="F4286" s="0" t="s">
        <v>956</v>
      </c>
      <c r="I4286" s="0" t="n">
        <v>3595</v>
      </c>
      <c r="J4286" s="0" t="n">
        <v>36356</v>
      </c>
      <c r="K4286" s="0" t="n">
        <v>7898951047037</v>
      </c>
      <c r="L4286" s="0" t="s">
        <v>2207</v>
      </c>
      <c r="N4286" s="0" t="n">
        <v>2</v>
      </c>
      <c r="O4286" s="60" t="n">
        <v>25.1</v>
      </c>
    </row>
    <row r="4287" customFormat="false" ht="15" hidden="false" customHeight="false" outlineLevel="0" collapsed="false">
      <c r="A4287" s="0" t="n">
        <v>3</v>
      </c>
      <c r="B4287" s="59" t="n">
        <v>46252</v>
      </c>
      <c r="C4287" s="0" t="n">
        <v>11</v>
      </c>
      <c r="D4287" s="0" t="s">
        <v>2126</v>
      </c>
      <c r="E4287" s="0" t="n">
        <v>1676</v>
      </c>
      <c r="F4287" s="0" t="s">
        <v>255</v>
      </c>
      <c r="I4287" s="0" t="n">
        <v>11361</v>
      </c>
      <c r="J4287" s="0" t="n">
        <v>109948</v>
      </c>
      <c r="K4287" s="0" t="n">
        <v>7891032013402</v>
      </c>
      <c r="L4287" s="0" t="s">
        <v>3247</v>
      </c>
      <c r="N4287" s="0" t="n">
        <v>12</v>
      </c>
      <c r="O4287" s="60" t="n">
        <v>51.47</v>
      </c>
    </row>
    <row r="4288" customFormat="false" ht="15" hidden="false" customHeight="false" outlineLevel="0" collapsed="false">
      <c r="A4288" s="0" t="n">
        <v>3</v>
      </c>
      <c r="B4288" s="59" t="n">
        <v>46252</v>
      </c>
      <c r="C4288" s="0" t="n">
        <v>11</v>
      </c>
      <c r="D4288" s="0" t="s">
        <v>2126</v>
      </c>
      <c r="E4288" s="0" t="n">
        <v>1676</v>
      </c>
      <c r="F4288" s="0" t="s">
        <v>255</v>
      </c>
      <c r="I4288" s="0" t="n">
        <v>11361</v>
      </c>
      <c r="J4288" s="0" t="n">
        <v>16057</v>
      </c>
      <c r="K4288" s="0" t="n">
        <v>7891032013303</v>
      </c>
      <c r="L4288" s="0" t="s">
        <v>3823</v>
      </c>
      <c r="N4288" s="0" t="n">
        <v>12</v>
      </c>
      <c r="O4288" s="60" t="n">
        <v>39.42</v>
      </c>
    </row>
    <row r="4289" customFormat="false" ht="15" hidden="false" customHeight="false" outlineLevel="0" collapsed="false">
      <c r="A4289" s="0" t="n">
        <v>3</v>
      </c>
      <c r="B4289" s="59" t="n">
        <v>46252</v>
      </c>
      <c r="C4289" s="0" t="n">
        <v>11</v>
      </c>
      <c r="D4289" s="0" t="s">
        <v>2126</v>
      </c>
      <c r="E4289" s="0" t="n">
        <v>1676</v>
      </c>
      <c r="F4289" s="0" t="s">
        <v>255</v>
      </c>
      <c r="I4289" s="0" t="n">
        <v>11361</v>
      </c>
      <c r="J4289" s="0" t="n">
        <v>16280</v>
      </c>
      <c r="K4289" s="0" t="n">
        <v>7898932838036</v>
      </c>
      <c r="L4289" s="0" t="s">
        <v>2491</v>
      </c>
      <c r="N4289" s="0" t="n">
        <v>10</v>
      </c>
      <c r="O4289" s="60" t="n">
        <v>25</v>
      </c>
    </row>
    <row r="4290" customFormat="false" ht="15" hidden="false" customHeight="false" outlineLevel="0" collapsed="false">
      <c r="A4290" s="0" t="n">
        <v>3</v>
      </c>
      <c r="B4290" s="59" t="n">
        <v>46252</v>
      </c>
      <c r="C4290" s="0" t="n">
        <v>11</v>
      </c>
      <c r="D4290" s="0" t="s">
        <v>2126</v>
      </c>
      <c r="E4290" s="0" t="n">
        <v>1676</v>
      </c>
      <c r="F4290" s="0" t="s">
        <v>255</v>
      </c>
      <c r="I4290" s="0" t="n">
        <v>11361</v>
      </c>
      <c r="J4290" s="0" t="n">
        <v>17770</v>
      </c>
      <c r="K4290" s="0" t="n">
        <v>7896327511984</v>
      </c>
      <c r="L4290" s="0" t="s">
        <v>2492</v>
      </c>
      <c r="N4290" s="0" t="n">
        <v>24</v>
      </c>
      <c r="O4290" s="60" t="n">
        <v>108.5</v>
      </c>
    </row>
    <row r="4291" customFormat="false" ht="15" hidden="false" customHeight="false" outlineLevel="0" collapsed="false">
      <c r="A4291" s="0" t="n">
        <v>3</v>
      </c>
      <c r="B4291" s="59" t="n">
        <v>46252</v>
      </c>
      <c r="C4291" s="0" t="n">
        <v>11</v>
      </c>
      <c r="D4291" s="0" t="s">
        <v>2126</v>
      </c>
      <c r="E4291" s="0" t="n">
        <v>1676</v>
      </c>
      <c r="F4291" s="0" t="s">
        <v>255</v>
      </c>
      <c r="I4291" s="0" t="n">
        <v>11361</v>
      </c>
      <c r="J4291" s="0" t="n">
        <v>46225</v>
      </c>
      <c r="K4291" s="0" t="n">
        <v>7891032014706</v>
      </c>
      <c r="L4291" s="0" t="s">
        <v>3824</v>
      </c>
      <c r="N4291" s="0" t="n">
        <v>32</v>
      </c>
      <c r="O4291" s="60" t="n">
        <v>98.09</v>
      </c>
    </row>
    <row r="4292" customFormat="false" ht="15" hidden="false" customHeight="false" outlineLevel="0" collapsed="false">
      <c r="A4292" s="0" t="n">
        <v>3</v>
      </c>
      <c r="B4292" s="59" t="n">
        <v>46252</v>
      </c>
      <c r="C4292" s="0" t="n">
        <v>11</v>
      </c>
      <c r="D4292" s="0" t="s">
        <v>2126</v>
      </c>
      <c r="E4292" s="0" t="n">
        <v>1676</v>
      </c>
      <c r="F4292" s="0" t="s">
        <v>255</v>
      </c>
      <c r="I4292" s="0" t="n">
        <v>11361</v>
      </c>
      <c r="J4292" s="0" t="n">
        <v>66251</v>
      </c>
      <c r="K4292" s="0" t="n">
        <v>7898961756073</v>
      </c>
      <c r="L4292" s="0" t="s">
        <v>3825</v>
      </c>
      <c r="N4292" s="0" t="n">
        <v>18</v>
      </c>
      <c r="O4292" s="60" t="n">
        <v>69.49</v>
      </c>
    </row>
    <row r="4293" customFormat="false" ht="15" hidden="false" customHeight="false" outlineLevel="0" collapsed="false">
      <c r="A4293" s="0" t="n">
        <v>3</v>
      </c>
      <c r="B4293" s="59" t="n">
        <v>46252</v>
      </c>
      <c r="C4293" s="0" t="n">
        <v>11</v>
      </c>
      <c r="D4293" s="0" t="s">
        <v>2126</v>
      </c>
      <c r="E4293" s="0" t="n">
        <v>1676</v>
      </c>
      <c r="F4293" s="0" t="s">
        <v>255</v>
      </c>
      <c r="I4293" s="0" t="n">
        <v>11361</v>
      </c>
      <c r="J4293" s="0" t="n">
        <v>74382</v>
      </c>
      <c r="K4293" s="0" t="n">
        <v>7896523109640</v>
      </c>
      <c r="L4293" s="0" t="s">
        <v>3826</v>
      </c>
      <c r="N4293" s="0" t="n">
        <v>12</v>
      </c>
      <c r="O4293" s="60" t="n">
        <v>43.2</v>
      </c>
    </row>
    <row r="4294" customFormat="false" ht="15" hidden="false" customHeight="false" outlineLevel="0" collapsed="false">
      <c r="A4294" s="0" t="n">
        <v>3</v>
      </c>
      <c r="B4294" s="59" t="n">
        <v>46252</v>
      </c>
      <c r="C4294" s="0" t="n">
        <v>11</v>
      </c>
      <c r="D4294" s="0" t="s">
        <v>2126</v>
      </c>
      <c r="E4294" s="0" t="n">
        <v>1676</v>
      </c>
      <c r="F4294" s="0" t="s">
        <v>255</v>
      </c>
      <c r="I4294" s="0" t="n">
        <v>11361</v>
      </c>
      <c r="J4294" s="0" t="n">
        <v>76653</v>
      </c>
      <c r="K4294" s="0" t="n">
        <v>7896552907484</v>
      </c>
      <c r="L4294" s="0" t="s">
        <v>2506</v>
      </c>
      <c r="N4294" s="0" t="n">
        <v>9</v>
      </c>
      <c r="O4294" s="60" t="n">
        <v>98.91</v>
      </c>
    </row>
    <row r="4295" customFormat="false" ht="15" hidden="false" customHeight="false" outlineLevel="0" collapsed="false">
      <c r="A4295" s="0" t="n">
        <v>3</v>
      </c>
      <c r="B4295" s="59" t="n">
        <v>46252</v>
      </c>
      <c r="C4295" s="0" t="n">
        <v>11</v>
      </c>
      <c r="D4295" s="0" t="s">
        <v>2126</v>
      </c>
      <c r="E4295" s="0" t="n">
        <v>1676</v>
      </c>
      <c r="F4295" s="0" t="s">
        <v>255</v>
      </c>
      <c r="I4295" s="0" t="n">
        <v>11361</v>
      </c>
      <c r="J4295" s="0" t="n">
        <v>81238</v>
      </c>
      <c r="K4295" s="0" t="n">
        <v>7898932839125</v>
      </c>
      <c r="L4295" s="0" t="s">
        <v>2510</v>
      </c>
      <c r="N4295" s="0" t="n">
        <v>10</v>
      </c>
      <c r="O4295" s="60" t="n">
        <v>114.5</v>
      </c>
    </row>
    <row r="4296" customFormat="false" ht="15" hidden="false" customHeight="false" outlineLevel="0" collapsed="false">
      <c r="A4296" s="0" t="n">
        <v>3</v>
      </c>
      <c r="B4296" s="59" t="n">
        <v>46252</v>
      </c>
      <c r="C4296" s="0" t="n">
        <v>11</v>
      </c>
      <c r="D4296" s="0" t="s">
        <v>2126</v>
      </c>
      <c r="E4296" s="0" t="n">
        <v>1676</v>
      </c>
      <c r="F4296" s="0" t="s">
        <v>255</v>
      </c>
      <c r="I4296" s="0" t="n">
        <v>11361</v>
      </c>
      <c r="J4296" s="0" t="n">
        <v>81239</v>
      </c>
      <c r="K4296" s="0" t="n">
        <v>7898932839132</v>
      </c>
      <c r="L4296" s="0" t="s">
        <v>3827</v>
      </c>
      <c r="N4296" s="0" t="n">
        <v>10</v>
      </c>
      <c r="O4296" s="60" t="n">
        <v>140</v>
      </c>
    </row>
    <row r="4297" customFormat="false" ht="15" hidden="false" customHeight="false" outlineLevel="0" collapsed="false">
      <c r="A4297" s="0" t="n">
        <v>3</v>
      </c>
      <c r="B4297" s="59" t="n">
        <v>46252</v>
      </c>
      <c r="C4297" s="0" t="n">
        <v>11</v>
      </c>
      <c r="D4297" s="0" t="s">
        <v>2126</v>
      </c>
      <c r="E4297" s="0" t="n">
        <v>1676</v>
      </c>
      <c r="F4297" s="0" t="s">
        <v>255</v>
      </c>
      <c r="I4297" s="0" t="n">
        <v>11361</v>
      </c>
      <c r="J4297" s="0" t="n">
        <v>81240</v>
      </c>
      <c r="K4297" s="0" t="n">
        <v>7896444211927</v>
      </c>
      <c r="L4297" s="0" t="s">
        <v>3828</v>
      </c>
      <c r="N4297" s="0" t="n">
        <v>12</v>
      </c>
      <c r="O4297" s="60" t="n">
        <v>42.98</v>
      </c>
    </row>
    <row r="4298" customFormat="false" ht="15" hidden="false" customHeight="false" outlineLevel="0" collapsed="false">
      <c r="A4298" s="0" t="n">
        <v>3</v>
      </c>
      <c r="B4298" s="59" t="n">
        <v>46252</v>
      </c>
      <c r="C4298" s="0" t="n">
        <v>11</v>
      </c>
      <c r="D4298" s="0" t="s">
        <v>2126</v>
      </c>
      <c r="E4298" s="0" t="n">
        <v>1676</v>
      </c>
      <c r="F4298" s="0" t="s">
        <v>255</v>
      </c>
      <c r="I4298" s="0" t="n">
        <v>11361</v>
      </c>
      <c r="J4298" s="0" t="n">
        <v>82100</v>
      </c>
      <c r="K4298" s="0" t="n">
        <v>7898932838609</v>
      </c>
      <c r="L4298" s="0" t="s">
        <v>3829</v>
      </c>
      <c r="N4298" s="0" t="n">
        <v>10</v>
      </c>
      <c r="O4298" s="60" t="n">
        <v>23</v>
      </c>
    </row>
    <row r="4299" customFormat="false" ht="15" hidden="false" customHeight="false" outlineLevel="0" collapsed="false">
      <c r="A4299" s="0" t="n">
        <v>3</v>
      </c>
      <c r="B4299" s="59" t="n">
        <v>46252</v>
      </c>
      <c r="C4299" s="0" t="n">
        <v>11</v>
      </c>
      <c r="D4299" s="0" t="s">
        <v>2126</v>
      </c>
      <c r="E4299" s="0" t="n">
        <v>1615</v>
      </c>
      <c r="F4299" s="0" t="s">
        <v>131</v>
      </c>
      <c r="I4299" s="0" t="n">
        <v>15134</v>
      </c>
      <c r="J4299" s="0" t="n">
        <v>100114</v>
      </c>
      <c r="K4299" s="0" t="n">
        <v>115</v>
      </c>
      <c r="L4299" s="0" t="s">
        <v>2253</v>
      </c>
      <c r="N4299" s="0" t="n">
        <v>18</v>
      </c>
      <c r="O4299" s="60" t="n">
        <v>180</v>
      </c>
    </row>
    <row r="4300" customFormat="false" ht="15" hidden="false" customHeight="false" outlineLevel="0" collapsed="false">
      <c r="A4300" s="0" t="n">
        <v>3</v>
      </c>
      <c r="B4300" s="59" t="n">
        <v>46252</v>
      </c>
      <c r="C4300" s="0" t="n">
        <v>11</v>
      </c>
      <c r="D4300" s="0" t="s">
        <v>2126</v>
      </c>
      <c r="E4300" s="0" t="n">
        <v>1615</v>
      </c>
      <c r="F4300" s="0" t="s">
        <v>131</v>
      </c>
      <c r="I4300" s="0" t="n">
        <v>15134</v>
      </c>
      <c r="J4300" s="0" t="n">
        <v>100119</v>
      </c>
      <c r="K4300" s="0" t="n">
        <v>120</v>
      </c>
      <c r="L4300" s="0" t="s">
        <v>2254</v>
      </c>
      <c r="N4300" s="0" t="n">
        <v>9</v>
      </c>
      <c r="O4300" s="60" t="n">
        <v>130</v>
      </c>
    </row>
    <row r="4301" customFormat="false" ht="15" hidden="false" customHeight="false" outlineLevel="0" collapsed="false">
      <c r="A4301" s="0" t="n">
        <v>3</v>
      </c>
      <c r="B4301" s="59" t="n">
        <v>46252</v>
      </c>
      <c r="C4301" s="0" t="n">
        <v>11</v>
      </c>
      <c r="D4301" s="0" t="s">
        <v>2126</v>
      </c>
      <c r="E4301" s="0" t="n">
        <v>1615</v>
      </c>
      <c r="F4301" s="0" t="s">
        <v>131</v>
      </c>
      <c r="I4301" s="0" t="n">
        <v>15134</v>
      </c>
      <c r="J4301" s="0" t="n">
        <v>37771</v>
      </c>
      <c r="K4301" s="0" t="n">
        <v>774574</v>
      </c>
      <c r="L4301" s="0" t="s">
        <v>2255</v>
      </c>
      <c r="N4301" s="0" t="n">
        <v>20</v>
      </c>
      <c r="O4301" s="60" t="n">
        <v>140</v>
      </c>
    </row>
    <row r="4302" customFormat="false" ht="15" hidden="false" customHeight="false" outlineLevel="0" collapsed="false">
      <c r="A4302" s="0" t="n">
        <v>3</v>
      </c>
      <c r="B4302" s="59" t="n">
        <v>46252</v>
      </c>
      <c r="C4302" s="0" t="n">
        <v>11</v>
      </c>
      <c r="D4302" s="0" t="s">
        <v>2126</v>
      </c>
      <c r="E4302" s="0" t="n">
        <v>1720</v>
      </c>
      <c r="F4302" s="0" t="s">
        <v>988</v>
      </c>
      <c r="I4302" s="0" t="n">
        <v>48211</v>
      </c>
      <c r="J4302" s="0" t="n">
        <v>101473</v>
      </c>
      <c r="K4302" s="0" t="n">
        <v>7897277300017</v>
      </c>
      <c r="L4302" s="0" t="s">
        <v>3830</v>
      </c>
      <c r="N4302" s="0" t="n">
        <v>24</v>
      </c>
      <c r="O4302" s="60" t="n">
        <v>88</v>
      </c>
    </row>
    <row r="4303" customFormat="false" ht="15" hidden="false" customHeight="false" outlineLevel="0" collapsed="false">
      <c r="A4303" s="0" t="n">
        <v>3</v>
      </c>
      <c r="B4303" s="59" t="n">
        <v>46252</v>
      </c>
      <c r="C4303" s="0" t="n">
        <v>11</v>
      </c>
      <c r="D4303" s="0" t="s">
        <v>2126</v>
      </c>
      <c r="E4303" s="0" t="n">
        <v>1720</v>
      </c>
      <c r="F4303" s="0" t="s">
        <v>988</v>
      </c>
      <c r="I4303" s="0" t="n">
        <v>48211</v>
      </c>
      <c r="J4303" s="0" t="n">
        <v>101475</v>
      </c>
      <c r="K4303" s="0" t="n">
        <v>7897277300062</v>
      </c>
      <c r="L4303" s="0" t="s">
        <v>3831</v>
      </c>
      <c r="N4303" s="0" t="n">
        <v>12</v>
      </c>
      <c r="O4303" s="60" t="n">
        <v>88</v>
      </c>
    </row>
    <row r="4304" customFormat="false" ht="15" hidden="false" customHeight="false" outlineLevel="0" collapsed="false">
      <c r="A4304" s="0" t="n">
        <v>3</v>
      </c>
      <c r="B4304" s="59" t="n">
        <v>46252</v>
      </c>
      <c r="C4304" s="0" t="n">
        <v>11</v>
      </c>
      <c r="D4304" s="0" t="s">
        <v>2126</v>
      </c>
      <c r="E4304" s="0" t="n">
        <v>1720</v>
      </c>
      <c r="F4304" s="0" t="s">
        <v>988</v>
      </c>
      <c r="I4304" s="0" t="n">
        <v>48211</v>
      </c>
      <c r="J4304" s="0" t="n">
        <v>101475</v>
      </c>
      <c r="K4304" s="0" t="n">
        <v>7897277300062</v>
      </c>
      <c r="L4304" s="0" t="s">
        <v>3831</v>
      </c>
      <c r="N4304" s="0" t="n">
        <v>12</v>
      </c>
      <c r="O4304" s="60" t="n">
        <v>88</v>
      </c>
    </row>
    <row r="4305" customFormat="false" ht="15" hidden="false" customHeight="false" outlineLevel="0" collapsed="false">
      <c r="A4305" s="0" t="n">
        <v>3</v>
      </c>
      <c r="B4305" s="59" t="n">
        <v>46252</v>
      </c>
      <c r="C4305" s="0" t="n">
        <v>11</v>
      </c>
      <c r="D4305" s="0" t="s">
        <v>2126</v>
      </c>
      <c r="E4305" s="0" t="n">
        <v>1720</v>
      </c>
      <c r="F4305" s="0" t="s">
        <v>988</v>
      </c>
      <c r="I4305" s="0" t="n">
        <v>48211</v>
      </c>
      <c r="J4305" s="0" t="n">
        <v>101477</v>
      </c>
      <c r="K4305" s="0" t="n">
        <v>7897277300956</v>
      </c>
      <c r="L4305" s="0" t="s">
        <v>3832</v>
      </c>
      <c r="N4305" s="0" t="n">
        <v>12</v>
      </c>
      <c r="O4305" s="60" t="n">
        <v>88</v>
      </c>
    </row>
    <row r="4306" customFormat="false" ht="15" hidden="false" customHeight="false" outlineLevel="0" collapsed="false">
      <c r="A4306" s="0" t="n">
        <v>3</v>
      </c>
      <c r="B4306" s="59" t="n">
        <v>46252</v>
      </c>
      <c r="C4306" s="0" t="n">
        <v>11</v>
      </c>
      <c r="D4306" s="0" t="s">
        <v>2126</v>
      </c>
      <c r="E4306" s="0" t="n">
        <v>1720</v>
      </c>
      <c r="F4306" s="0" t="s">
        <v>988</v>
      </c>
      <c r="I4306" s="0" t="n">
        <v>48211</v>
      </c>
      <c r="J4306" s="0" t="n">
        <v>103387</v>
      </c>
      <c r="K4306" s="0" t="n">
        <v>7897277300352</v>
      </c>
      <c r="L4306" s="0" t="s">
        <v>3833</v>
      </c>
      <c r="N4306" s="0" t="n">
        <v>12</v>
      </c>
      <c r="O4306" s="60" t="n">
        <v>89</v>
      </c>
    </row>
    <row r="4307" customFormat="false" ht="15" hidden="false" customHeight="false" outlineLevel="0" collapsed="false">
      <c r="A4307" s="0" t="n">
        <v>3</v>
      </c>
      <c r="B4307" s="59" t="n">
        <v>46252</v>
      </c>
      <c r="C4307" s="0" t="n">
        <v>11</v>
      </c>
      <c r="D4307" s="0" t="s">
        <v>2126</v>
      </c>
      <c r="E4307" s="0" t="n">
        <v>1720</v>
      </c>
      <c r="F4307" s="0" t="s">
        <v>988</v>
      </c>
      <c r="I4307" s="0" t="n">
        <v>48211</v>
      </c>
      <c r="J4307" s="0" t="n">
        <v>104343</v>
      </c>
      <c r="K4307" s="0" t="n">
        <v>7897277300116</v>
      </c>
      <c r="L4307" s="0" t="s">
        <v>3834</v>
      </c>
      <c r="N4307" s="0" t="n">
        <v>12</v>
      </c>
      <c r="O4307" s="60" t="n">
        <v>99.75</v>
      </c>
    </row>
    <row r="4308" customFormat="false" ht="15" hidden="false" customHeight="false" outlineLevel="0" collapsed="false">
      <c r="A4308" s="0" t="n">
        <v>3</v>
      </c>
      <c r="B4308" s="59" t="n">
        <v>46252</v>
      </c>
      <c r="C4308" s="0" t="n">
        <v>11</v>
      </c>
      <c r="D4308" s="0" t="s">
        <v>2126</v>
      </c>
      <c r="E4308" s="0" t="n">
        <v>1720</v>
      </c>
      <c r="F4308" s="0" t="s">
        <v>988</v>
      </c>
      <c r="I4308" s="0" t="n">
        <v>48211</v>
      </c>
      <c r="J4308" s="0" t="n">
        <v>105167</v>
      </c>
      <c r="K4308" s="0" t="n">
        <v>7897277300390</v>
      </c>
      <c r="L4308" s="0" t="s">
        <v>3835</v>
      </c>
      <c r="N4308" s="0" t="n">
        <v>24</v>
      </c>
      <c r="O4308" s="60" t="n">
        <v>83</v>
      </c>
    </row>
    <row r="4309" customFormat="false" ht="15" hidden="false" customHeight="false" outlineLevel="0" collapsed="false">
      <c r="A4309" s="0" t="n">
        <v>3</v>
      </c>
      <c r="B4309" s="59" t="n">
        <v>46252</v>
      </c>
      <c r="C4309" s="0" t="n">
        <v>11</v>
      </c>
      <c r="D4309" s="0" t="s">
        <v>2126</v>
      </c>
      <c r="E4309" s="0" t="n">
        <v>1720</v>
      </c>
      <c r="F4309" s="0" t="s">
        <v>988</v>
      </c>
      <c r="I4309" s="0" t="n">
        <v>48211</v>
      </c>
      <c r="J4309" s="0" t="n">
        <v>108038</v>
      </c>
      <c r="K4309" s="0" t="n">
        <v>7897277300123</v>
      </c>
      <c r="L4309" s="0" t="s">
        <v>3836</v>
      </c>
      <c r="N4309" s="0" t="n">
        <v>24</v>
      </c>
      <c r="O4309" s="60" t="n">
        <v>79.5</v>
      </c>
    </row>
    <row r="4310" customFormat="false" ht="15" hidden="false" customHeight="false" outlineLevel="0" collapsed="false">
      <c r="A4310" s="0" t="n">
        <v>3</v>
      </c>
      <c r="B4310" s="59" t="n">
        <v>46252</v>
      </c>
      <c r="C4310" s="0" t="n">
        <v>11</v>
      </c>
      <c r="D4310" s="0" t="s">
        <v>2126</v>
      </c>
      <c r="E4310" s="0" t="n">
        <v>1720</v>
      </c>
      <c r="F4310" s="0" t="s">
        <v>988</v>
      </c>
      <c r="I4310" s="0" t="n">
        <v>48211</v>
      </c>
      <c r="J4310" s="0" t="n">
        <v>108046</v>
      </c>
      <c r="K4310" s="0" t="n">
        <v>7897277300093</v>
      </c>
      <c r="L4310" s="0" t="s">
        <v>3837</v>
      </c>
      <c r="N4310" s="0" t="n">
        <v>12</v>
      </c>
      <c r="O4310" s="60" t="n">
        <v>25</v>
      </c>
    </row>
    <row r="4311" customFormat="false" ht="15" hidden="false" customHeight="false" outlineLevel="0" collapsed="false">
      <c r="A4311" s="0" t="n">
        <v>3</v>
      </c>
      <c r="B4311" s="59" t="n">
        <v>46252</v>
      </c>
      <c r="C4311" s="0" t="n">
        <v>11</v>
      </c>
      <c r="D4311" s="0" t="s">
        <v>2126</v>
      </c>
      <c r="E4311" s="0" t="n">
        <v>1720</v>
      </c>
      <c r="F4311" s="0" t="s">
        <v>988</v>
      </c>
      <c r="I4311" s="0" t="n">
        <v>48211</v>
      </c>
      <c r="J4311" s="0" t="n">
        <v>108048</v>
      </c>
      <c r="K4311" s="0" t="n">
        <v>7897277300031</v>
      </c>
      <c r="L4311" s="0" t="s">
        <v>3838</v>
      </c>
      <c r="N4311" s="0" t="n">
        <v>24</v>
      </c>
      <c r="O4311" s="60" t="n">
        <v>176</v>
      </c>
    </row>
    <row r="4312" customFormat="false" ht="15" hidden="false" customHeight="false" outlineLevel="0" collapsed="false">
      <c r="A4312" s="0" t="n">
        <v>3</v>
      </c>
      <c r="B4312" s="59" t="n">
        <v>46252</v>
      </c>
      <c r="C4312" s="0" t="n">
        <v>11</v>
      </c>
      <c r="D4312" s="0" t="s">
        <v>2126</v>
      </c>
      <c r="E4312" s="0" t="n">
        <v>1720</v>
      </c>
      <c r="F4312" s="0" t="s">
        <v>988</v>
      </c>
      <c r="I4312" s="0" t="n">
        <v>48211</v>
      </c>
      <c r="J4312" s="0" t="n">
        <v>12004</v>
      </c>
      <c r="K4312" s="0" t="n">
        <v>7897277300055</v>
      </c>
      <c r="L4312" s="0" t="s">
        <v>3839</v>
      </c>
      <c r="N4312" s="0" t="n">
        <v>12</v>
      </c>
      <c r="O4312" s="60" t="n">
        <v>88</v>
      </c>
    </row>
    <row r="4313" customFormat="false" ht="15" hidden="false" customHeight="false" outlineLevel="0" collapsed="false">
      <c r="A4313" s="0" t="n">
        <v>3</v>
      </c>
      <c r="B4313" s="59" t="n">
        <v>46252</v>
      </c>
      <c r="C4313" s="0" t="n">
        <v>11</v>
      </c>
      <c r="D4313" s="0" t="s">
        <v>2126</v>
      </c>
      <c r="E4313" s="0" t="n">
        <v>1720</v>
      </c>
      <c r="F4313" s="0" t="s">
        <v>988</v>
      </c>
      <c r="I4313" s="0" t="n">
        <v>48211</v>
      </c>
      <c r="J4313" s="0" t="n">
        <v>21553</v>
      </c>
      <c r="K4313" s="0" t="n">
        <v>7897277300970</v>
      </c>
      <c r="L4313" s="0" t="s">
        <v>3840</v>
      </c>
      <c r="N4313" s="0" t="n">
        <v>12</v>
      </c>
      <c r="O4313" s="60" t="n">
        <v>89</v>
      </c>
    </row>
    <row r="4314" customFormat="false" ht="15" hidden="false" customHeight="false" outlineLevel="0" collapsed="false">
      <c r="A4314" s="0" t="n">
        <v>3</v>
      </c>
      <c r="B4314" s="59" t="n">
        <v>46252</v>
      </c>
      <c r="C4314" s="0" t="n">
        <v>11</v>
      </c>
      <c r="D4314" s="0" t="s">
        <v>2126</v>
      </c>
      <c r="E4314" s="0" t="n">
        <v>1720</v>
      </c>
      <c r="F4314" s="0" t="s">
        <v>988</v>
      </c>
      <c r="I4314" s="0" t="n">
        <v>48211</v>
      </c>
      <c r="J4314" s="0" t="n">
        <v>21553</v>
      </c>
      <c r="K4314" s="0" t="n">
        <v>7897277300970</v>
      </c>
      <c r="L4314" s="0" t="s">
        <v>3840</v>
      </c>
      <c r="N4314" s="0" t="n">
        <v>36</v>
      </c>
      <c r="O4314" s="60" t="n">
        <v>267</v>
      </c>
    </row>
    <row r="4315" customFormat="false" ht="15" hidden="false" customHeight="false" outlineLevel="0" collapsed="false">
      <c r="A4315" s="0" t="n">
        <v>3</v>
      </c>
      <c r="B4315" s="59" t="n">
        <v>46252</v>
      </c>
      <c r="C4315" s="0" t="n">
        <v>11</v>
      </c>
      <c r="D4315" s="0" t="s">
        <v>2126</v>
      </c>
      <c r="E4315" s="0" t="n">
        <v>1720</v>
      </c>
      <c r="F4315" s="0" t="s">
        <v>988</v>
      </c>
      <c r="I4315" s="0" t="n">
        <v>48211</v>
      </c>
      <c r="J4315" s="0" t="n">
        <v>40316</v>
      </c>
      <c r="K4315" s="0" t="n">
        <v>7897277300130</v>
      </c>
      <c r="L4315" s="0" t="s">
        <v>3841</v>
      </c>
      <c r="N4315" s="0" t="n">
        <v>24</v>
      </c>
      <c r="O4315" s="60" t="n">
        <v>87</v>
      </c>
    </row>
    <row r="4316" customFormat="false" ht="15" hidden="false" customHeight="false" outlineLevel="0" collapsed="false">
      <c r="A4316" s="0" t="n">
        <v>3</v>
      </c>
      <c r="B4316" s="59" t="n">
        <v>46252</v>
      </c>
      <c r="C4316" s="0" t="n">
        <v>11</v>
      </c>
      <c r="D4316" s="0" t="s">
        <v>2126</v>
      </c>
      <c r="E4316" s="0" t="n">
        <v>1720</v>
      </c>
      <c r="F4316" s="0" t="s">
        <v>988</v>
      </c>
      <c r="I4316" s="0" t="n">
        <v>48211</v>
      </c>
      <c r="J4316" s="0" t="n">
        <v>55703</v>
      </c>
      <c r="K4316" s="0" t="n">
        <v>7897277300024</v>
      </c>
      <c r="L4316" s="0" t="s">
        <v>3842</v>
      </c>
      <c r="N4316" s="0" t="n">
        <v>36</v>
      </c>
      <c r="O4316" s="60" t="n">
        <v>264</v>
      </c>
    </row>
    <row r="4317" customFormat="false" ht="15" hidden="false" customHeight="false" outlineLevel="0" collapsed="false">
      <c r="A4317" s="0" t="n">
        <v>3</v>
      </c>
      <c r="B4317" s="59" t="n">
        <v>46252</v>
      </c>
      <c r="C4317" s="0" t="n">
        <v>11</v>
      </c>
      <c r="D4317" s="0" t="s">
        <v>2126</v>
      </c>
      <c r="E4317" s="0" t="n">
        <v>1720</v>
      </c>
      <c r="F4317" s="0" t="s">
        <v>988</v>
      </c>
      <c r="I4317" s="0" t="n">
        <v>48211</v>
      </c>
      <c r="J4317" s="0" t="n">
        <v>80222</v>
      </c>
      <c r="K4317" s="0" t="n">
        <v>802239</v>
      </c>
      <c r="L4317" s="0" t="s">
        <v>3843</v>
      </c>
      <c r="N4317" s="0" t="n">
        <v>12</v>
      </c>
      <c r="O4317" s="60" t="n">
        <v>89</v>
      </c>
    </row>
    <row r="4318" customFormat="false" ht="15" hidden="false" customHeight="false" outlineLevel="0" collapsed="false">
      <c r="A4318" s="0" t="n">
        <v>3</v>
      </c>
      <c r="B4318" s="59" t="n">
        <v>46252</v>
      </c>
      <c r="C4318" s="0" t="n">
        <v>11</v>
      </c>
      <c r="D4318" s="0" t="s">
        <v>2126</v>
      </c>
      <c r="E4318" s="0" t="n">
        <v>1720</v>
      </c>
      <c r="F4318" s="0" t="s">
        <v>988</v>
      </c>
      <c r="I4318" s="0" t="n">
        <v>48211</v>
      </c>
      <c r="J4318" s="0" t="n">
        <v>80224</v>
      </c>
      <c r="K4318" s="0" t="n">
        <v>802253</v>
      </c>
      <c r="L4318" s="0" t="s">
        <v>3844</v>
      </c>
      <c r="N4318" s="0" t="n">
        <v>12</v>
      </c>
      <c r="O4318" s="60" t="n">
        <v>89</v>
      </c>
    </row>
    <row r="4319" customFormat="false" ht="15" hidden="false" customHeight="false" outlineLevel="0" collapsed="false">
      <c r="A4319" s="0" t="n">
        <v>3</v>
      </c>
      <c r="B4319" s="59" t="n">
        <v>46252</v>
      </c>
      <c r="C4319" s="0" t="n">
        <v>11</v>
      </c>
      <c r="D4319" s="0" t="s">
        <v>2126</v>
      </c>
      <c r="E4319" s="0" t="n">
        <v>1739</v>
      </c>
      <c r="F4319" s="0" t="s">
        <v>1824</v>
      </c>
      <c r="I4319" s="0" t="n">
        <v>255147</v>
      </c>
      <c r="J4319" s="0" t="n">
        <v>50117</v>
      </c>
      <c r="K4319" s="0" t="n">
        <v>7898556850643</v>
      </c>
      <c r="L4319" s="0" t="s">
        <v>3845</v>
      </c>
      <c r="N4319" s="0" t="n">
        <v>6</v>
      </c>
      <c r="O4319" s="60" t="n">
        <v>25.68</v>
      </c>
    </row>
    <row r="4320" customFormat="false" ht="15" hidden="false" customHeight="false" outlineLevel="0" collapsed="false">
      <c r="A4320" s="0" t="n">
        <v>3</v>
      </c>
      <c r="B4320" s="59" t="n">
        <v>46252</v>
      </c>
      <c r="C4320" s="0" t="n">
        <v>11</v>
      </c>
      <c r="D4320" s="0" t="s">
        <v>2126</v>
      </c>
      <c r="E4320" s="0" t="n">
        <v>1739</v>
      </c>
      <c r="F4320" s="0" t="s">
        <v>1824</v>
      </c>
      <c r="I4320" s="0" t="n">
        <v>255147</v>
      </c>
      <c r="J4320" s="0" t="n">
        <v>100367</v>
      </c>
      <c r="K4320" s="0" t="n">
        <v>7896806700014</v>
      </c>
      <c r="L4320" s="0" t="s">
        <v>3846</v>
      </c>
      <c r="N4320" s="0" t="n">
        <v>6</v>
      </c>
      <c r="O4320" s="60" t="n">
        <v>14.1</v>
      </c>
    </row>
    <row r="4321" customFormat="false" ht="15" hidden="false" customHeight="false" outlineLevel="0" collapsed="false">
      <c r="A4321" s="0" t="n">
        <v>3</v>
      </c>
      <c r="B4321" s="59" t="n">
        <v>46252</v>
      </c>
      <c r="C4321" s="0" t="n">
        <v>11</v>
      </c>
      <c r="D4321" s="0" t="s">
        <v>2126</v>
      </c>
      <c r="E4321" s="0" t="n">
        <v>1739</v>
      </c>
      <c r="F4321" s="0" t="s">
        <v>1824</v>
      </c>
      <c r="I4321" s="0" t="n">
        <v>255147</v>
      </c>
      <c r="J4321" s="0" t="n">
        <v>100370</v>
      </c>
      <c r="K4321" s="0" t="n">
        <v>7896806700038</v>
      </c>
      <c r="L4321" s="0" t="s">
        <v>3847</v>
      </c>
      <c r="N4321" s="0" t="n">
        <v>6</v>
      </c>
      <c r="O4321" s="60" t="n">
        <v>29.7</v>
      </c>
    </row>
    <row r="4322" customFormat="false" ht="15" hidden="false" customHeight="false" outlineLevel="0" collapsed="false">
      <c r="A4322" s="0" t="n">
        <v>3</v>
      </c>
      <c r="B4322" s="59" t="n">
        <v>46252</v>
      </c>
      <c r="C4322" s="0" t="n">
        <v>11</v>
      </c>
      <c r="D4322" s="0" t="s">
        <v>2126</v>
      </c>
      <c r="E4322" s="0" t="n">
        <v>1739</v>
      </c>
      <c r="F4322" s="0" t="s">
        <v>1824</v>
      </c>
      <c r="I4322" s="0" t="n">
        <v>255147</v>
      </c>
      <c r="J4322" s="0" t="n">
        <v>100371</v>
      </c>
      <c r="K4322" s="0" t="n">
        <v>7896806700021</v>
      </c>
      <c r="L4322" s="0" t="s">
        <v>3848</v>
      </c>
      <c r="N4322" s="0" t="n">
        <v>6</v>
      </c>
      <c r="O4322" s="60" t="n">
        <v>21.9</v>
      </c>
    </row>
    <row r="4323" customFormat="false" ht="15" hidden="false" customHeight="false" outlineLevel="0" collapsed="false">
      <c r="A4323" s="0" t="n">
        <v>3</v>
      </c>
      <c r="B4323" s="59" t="n">
        <v>46252</v>
      </c>
      <c r="C4323" s="0" t="n">
        <v>11</v>
      </c>
      <c r="D4323" s="0" t="s">
        <v>2126</v>
      </c>
      <c r="E4323" s="0" t="n">
        <v>1739</v>
      </c>
      <c r="F4323" s="0" t="s">
        <v>1824</v>
      </c>
      <c r="I4323" s="0" t="n">
        <v>255147</v>
      </c>
      <c r="J4323" s="0" t="n">
        <v>100559</v>
      </c>
      <c r="K4323" s="0" t="n">
        <v>7896013501022</v>
      </c>
      <c r="L4323" s="0" t="s">
        <v>3849</v>
      </c>
      <c r="N4323" s="0" t="n">
        <v>3</v>
      </c>
      <c r="O4323" s="60" t="n">
        <v>17.73</v>
      </c>
    </row>
    <row r="4324" customFormat="false" ht="15" hidden="false" customHeight="false" outlineLevel="0" collapsed="false">
      <c r="A4324" s="0" t="n">
        <v>3</v>
      </c>
      <c r="B4324" s="59" t="n">
        <v>46252</v>
      </c>
      <c r="C4324" s="0" t="n">
        <v>11</v>
      </c>
      <c r="D4324" s="0" t="s">
        <v>2126</v>
      </c>
      <c r="E4324" s="0" t="n">
        <v>1739</v>
      </c>
      <c r="F4324" s="0" t="s">
        <v>1824</v>
      </c>
      <c r="I4324" s="0" t="n">
        <v>255147</v>
      </c>
      <c r="J4324" s="0" t="n">
        <v>100560</v>
      </c>
      <c r="K4324" s="0" t="n">
        <v>7896013514817</v>
      </c>
      <c r="L4324" s="0" t="s">
        <v>3850</v>
      </c>
      <c r="N4324" s="0" t="n">
        <v>3</v>
      </c>
      <c r="O4324" s="60" t="n">
        <v>17.73</v>
      </c>
    </row>
    <row r="4325" customFormat="false" ht="15" hidden="false" customHeight="false" outlineLevel="0" collapsed="false">
      <c r="A4325" s="0" t="n">
        <v>3</v>
      </c>
      <c r="B4325" s="59" t="n">
        <v>46252</v>
      </c>
      <c r="C4325" s="0" t="n">
        <v>11</v>
      </c>
      <c r="D4325" s="0" t="s">
        <v>2126</v>
      </c>
      <c r="E4325" s="0" t="n">
        <v>1739</v>
      </c>
      <c r="F4325" s="0" t="s">
        <v>1824</v>
      </c>
      <c r="I4325" s="0" t="n">
        <v>255147</v>
      </c>
      <c r="J4325" s="0" t="n">
        <v>100561</v>
      </c>
      <c r="K4325" s="0" t="n">
        <v>7896013501039</v>
      </c>
      <c r="L4325" s="0" t="s">
        <v>3851</v>
      </c>
      <c r="N4325" s="0" t="n">
        <v>3</v>
      </c>
      <c r="O4325" s="60" t="n">
        <v>17.73</v>
      </c>
    </row>
    <row r="4326" customFormat="false" ht="15" hidden="false" customHeight="false" outlineLevel="0" collapsed="false">
      <c r="A4326" s="0" t="n">
        <v>3</v>
      </c>
      <c r="B4326" s="59" t="n">
        <v>46252</v>
      </c>
      <c r="C4326" s="0" t="n">
        <v>11</v>
      </c>
      <c r="D4326" s="0" t="s">
        <v>2126</v>
      </c>
      <c r="E4326" s="0" t="n">
        <v>1739</v>
      </c>
      <c r="F4326" s="0" t="s">
        <v>1824</v>
      </c>
      <c r="I4326" s="0" t="n">
        <v>255147</v>
      </c>
      <c r="J4326" s="0" t="n">
        <v>100562</v>
      </c>
      <c r="K4326" s="0" t="n">
        <v>7896013502111</v>
      </c>
      <c r="L4326" s="0" t="s">
        <v>3852</v>
      </c>
      <c r="N4326" s="0" t="n">
        <v>3</v>
      </c>
      <c r="O4326" s="60" t="n">
        <v>17.73</v>
      </c>
    </row>
    <row r="4327" customFormat="false" ht="15" hidden="false" customHeight="false" outlineLevel="0" collapsed="false">
      <c r="A4327" s="0" t="n">
        <v>3</v>
      </c>
      <c r="B4327" s="59" t="n">
        <v>46252</v>
      </c>
      <c r="C4327" s="0" t="n">
        <v>11</v>
      </c>
      <c r="D4327" s="0" t="s">
        <v>2126</v>
      </c>
      <c r="E4327" s="0" t="n">
        <v>1739</v>
      </c>
      <c r="F4327" s="0" t="s">
        <v>1824</v>
      </c>
      <c r="I4327" s="0" t="n">
        <v>255147</v>
      </c>
      <c r="J4327" s="0" t="n">
        <v>100563</v>
      </c>
      <c r="K4327" s="0" t="n">
        <v>7896013500643</v>
      </c>
      <c r="L4327" s="0" t="s">
        <v>3853</v>
      </c>
      <c r="N4327" s="0" t="n">
        <v>3</v>
      </c>
      <c r="O4327" s="60" t="n">
        <v>17.73</v>
      </c>
    </row>
    <row r="4328" customFormat="false" ht="15" hidden="false" customHeight="false" outlineLevel="0" collapsed="false">
      <c r="A4328" s="0" t="n">
        <v>3</v>
      </c>
      <c r="B4328" s="59" t="n">
        <v>46252</v>
      </c>
      <c r="C4328" s="0" t="n">
        <v>11</v>
      </c>
      <c r="D4328" s="0" t="s">
        <v>2126</v>
      </c>
      <c r="E4328" s="0" t="n">
        <v>1739</v>
      </c>
      <c r="F4328" s="0" t="s">
        <v>1824</v>
      </c>
      <c r="I4328" s="0" t="n">
        <v>255147</v>
      </c>
      <c r="J4328" s="0" t="n">
        <v>100619</v>
      </c>
      <c r="K4328" s="0" t="n">
        <v>7891176113044</v>
      </c>
      <c r="L4328" s="0" t="s">
        <v>3854</v>
      </c>
      <c r="N4328" s="0" t="n">
        <v>6</v>
      </c>
      <c r="O4328" s="60" t="n">
        <v>56.1</v>
      </c>
    </row>
    <row r="4329" customFormat="false" ht="15" hidden="false" customHeight="false" outlineLevel="0" collapsed="false">
      <c r="A4329" s="0" t="n">
        <v>3</v>
      </c>
      <c r="B4329" s="59" t="n">
        <v>46252</v>
      </c>
      <c r="C4329" s="0" t="n">
        <v>11</v>
      </c>
      <c r="D4329" s="0" t="s">
        <v>2126</v>
      </c>
      <c r="E4329" s="0" t="n">
        <v>1739</v>
      </c>
      <c r="F4329" s="0" t="s">
        <v>1824</v>
      </c>
      <c r="I4329" s="0" t="n">
        <v>255147</v>
      </c>
      <c r="J4329" s="0" t="n">
        <v>105208</v>
      </c>
      <c r="K4329" s="0" t="n">
        <v>7891176113068</v>
      </c>
      <c r="L4329" s="0" t="s">
        <v>3855</v>
      </c>
      <c r="N4329" s="0" t="n">
        <v>6</v>
      </c>
      <c r="O4329" s="60" t="n">
        <v>84</v>
      </c>
    </row>
    <row r="4330" customFormat="false" ht="15" hidden="false" customHeight="false" outlineLevel="0" collapsed="false">
      <c r="A4330" s="0" t="n">
        <v>3</v>
      </c>
      <c r="B4330" s="59" t="n">
        <v>46252</v>
      </c>
      <c r="C4330" s="0" t="n">
        <v>11</v>
      </c>
      <c r="D4330" s="0" t="s">
        <v>2126</v>
      </c>
      <c r="E4330" s="0" t="n">
        <v>1739</v>
      </c>
      <c r="F4330" s="0" t="s">
        <v>1824</v>
      </c>
      <c r="I4330" s="0" t="n">
        <v>255147</v>
      </c>
      <c r="J4330" s="0" t="n">
        <v>109119</v>
      </c>
      <c r="K4330" s="0" t="n">
        <v>7897042005048</v>
      </c>
      <c r="L4330" s="0" t="s">
        <v>3856</v>
      </c>
      <c r="N4330" s="0" t="n">
        <v>6</v>
      </c>
      <c r="O4330" s="60" t="n">
        <v>75.37</v>
      </c>
    </row>
    <row r="4331" customFormat="false" ht="15" hidden="false" customHeight="false" outlineLevel="0" collapsed="false">
      <c r="A4331" s="0" t="n">
        <v>3</v>
      </c>
      <c r="B4331" s="59" t="n">
        <v>46252</v>
      </c>
      <c r="C4331" s="0" t="n">
        <v>11</v>
      </c>
      <c r="D4331" s="0" t="s">
        <v>2126</v>
      </c>
      <c r="E4331" s="0" t="n">
        <v>1739</v>
      </c>
      <c r="F4331" s="0" t="s">
        <v>1824</v>
      </c>
      <c r="I4331" s="0" t="n">
        <v>255147</v>
      </c>
      <c r="J4331" s="0" t="n">
        <v>109120</v>
      </c>
      <c r="K4331" s="0" t="n">
        <v>7897042007226</v>
      </c>
      <c r="L4331" s="0" t="s">
        <v>3857</v>
      </c>
      <c r="N4331" s="0" t="n">
        <v>6</v>
      </c>
      <c r="O4331" s="60" t="n">
        <v>75.37</v>
      </c>
    </row>
    <row r="4332" customFormat="false" ht="15" hidden="false" customHeight="false" outlineLevel="0" collapsed="false">
      <c r="A4332" s="0" t="n">
        <v>3</v>
      </c>
      <c r="B4332" s="59" t="n">
        <v>46252</v>
      </c>
      <c r="C4332" s="0" t="n">
        <v>11</v>
      </c>
      <c r="D4332" s="0" t="s">
        <v>2126</v>
      </c>
      <c r="E4332" s="0" t="n">
        <v>1739</v>
      </c>
      <c r="F4332" s="0" t="s">
        <v>1824</v>
      </c>
      <c r="I4332" s="0" t="n">
        <v>255147</v>
      </c>
      <c r="J4332" s="0" t="n">
        <v>14709</v>
      </c>
      <c r="K4332" s="0" t="n">
        <v>7898095296476</v>
      </c>
      <c r="L4332" s="0" t="s">
        <v>3858</v>
      </c>
      <c r="N4332" s="0" t="n">
        <v>6</v>
      </c>
      <c r="O4332" s="60" t="n">
        <v>23.52</v>
      </c>
    </row>
    <row r="4333" customFormat="false" ht="15" hidden="false" customHeight="false" outlineLevel="0" collapsed="false">
      <c r="A4333" s="0" t="n">
        <v>3</v>
      </c>
      <c r="B4333" s="59" t="n">
        <v>46252</v>
      </c>
      <c r="C4333" s="0" t="n">
        <v>11</v>
      </c>
      <c r="D4333" s="0" t="s">
        <v>2126</v>
      </c>
      <c r="E4333" s="0" t="n">
        <v>1739</v>
      </c>
      <c r="F4333" s="0" t="s">
        <v>1824</v>
      </c>
      <c r="I4333" s="0" t="n">
        <v>255147</v>
      </c>
      <c r="J4333" s="0" t="n">
        <v>14742</v>
      </c>
      <c r="K4333" s="0" t="n">
        <v>7898148110407</v>
      </c>
      <c r="L4333" s="0" t="s">
        <v>3859</v>
      </c>
      <c r="N4333" s="0" t="n">
        <v>12</v>
      </c>
      <c r="O4333" s="60" t="n">
        <v>125.25</v>
      </c>
    </row>
    <row r="4334" customFormat="false" ht="15" hidden="false" customHeight="false" outlineLevel="0" collapsed="false">
      <c r="A4334" s="0" t="n">
        <v>3</v>
      </c>
      <c r="B4334" s="59" t="n">
        <v>46252</v>
      </c>
      <c r="C4334" s="0" t="n">
        <v>11</v>
      </c>
      <c r="D4334" s="0" t="s">
        <v>2126</v>
      </c>
      <c r="E4334" s="0" t="n">
        <v>1739</v>
      </c>
      <c r="F4334" s="0" t="s">
        <v>1824</v>
      </c>
      <c r="I4334" s="0" t="n">
        <v>255147</v>
      </c>
      <c r="J4334" s="0" t="n">
        <v>15911</v>
      </c>
      <c r="K4334" s="0" t="n">
        <v>7898095296452</v>
      </c>
      <c r="L4334" s="0" t="s">
        <v>3860</v>
      </c>
      <c r="N4334" s="0" t="n">
        <v>6</v>
      </c>
      <c r="O4334" s="60" t="n">
        <v>23.52</v>
      </c>
    </row>
    <row r="4335" customFormat="false" ht="15" hidden="false" customHeight="false" outlineLevel="0" collapsed="false">
      <c r="A4335" s="0" t="n">
        <v>3</v>
      </c>
      <c r="B4335" s="59" t="n">
        <v>46252</v>
      </c>
      <c r="C4335" s="0" t="n">
        <v>11</v>
      </c>
      <c r="D4335" s="0" t="s">
        <v>2126</v>
      </c>
      <c r="E4335" s="0" t="n">
        <v>1739</v>
      </c>
      <c r="F4335" s="0" t="s">
        <v>1824</v>
      </c>
      <c r="I4335" s="0" t="n">
        <v>255147</v>
      </c>
      <c r="J4335" s="0" t="n">
        <v>16689</v>
      </c>
      <c r="K4335" s="0" t="n">
        <v>7896013549604</v>
      </c>
      <c r="L4335" s="0" t="s">
        <v>3861</v>
      </c>
      <c r="N4335" s="0" t="n">
        <v>3</v>
      </c>
      <c r="O4335" s="60" t="n">
        <v>17.73</v>
      </c>
    </row>
    <row r="4336" customFormat="false" ht="15" hidden="false" customHeight="false" outlineLevel="0" collapsed="false">
      <c r="A4336" s="0" t="n">
        <v>3</v>
      </c>
      <c r="B4336" s="59" t="n">
        <v>46252</v>
      </c>
      <c r="C4336" s="0" t="n">
        <v>11</v>
      </c>
      <c r="D4336" s="0" t="s">
        <v>2126</v>
      </c>
      <c r="E4336" s="0" t="n">
        <v>1739</v>
      </c>
      <c r="F4336" s="0" t="s">
        <v>1824</v>
      </c>
      <c r="I4336" s="0" t="n">
        <v>255147</v>
      </c>
      <c r="J4336" s="0" t="n">
        <v>21613</v>
      </c>
      <c r="K4336" s="0" t="n">
        <v>7896902209114</v>
      </c>
      <c r="L4336" s="0" t="s">
        <v>3862</v>
      </c>
      <c r="N4336" s="0" t="n">
        <v>24</v>
      </c>
      <c r="O4336" s="60" t="n">
        <v>62.4</v>
      </c>
    </row>
    <row r="4337" customFormat="false" ht="15" hidden="false" customHeight="false" outlineLevel="0" collapsed="false">
      <c r="A4337" s="0" t="n">
        <v>3</v>
      </c>
      <c r="B4337" s="59" t="n">
        <v>46252</v>
      </c>
      <c r="C4337" s="0" t="n">
        <v>11</v>
      </c>
      <c r="D4337" s="0" t="s">
        <v>2126</v>
      </c>
      <c r="E4337" s="0" t="n">
        <v>1739</v>
      </c>
      <c r="F4337" s="0" t="s">
        <v>1824</v>
      </c>
      <c r="I4337" s="0" t="n">
        <v>255147</v>
      </c>
      <c r="J4337" s="0" t="n">
        <v>22110</v>
      </c>
      <c r="K4337" s="0" t="n">
        <v>7897161371024</v>
      </c>
      <c r="L4337" s="0" t="s">
        <v>3863</v>
      </c>
      <c r="N4337" s="0" t="n">
        <v>96</v>
      </c>
      <c r="O4337" s="60" t="n">
        <v>203</v>
      </c>
    </row>
    <row r="4338" customFormat="false" ht="15" hidden="false" customHeight="false" outlineLevel="0" collapsed="false">
      <c r="A4338" s="0" t="n">
        <v>3</v>
      </c>
      <c r="B4338" s="59" t="n">
        <v>46252</v>
      </c>
      <c r="C4338" s="0" t="n">
        <v>11</v>
      </c>
      <c r="D4338" s="0" t="s">
        <v>2126</v>
      </c>
      <c r="E4338" s="0" t="n">
        <v>1739</v>
      </c>
      <c r="F4338" s="0" t="s">
        <v>1824</v>
      </c>
      <c r="I4338" s="0" t="n">
        <v>255147</v>
      </c>
      <c r="J4338" s="0" t="n">
        <v>22548</v>
      </c>
      <c r="K4338" s="0" t="n">
        <v>7897161371031</v>
      </c>
      <c r="L4338" s="0" t="s">
        <v>3864</v>
      </c>
      <c r="N4338" s="0" t="n">
        <v>6</v>
      </c>
      <c r="O4338" s="60" t="n">
        <v>91.67</v>
      </c>
    </row>
    <row r="4339" customFormat="false" ht="15" hidden="false" customHeight="false" outlineLevel="0" collapsed="false">
      <c r="A4339" s="0" t="n">
        <v>3</v>
      </c>
      <c r="B4339" s="59" t="n">
        <v>46252</v>
      </c>
      <c r="C4339" s="0" t="n">
        <v>11</v>
      </c>
      <c r="D4339" s="0" t="s">
        <v>2126</v>
      </c>
      <c r="E4339" s="0" t="n">
        <v>1739</v>
      </c>
      <c r="F4339" s="0" t="s">
        <v>1824</v>
      </c>
      <c r="I4339" s="0" t="n">
        <v>255147</v>
      </c>
      <c r="J4339" s="0" t="n">
        <v>22549</v>
      </c>
      <c r="K4339" s="0" t="n">
        <v>7897161371055</v>
      </c>
      <c r="L4339" s="0" t="s">
        <v>3865</v>
      </c>
      <c r="N4339" s="0" t="n">
        <v>6</v>
      </c>
      <c r="O4339" s="60" t="n">
        <v>91.67</v>
      </c>
    </row>
    <row r="4340" customFormat="false" ht="15" hidden="false" customHeight="false" outlineLevel="0" collapsed="false">
      <c r="A4340" s="0" t="n">
        <v>3</v>
      </c>
      <c r="B4340" s="59" t="n">
        <v>46252</v>
      </c>
      <c r="C4340" s="0" t="n">
        <v>11</v>
      </c>
      <c r="D4340" s="0" t="s">
        <v>2126</v>
      </c>
      <c r="E4340" s="0" t="n">
        <v>1739</v>
      </c>
      <c r="F4340" s="0" t="s">
        <v>1824</v>
      </c>
      <c r="I4340" s="0" t="n">
        <v>255147</v>
      </c>
      <c r="J4340" s="0" t="n">
        <v>22550</v>
      </c>
      <c r="K4340" s="0" t="n">
        <v>7897161371048</v>
      </c>
      <c r="L4340" s="0" t="s">
        <v>3866</v>
      </c>
      <c r="N4340" s="0" t="n">
        <v>6</v>
      </c>
      <c r="O4340" s="60" t="n">
        <v>91.67</v>
      </c>
    </row>
    <row r="4341" customFormat="false" ht="15" hidden="false" customHeight="false" outlineLevel="0" collapsed="false">
      <c r="A4341" s="0" t="n">
        <v>3</v>
      </c>
      <c r="B4341" s="59" t="n">
        <v>46252</v>
      </c>
      <c r="C4341" s="0" t="n">
        <v>11</v>
      </c>
      <c r="D4341" s="0" t="s">
        <v>2126</v>
      </c>
      <c r="E4341" s="0" t="n">
        <v>1739</v>
      </c>
      <c r="F4341" s="0" t="s">
        <v>1824</v>
      </c>
      <c r="I4341" s="0" t="n">
        <v>255147</v>
      </c>
      <c r="J4341" s="0" t="n">
        <v>23254</v>
      </c>
      <c r="K4341" s="0" t="n">
        <v>7897161371017</v>
      </c>
      <c r="L4341" s="0" t="s">
        <v>3867</v>
      </c>
      <c r="N4341" s="0" t="n">
        <v>48</v>
      </c>
      <c r="O4341" s="60" t="n">
        <v>101.5</v>
      </c>
    </row>
    <row r="4342" customFormat="false" ht="15" hidden="false" customHeight="false" outlineLevel="0" collapsed="false">
      <c r="A4342" s="0" t="n">
        <v>3</v>
      </c>
      <c r="B4342" s="59" t="n">
        <v>46252</v>
      </c>
      <c r="C4342" s="0" t="n">
        <v>11</v>
      </c>
      <c r="D4342" s="0" t="s">
        <v>2126</v>
      </c>
      <c r="E4342" s="0" t="n">
        <v>1739</v>
      </c>
      <c r="F4342" s="0" t="s">
        <v>1824</v>
      </c>
      <c r="I4342" s="0" t="n">
        <v>255147</v>
      </c>
      <c r="J4342" s="0" t="n">
        <v>23706</v>
      </c>
      <c r="K4342" s="0" t="n">
        <v>7896902210561</v>
      </c>
      <c r="L4342" s="0" t="s">
        <v>3868</v>
      </c>
      <c r="N4342" s="0" t="n">
        <v>12</v>
      </c>
      <c r="O4342" s="60" t="n">
        <v>21.6</v>
      </c>
    </row>
    <row r="4343" customFormat="false" ht="15" hidden="false" customHeight="false" outlineLevel="0" collapsed="false">
      <c r="A4343" s="0" t="n">
        <v>3</v>
      </c>
      <c r="B4343" s="59" t="n">
        <v>46252</v>
      </c>
      <c r="C4343" s="0" t="n">
        <v>11</v>
      </c>
      <c r="D4343" s="0" t="s">
        <v>2126</v>
      </c>
      <c r="E4343" s="0" t="n">
        <v>1739</v>
      </c>
      <c r="F4343" s="0" t="s">
        <v>1824</v>
      </c>
      <c r="I4343" s="0" t="n">
        <v>255147</v>
      </c>
      <c r="J4343" s="0" t="n">
        <v>23707</v>
      </c>
      <c r="K4343" s="0" t="n">
        <v>7896902210608</v>
      </c>
      <c r="L4343" s="0" t="s">
        <v>3869</v>
      </c>
      <c r="N4343" s="0" t="n">
        <v>12</v>
      </c>
      <c r="O4343" s="60" t="n">
        <v>21.6</v>
      </c>
    </row>
    <row r="4344" customFormat="false" ht="15" hidden="false" customHeight="false" outlineLevel="0" collapsed="false">
      <c r="A4344" s="0" t="n">
        <v>3</v>
      </c>
      <c r="B4344" s="59" t="n">
        <v>46252</v>
      </c>
      <c r="C4344" s="0" t="n">
        <v>11</v>
      </c>
      <c r="D4344" s="0" t="s">
        <v>2126</v>
      </c>
      <c r="E4344" s="0" t="n">
        <v>1739</v>
      </c>
      <c r="F4344" s="0" t="s">
        <v>1824</v>
      </c>
      <c r="I4344" s="0" t="n">
        <v>255147</v>
      </c>
      <c r="J4344" s="0" t="n">
        <v>23708</v>
      </c>
      <c r="K4344" s="0" t="n">
        <v>7896902210646</v>
      </c>
      <c r="L4344" s="0" t="s">
        <v>3870</v>
      </c>
      <c r="N4344" s="0" t="n">
        <v>12</v>
      </c>
      <c r="O4344" s="60" t="n">
        <v>21.6</v>
      </c>
    </row>
    <row r="4345" customFormat="false" ht="15" hidden="false" customHeight="false" outlineLevel="0" collapsed="false">
      <c r="A4345" s="0" t="n">
        <v>3</v>
      </c>
      <c r="B4345" s="59" t="n">
        <v>46252</v>
      </c>
      <c r="C4345" s="0" t="n">
        <v>11</v>
      </c>
      <c r="D4345" s="0" t="s">
        <v>2126</v>
      </c>
      <c r="E4345" s="0" t="n">
        <v>1739</v>
      </c>
      <c r="F4345" s="0" t="s">
        <v>1824</v>
      </c>
      <c r="I4345" s="0" t="n">
        <v>255147</v>
      </c>
      <c r="J4345" s="0" t="n">
        <v>24604</v>
      </c>
      <c r="K4345" s="0" t="n">
        <v>7896902210530</v>
      </c>
      <c r="L4345" s="0" t="s">
        <v>3871</v>
      </c>
      <c r="N4345" s="0" t="n">
        <v>12</v>
      </c>
      <c r="O4345" s="60" t="n">
        <v>21.6</v>
      </c>
    </row>
    <row r="4346" customFormat="false" ht="15" hidden="false" customHeight="false" outlineLevel="0" collapsed="false">
      <c r="A4346" s="0" t="n">
        <v>3</v>
      </c>
      <c r="B4346" s="59" t="n">
        <v>46252</v>
      </c>
      <c r="C4346" s="0" t="n">
        <v>11</v>
      </c>
      <c r="D4346" s="0" t="s">
        <v>2126</v>
      </c>
      <c r="E4346" s="0" t="n">
        <v>1739</v>
      </c>
      <c r="F4346" s="0" t="s">
        <v>1824</v>
      </c>
      <c r="I4346" s="0" t="n">
        <v>255147</v>
      </c>
      <c r="J4346" s="0" t="n">
        <v>25235</v>
      </c>
      <c r="K4346" s="0" t="n">
        <v>7898148110360</v>
      </c>
      <c r="L4346" s="0" t="s">
        <v>3872</v>
      </c>
      <c r="N4346" s="0" t="n">
        <v>4</v>
      </c>
      <c r="O4346" s="60" t="n">
        <v>41.75</v>
      </c>
    </row>
    <row r="4347" customFormat="false" ht="15" hidden="false" customHeight="false" outlineLevel="0" collapsed="false">
      <c r="A4347" s="0" t="n">
        <v>3</v>
      </c>
      <c r="B4347" s="59" t="n">
        <v>46252</v>
      </c>
      <c r="C4347" s="0" t="n">
        <v>11</v>
      </c>
      <c r="D4347" s="0" t="s">
        <v>2126</v>
      </c>
      <c r="E4347" s="0" t="n">
        <v>1739</v>
      </c>
      <c r="F4347" s="0" t="s">
        <v>1824</v>
      </c>
      <c r="I4347" s="0" t="n">
        <v>255147</v>
      </c>
      <c r="J4347" s="0" t="n">
        <v>25236</v>
      </c>
      <c r="K4347" s="0" t="n">
        <v>7898148110384</v>
      </c>
      <c r="L4347" s="0" t="s">
        <v>3873</v>
      </c>
      <c r="N4347" s="0" t="n">
        <v>4</v>
      </c>
      <c r="O4347" s="60" t="n">
        <v>41.75</v>
      </c>
    </row>
    <row r="4348" customFormat="false" ht="15" hidden="false" customHeight="false" outlineLevel="0" collapsed="false">
      <c r="A4348" s="0" t="n">
        <v>3</v>
      </c>
      <c r="B4348" s="59" t="n">
        <v>46252</v>
      </c>
      <c r="C4348" s="0" t="n">
        <v>11</v>
      </c>
      <c r="D4348" s="0" t="s">
        <v>2126</v>
      </c>
      <c r="E4348" s="0" t="n">
        <v>1739</v>
      </c>
      <c r="F4348" s="0" t="s">
        <v>1824</v>
      </c>
      <c r="I4348" s="0" t="n">
        <v>255147</v>
      </c>
      <c r="J4348" s="0" t="n">
        <v>25237</v>
      </c>
      <c r="K4348" s="0" t="n">
        <v>7898148110377</v>
      </c>
      <c r="L4348" s="0" t="s">
        <v>3874</v>
      </c>
      <c r="N4348" s="0" t="n">
        <v>4</v>
      </c>
      <c r="O4348" s="60" t="n">
        <v>41.75</v>
      </c>
    </row>
    <row r="4349" customFormat="false" ht="15" hidden="false" customHeight="false" outlineLevel="0" collapsed="false">
      <c r="A4349" s="0" t="n">
        <v>3</v>
      </c>
      <c r="B4349" s="59" t="n">
        <v>46252</v>
      </c>
      <c r="C4349" s="0" t="n">
        <v>11</v>
      </c>
      <c r="D4349" s="0" t="s">
        <v>2126</v>
      </c>
      <c r="E4349" s="0" t="n">
        <v>1739</v>
      </c>
      <c r="F4349" s="0" t="s">
        <v>1824</v>
      </c>
      <c r="I4349" s="0" t="n">
        <v>255147</v>
      </c>
      <c r="J4349" s="0" t="n">
        <v>25454</v>
      </c>
      <c r="K4349" s="0" t="n">
        <v>7897042009121</v>
      </c>
      <c r="L4349" s="0" t="s">
        <v>3875</v>
      </c>
      <c r="N4349" s="0" t="n">
        <v>6</v>
      </c>
      <c r="O4349" s="60" t="n">
        <v>75.37</v>
      </c>
    </row>
    <row r="4350" customFormat="false" ht="15" hidden="false" customHeight="false" outlineLevel="0" collapsed="false">
      <c r="A4350" s="0" t="n">
        <v>3</v>
      </c>
      <c r="B4350" s="59" t="n">
        <v>46252</v>
      </c>
      <c r="C4350" s="0" t="n">
        <v>11</v>
      </c>
      <c r="D4350" s="0" t="s">
        <v>2126</v>
      </c>
      <c r="E4350" s="0" t="n">
        <v>1739</v>
      </c>
      <c r="F4350" s="0" t="s">
        <v>1824</v>
      </c>
      <c r="I4350" s="0" t="n">
        <v>255147</v>
      </c>
      <c r="J4350" s="0" t="n">
        <v>25697</v>
      </c>
      <c r="K4350" s="0" t="n">
        <v>7897161371000</v>
      </c>
      <c r="L4350" s="0" t="s">
        <v>3876</v>
      </c>
      <c r="N4350" s="0" t="n">
        <v>24</v>
      </c>
      <c r="O4350" s="60" t="n">
        <v>50.75</v>
      </c>
    </row>
    <row r="4351" customFormat="false" ht="15" hidden="false" customHeight="false" outlineLevel="0" collapsed="false">
      <c r="A4351" s="0" t="n">
        <v>3</v>
      </c>
      <c r="B4351" s="59" t="n">
        <v>46252</v>
      </c>
      <c r="C4351" s="0" t="n">
        <v>11</v>
      </c>
      <c r="D4351" s="0" t="s">
        <v>2126</v>
      </c>
      <c r="E4351" s="0" t="n">
        <v>1739</v>
      </c>
      <c r="F4351" s="0" t="s">
        <v>1824</v>
      </c>
      <c r="I4351" s="0" t="n">
        <v>255147</v>
      </c>
      <c r="J4351" s="0" t="n">
        <v>27285</v>
      </c>
      <c r="K4351" s="0" t="n">
        <v>7896902210554</v>
      </c>
      <c r="L4351" s="0" t="s">
        <v>3877</v>
      </c>
      <c r="N4351" s="0" t="n">
        <v>6</v>
      </c>
      <c r="O4351" s="60" t="n">
        <v>73.5</v>
      </c>
    </row>
    <row r="4352" customFormat="false" ht="15" hidden="false" customHeight="false" outlineLevel="0" collapsed="false">
      <c r="A4352" s="0" t="n">
        <v>3</v>
      </c>
      <c r="B4352" s="59" t="n">
        <v>46252</v>
      </c>
      <c r="C4352" s="0" t="n">
        <v>11</v>
      </c>
      <c r="D4352" s="0" t="s">
        <v>2126</v>
      </c>
      <c r="E4352" s="0" t="n">
        <v>1739</v>
      </c>
      <c r="F4352" s="0" t="s">
        <v>1824</v>
      </c>
      <c r="I4352" s="0" t="n">
        <v>255147</v>
      </c>
      <c r="J4352" s="0" t="n">
        <v>27316</v>
      </c>
      <c r="K4352" s="0" t="n">
        <v>7897042012312</v>
      </c>
      <c r="L4352" s="0" t="s">
        <v>3878</v>
      </c>
      <c r="N4352" s="0" t="n">
        <v>6</v>
      </c>
      <c r="O4352" s="60" t="n">
        <v>75.37</v>
      </c>
    </row>
    <row r="4353" customFormat="false" ht="15" hidden="false" customHeight="false" outlineLevel="0" collapsed="false">
      <c r="A4353" s="0" t="n">
        <v>3</v>
      </c>
      <c r="B4353" s="59" t="n">
        <v>46252</v>
      </c>
      <c r="C4353" s="0" t="n">
        <v>11</v>
      </c>
      <c r="D4353" s="0" t="s">
        <v>2126</v>
      </c>
      <c r="E4353" s="0" t="n">
        <v>1739</v>
      </c>
      <c r="F4353" s="0" t="s">
        <v>1824</v>
      </c>
      <c r="I4353" s="0" t="n">
        <v>255147</v>
      </c>
      <c r="J4353" s="0" t="n">
        <v>31813</v>
      </c>
      <c r="K4353" s="0" t="n">
        <v>7898148110353</v>
      </c>
      <c r="L4353" s="0" t="s">
        <v>3879</v>
      </c>
      <c r="N4353" s="0" t="n">
        <v>4</v>
      </c>
      <c r="O4353" s="60" t="n">
        <v>41.75</v>
      </c>
    </row>
    <row r="4354" customFormat="false" ht="15" hidden="false" customHeight="false" outlineLevel="0" collapsed="false">
      <c r="A4354" s="0" t="n">
        <v>3</v>
      </c>
      <c r="B4354" s="59" t="n">
        <v>46252</v>
      </c>
      <c r="C4354" s="0" t="n">
        <v>11</v>
      </c>
      <c r="D4354" s="0" t="s">
        <v>2126</v>
      </c>
      <c r="E4354" s="0" t="n">
        <v>1739</v>
      </c>
      <c r="F4354" s="0" t="s">
        <v>1824</v>
      </c>
      <c r="I4354" s="0" t="n">
        <v>255147</v>
      </c>
      <c r="J4354" s="0" t="n">
        <v>33595</v>
      </c>
      <c r="K4354" s="0" t="n">
        <v>7898148110346</v>
      </c>
      <c r="L4354" s="0" t="s">
        <v>3880</v>
      </c>
      <c r="N4354" s="0" t="n">
        <v>4</v>
      </c>
      <c r="O4354" s="60" t="n">
        <v>41.75</v>
      </c>
    </row>
    <row r="4355" customFormat="false" ht="15" hidden="false" customHeight="false" outlineLevel="0" collapsed="false">
      <c r="A4355" s="0" t="n">
        <v>3</v>
      </c>
      <c r="B4355" s="59" t="n">
        <v>46252</v>
      </c>
      <c r="C4355" s="0" t="n">
        <v>11</v>
      </c>
      <c r="D4355" s="0" t="s">
        <v>2126</v>
      </c>
      <c r="E4355" s="0" t="n">
        <v>1739</v>
      </c>
      <c r="F4355" s="0" t="s">
        <v>1824</v>
      </c>
      <c r="I4355" s="0" t="n">
        <v>255147</v>
      </c>
      <c r="J4355" s="0" t="n">
        <v>33837</v>
      </c>
      <c r="K4355" s="0" t="n">
        <v>7896902210639</v>
      </c>
      <c r="L4355" s="0" t="s">
        <v>3869</v>
      </c>
      <c r="N4355" s="0" t="n">
        <v>6</v>
      </c>
      <c r="O4355" s="60" t="n">
        <v>73.5</v>
      </c>
    </row>
    <row r="4356" customFormat="false" ht="15" hidden="false" customHeight="false" outlineLevel="0" collapsed="false">
      <c r="A4356" s="0" t="n">
        <v>3</v>
      </c>
      <c r="B4356" s="59" t="n">
        <v>46252</v>
      </c>
      <c r="C4356" s="0" t="n">
        <v>11</v>
      </c>
      <c r="D4356" s="0" t="s">
        <v>2126</v>
      </c>
      <c r="E4356" s="0" t="n">
        <v>1739</v>
      </c>
      <c r="F4356" s="0" t="s">
        <v>1824</v>
      </c>
      <c r="I4356" s="0" t="n">
        <v>255147</v>
      </c>
      <c r="J4356" s="0" t="n">
        <v>34154</v>
      </c>
      <c r="K4356" s="0" t="n">
        <v>7896902210677</v>
      </c>
      <c r="L4356" s="0" t="s">
        <v>3869</v>
      </c>
      <c r="N4356" s="0" t="n">
        <v>6</v>
      </c>
      <c r="O4356" s="60" t="n">
        <v>73.5</v>
      </c>
    </row>
    <row r="4357" customFormat="false" ht="15" hidden="false" customHeight="false" outlineLevel="0" collapsed="false">
      <c r="A4357" s="0" t="n">
        <v>3</v>
      </c>
      <c r="B4357" s="59" t="n">
        <v>46252</v>
      </c>
      <c r="C4357" s="0" t="n">
        <v>11</v>
      </c>
      <c r="D4357" s="0" t="s">
        <v>2126</v>
      </c>
      <c r="E4357" s="0" t="n">
        <v>1739</v>
      </c>
      <c r="F4357" s="0" t="s">
        <v>1824</v>
      </c>
      <c r="I4357" s="0" t="n">
        <v>255147</v>
      </c>
      <c r="J4357" s="0" t="n">
        <v>35217</v>
      </c>
      <c r="K4357" s="0" t="n">
        <v>7897042012473</v>
      </c>
      <c r="L4357" s="0" t="s">
        <v>3881</v>
      </c>
      <c r="N4357" s="0" t="n">
        <v>6</v>
      </c>
      <c r="O4357" s="60" t="n">
        <v>75.37</v>
      </c>
    </row>
    <row r="4358" customFormat="false" ht="15" hidden="false" customHeight="false" outlineLevel="0" collapsed="false">
      <c r="A4358" s="0" t="n">
        <v>3</v>
      </c>
      <c r="B4358" s="59" t="n">
        <v>46252</v>
      </c>
      <c r="C4358" s="0" t="n">
        <v>11</v>
      </c>
      <c r="D4358" s="0" t="s">
        <v>2126</v>
      </c>
      <c r="E4358" s="0" t="n">
        <v>1739</v>
      </c>
      <c r="F4358" s="0" t="s">
        <v>1824</v>
      </c>
      <c r="I4358" s="0" t="n">
        <v>255147</v>
      </c>
      <c r="J4358" s="0" t="n">
        <v>39134</v>
      </c>
      <c r="K4358" s="0" t="n">
        <v>7896085872648</v>
      </c>
      <c r="L4358" s="0" t="s">
        <v>3882</v>
      </c>
      <c r="N4358" s="0" t="n">
        <v>4</v>
      </c>
      <c r="O4358" s="60" t="n">
        <v>48.2</v>
      </c>
    </row>
    <row r="4359" customFormat="false" ht="15" hidden="false" customHeight="false" outlineLevel="0" collapsed="false">
      <c r="A4359" s="0" t="n">
        <v>3</v>
      </c>
      <c r="B4359" s="59" t="n">
        <v>46252</v>
      </c>
      <c r="C4359" s="0" t="n">
        <v>11</v>
      </c>
      <c r="D4359" s="0" t="s">
        <v>2126</v>
      </c>
      <c r="E4359" s="0" t="n">
        <v>1739</v>
      </c>
      <c r="F4359" s="0" t="s">
        <v>1824</v>
      </c>
      <c r="I4359" s="0" t="n">
        <v>255147</v>
      </c>
      <c r="J4359" s="0" t="n">
        <v>39137</v>
      </c>
      <c r="K4359" s="0" t="n">
        <v>7896085872679</v>
      </c>
      <c r="L4359" s="0" t="s">
        <v>3882</v>
      </c>
      <c r="N4359" s="0" t="n">
        <v>4</v>
      </c>
      <c r="O4359" s="60" t="n">
        <v>48.2</v>
      </c>
    </row>
    <row r="4360" customFormat="false" ht="15" hidden="false" customHeight="false" outlineLevel="0" collapsed="false">
      <c r="A4360" s="0" t="n">
        <v>3</v>
      </c>
      <c r="B4360" s="59" t="n">
        <v>46252</v>
      </c>
      <c r="C4360" s="0" t="n">
        <v>11</v>
      </c>
      <c r="D4360" s="0" t="s">
        <v>2126</v>
      </c>
      <c r="E4360" s="0" t="n">
        <v>1739</v>
      </c>
      <c r="F4360" s="0" t="s">
        <v>1824</v>
      </c>
      <c r="I4360" s="0" t="n">
        <v>255147</v>
      </c>
      <c r="J4360" s="0" t="n">
        <v>40514</v>
      </c>
      <c r="K4360" s="0" t="n">
        <v>7896902210592</v>
      </c>
      <c r="L4360" s="0" t="s">
        <v>3883</v>
      </c>
      <c r="N4360" s="0" t="n">
        <v>6</v>
      </c>
      <c r="O4360" s="60" t="n">
        <v>73.5</v>
      </c>
    </row>
    <row r="4361" customFormat="false" ht="15" hidden="false" customHeight="false" outlineLevel="0" collapsed="false">
      <c r="A4361" s="0" t="n">
        <v>3</v>
      </c>
      <c r="B4361" s="59" t="n">
        <v>46252</v>
      </c>
      <c r="C4361" s="0" t="n">
        <v>11</v>
      </c>
      <c r="D4361" s="0" t="s">
        <v>2126</v>
      </c>
      <c r="E4361" s="0" t="n">
        <v>1739</v>
      </c>
      <c r="F4361" s="0" t="s">
        <v>1824</v>
      </c>
      <c r="I4361" s="0" t="n">
        <v>255147</v>
      </c>
      <c r="J4361" s="0" t="n">
        <v>42446</v>
      </c>
      <c r="K4361" s="0" t="n">
        <v>7896183307004</v>
      </c>
      <c r="L4361" s="0" t="s">
        <v>3884</v>
      </c>
      <c r="N4361" s="0" t="n">
        <v>2</v>
      </c>
      <c r="O4361" s="60" t="n">
        <v>19.3</v>
      </c>
    </row>
    <row r="4362" customFormat="false" ht="15" hidden="false" customHeight="false" outlineLevel="0" collapsed="false">
      <c r="A4362" s="0" t="n">
        <v>3</v>
      </c>
      <c r="B4362" s="59" t="n">
        <v>46252</v>
      </c>
      <c r="C4362" s="0" t="n">
        <v>11</v>
      </c>
      <c r="D4362" s="0" t="s">
        <v>2126</v>
      </c>
      <c r="E4362" s="0" t="n">
        <v>1739</v>
      </c>
      <c r="F4362" s="0" t="s">
        <v>1824</v>
      </c>
      <c r="I4362" s="0" t="n">
        <v>255147</v>
      </c>
      <c r="J4362" s="0" t="n">
        <v>42572</v>
      </c>
      <c r="K4362" s="0" t="n">
        <v>7896085872549</v>
      </c>
      <c r="L4362" s="0" t="s">
        <v>3885</v>
      </c>
      <c r="N4362" s="0" t="n">
        <v>4</v>
      </c>
      <c r="O4362" s="60" t="n">
        <v>48.2</v>
      </c>
    </row>
    <row r="4363" customFormat="false" ht="15" hidden="false" customHeight="false" outlineLevel="0" collapsed="false">
      <c r="A4363" s="0" t="n">
        <v>3</v>
      </c>
      <c r="B4363" s="59" t="n">
        <v>46252</v>
      </c>
      <c r="C4363" s="0" t="n">
        <v>11</v>
      </c>
      <c r="D4363" s="0" t="s">
        <v>2126</v>
      </c>
      <c r="E4363" s="0" t="n">
        <v>1739</v>
      </c>
      <c r="F4363" s="0" t="s">
        <v>1824</v>
      </c>
      <c r="I4363" s="0" t="n">
        <v>255147</v>
      </c>
      <c r="J4363" s="0" t="n">
        <v>43049</v>
      </c>
      <c r="K4363" s="0" t="n">
        <v>7898556850049</v>
      </c>
      <c r="L4363" s="0" t="s">
        <v>3886</v>
      </c>
      <c r="N4363" s="0" t="n">
        <v>4</v>
      </c>
      <c r="O4363" s="60" t="n">
        <v>29.4</v>
      </c>
    </row>
    <row r="4364" customFormat="false" ht="15" hidden="false" customHeight="false" outlineLevel="0" collapsed="false">
      <c r="A4364" s="0" t="n">
        <v>3</v>
      </c>
      <c r="B4364" s="59" t="n">
        <v>46252</v>
      </c>
      <c r="C4364" s="0" t="n">
        <v>11</v>
      </c>
      <c r="D4364" s="0" t="s">
        <v>2126</v>
      </c>
      <c r="E4364" s="0" t="n">
        <v>1739</v>
      </c>
      <c r="F4364" s="0" t="s">
        <v>1824</v>
      </c>
      <c r="I4364" s="0" t="n">
        <v>255147</v>
      </c>
      <c r="J4364" s="0" t="n">
        <v>45554</v>
      </c>
      <c r="K4364" s="0" t="n">
        <v>7897042012732</v>
      </c>
      <c r="L4364" s="0" t="s">
        <v>3887</v>
      </c>
      <c r="N4364" s="0" t="n">
        <v>6</v>
      </c>
      <c r="O4364" s="60" t="n">
        <v>75.37</v>
      </c>
    </row>
    <row r="4365" customFormat="false" ht="15" hidden="false" customHeight="false" outlineLevel="0" collapsed="false">
      <c r="A4365" s="0" t="n">
        <v>3</v>
      </c>
      <c r="B4365" s="59" t="n">
        <v>46252</v>
      </c>
      <c r="C4365" s="0" t="n">
        <v>11</v>
      </c>
      <c r="D4365" s="0" t="s">
        <v>2126</v>
      </c>
      <c r="E4365" s="0" t="n">
        <v>1739</v>
      </c>
      <c r="F4365" s="0" t="s">
        <v>1824</v>
      </c>
      <c r="I4365" s="0" t="n">
        <v>255147</v>
      </c>
      <c r="J4365" s="0" t="n">
        <v>46046</v>
      </c>
      <c r="K4365" s="0" t="n">
        <v>7897042010714</v>
      </c>
      <c r="L4365" s="0" t="s">
        <v>3888</v>
      </c>
      <c r="N4365" s="0" t="n">
        <v>6</v>
      </c>
      <c r="O4365" s="60" t="n">
        <v>75.37</v>
      </c>
    </row>
    <row r="4366" customFormat="false" ht="15" hidden="false" customHeight="false" outlineLevel="0" collapsed="false">
      <c r="A4366" s="0" t="n">
        <v>3</v>
      </c>
      <c r="B4366" s="59" t="n">
        <v>46252</v>
      </c>
      <c r="C4366" s="0" t="n">
        <v>11</v>
      </c>
      <c r="D4366" s="0" t="s">
        <v>2126</v>
      </c>
      <c r="E4366" s="0" t="n">
        <v>1739</v>
      </c>
      <c r="F4366" s="0" t="s">
        <v>1824</v>
      </c>
      <c r="I4366" s="0" t="n">
        <v>255147</v>
      </c>
      <c r="J4366" s="0" t="n">
        <v>46914</v>
      </c>
      <c r="K4366" s="0" t="n">
        <v>7896085873126</v>
      </c>
      <c r="L4366" s="0" t="s">
        <v>3889</v>
      </c>
      <c r="N4366" s="0" t="n">
        <v>4</v>
      </c>
      <c r="O4366" s="60" t="n">
        <v>41.2</v>
      </c>
    </row>
    <row r="4367" customFormat="false" ht="15" hidden="false" customHeight="false" outlineLevel="0" collapsed="false">
      <c r="A4367" s="0" t="n">
        <v>3</v>
      </c>
      <c r="B4367" s="59" t="n">
        <v>46252</v>
      </c>
      <c r="C4367" s="0" t="n">
        <v>11</v>
      </c>
      <c r="D4367" s="0" t="s">
        <v>2126</v>
      </c>
      <c r="E4367" s="0" t="n">
        <v>1739</v>
      </c>
      <c r="F4367" s="0" t="s">
        <v>1824</v>
      </c>
      <c r="I4367" s="0" t="n">
        <v>255147</v>
      </c>
      <c r="J4367" s="0" t="n">
        <v>46915</v>
      </c>
      <c r="K4367" s="0" t="n">
        <v>7896085873072</v>
      </c>
      <c r="L4367" s="0" t="s">
        <v>3890</v>
      </c>
      <c r="N4367" s="0" t="n">
        <v>4</v>
      </c>
      <c r="O4367" s="60" t="n">
        <v>41.2</v>
      </c>
    </row>
    <row r="4368" customFormat="false" ht="15" hidden="false" customHeight="false" outlineLevel="0" collapsed="false">
      <c r="A4368" s="0" t="n">
        <v>3</v>
      </c>
      <c r="B4368" s="59" t="n">
        <v>46252</v>
      </c>
      <c r="C4368" s="0" t="n">
        <v>11</v>
      </c>
      <c r="D4368" s="0" t="s">
        <v>2126</v>
      </c>
      <c r="E4368" s="0" t="n">
        <v>1739</v>
      </c>
      <c r="F4368" s="0" t="s">
        <v>1824</v>
      </c>
      <c r="I4368" s="0" t="n">
        <v>255147</v>
      </c>
      <c r="J4368" s="0" t="n">
        <v>46916</v>
      </c>
      <c r="K4368" s="0" t="n">
        <v>7896085873119</v>
      </c>
      <c r="L4368" s="0" t="s">
        <v>3891</v>
      </c>
      <c r="N4368" s="0" t="n">
        <v>4</v>
      </c>
      <c r="O4368" s="60" t="n">
        <v>41.2</v>
      </c>
    </row>
    <row r="4369" customFormat="false" ht="15" hidden="false" customHeight="false" outlineLevel="0" collapsed="false">
      <c r="A4369" s="0" t="n">
        <v>3</v>
      </c>
      <c r="B4369" s="59" t="n">
        <v>46252</v>
      </c>
      <c r="C4369" s="0" t="n">
        <v>11</v>
      </c>
      <c r="D4369" s="0" t="s">
        <v>2126</v>
      </c>
      <c r="E4369" s="0" t="n">
        <v>1739</v>
      </c>
      <c r="F4369" s="0" t="s">
        <v>1824</v>
      </c>
      <c r="I4369" s="0" t="n">
        <v>255147</v>
      </c>
      <c r="J4369" s="0" t="n">
        <v>47751</v>
      </c>
      <c r="K4369" s="0" t="n">
        <v>7896085873140</v>
      </c>
      <c r="L4369" s="0" t="s">
        <v>3892</v>
      </c>
      <c r="N4369" s="0" t="n">
        <v>4</v>
      </c>
      <c r="O4369" s="60" t="n">
        <v>41.2</v>
      </c>
    </row>
    <row r="4370" customFormat="false" ht="15" hidden="false" customHeight="false" outlineLevel="0" collapsed="false">
      <c r="A4370" s="0" t="n">
        <v>3</v>
      </c>
      <c r="B4370" s="59" t="n">
        <v>46252</v>
      </c>
      <c r="C4370" s="0" t="n">
        <v>11</v>
      </c>
      <c r="D4370" s="0" t="s">
        <v>2126</v>
      </c>
      <c r="E4370" s="0" t="n">
        <v>1739</v>
      </c>
      <c r="F4370" s="0" t="s">
        <v>1824</v>
      </c>
      <c r="I4370" s="0" t="n">
        <v>255147</v>
      </c>
      <c r="J4370" s="0" t="n">
        <v>48201</v>
      </c>
      <c r="K4370" s="0" t="n">
        <v>7898556850551</v>
      </c>
      <c r="L4370" s="0" t="s">
        <v>3893</v>
      </c>
      <c r="N4370" s="0" t="n">
        <v>12</v>
      </c>
      <c r="O4370" s="60" t="n">
        <v>51.36</v>
      </c>
    </row>
    <row r="4371" customFormat="false" ht="15" hidden="false" customHeight="false" outlineLevel="0" collapsed="false">
      <c r="A4371" s="0" t="n">
        <v>3</v>
      </c>
      <c r="B4371" s="59" t="n">
        <v>46252</v>
      </c>
      <c r="C4371" s="0" t="n">
        <v>11</v>
      </c>
      <c r="D4371" s="0" t="s">
        <v>2126</v>
      </c>
      <c r="E4371" s="0" t="n">
        <v>1739</v>
      </c>
      <c r="F4371" s="0" t="s">
        <v>1824</v>
      </c>
      <c r="I4371" s="0" t="n">
        <v>255147</v>
      </c>
      <c r="J4371" s="0" t="n">
        <v>50003</v>
      </c>
      <c r="K4371" s="0" t="n">
        <v>7898556850636</v>
      </c>
      <c r="L4371" s="0" t="s">
        <v>3894</v>
      </c>
      <c r="N4371" s="0" t="n">
        <v>6</v>
      </c>
      <c r="O4371" s="60" t="n">
        <v>25.8</v>
      </c>
    </row>
    <row r="4372" customFormat="false" ht="15" hidden="false" customHeight="false" outlineLevel="0" collapsed="false">
      <c r="A4372" s="0" t="n">
        <v>3</v>
      </c>
      <c r="B4372" s="59" t="n">
        <v>46252</v>
      </c>
      <c r="C4372" s="0" t="n">
        <v>11</v>
      </c>
      <c r="D4372" s="0" t="s">
        <v>2126</v>
      </c>
      <c r="E4372" s="0" t="n">
        <v>1739</v>
      </c>
      <c r="F4372" s="0" t="s">
        <v>1824</v>
      </c>
      <c r="I4372" s="0" t="n">
        <v>255147</v>
      </c>
      <c r="J4372" s="0" t="n">
        <v>50008</v>
      </c>
      <c r="K4372" s="0" t="n">
        <v>7898556850650</v>
      </c>
      <c r="L4372" s="0" t="s">
        <v>3895</v>
      </c>
      <c r="N4372" s="0" t="n">
        <v>6</v>
      </c>
      <c r="O4372" s="60" t="n">
        <v>25.68</v>
      </c>
    </row>
    <row r="4373" customFormat="false" ht="15" hidden="false" customHeight="false" outlineLevel="0" collapsed="false">
      <c r="A4373" s="0" t="n">
        <v>3</v>
      </c>
      <c r="B4373" s="59" t="n">
        <v>46252</v>
      </c>
      <c r="C4373" s="0" t="n">
        <v>11</v>
      </c>
      <c r="D4373" s="0" t="s">
        <v>2126</v>
      </c>
      <c r="E4373" s="0" t="n">
        <v>1739</v>
      </c>
      <c r="F4373" s="0" t="s">
        <v>1824</v>
      </c>
      <c r="I4373" s="0" t="n">
        <v>255147</v>
      </c>
      <c r="J4373" s="0" t="n">
        <v>51587</v>
      </c>
      <c r="K4373" s="0" t="n">
        <v>7896085873089</v>
      </c>
      <c r="L4373" s="0" t="s">
        <v>3896</v>
      </c>
      <c r="N4373" s="0" t="n">
        <v>4</v>
      </c>
      <c r="O4373" s="60" t="n">
        <v>41.2</v>
      </c>
    </row>
    <row r="4374" customFormat="false" ht="15" hidden="false" customHeight="false" outlineLevel="0" collapsed="false">
      <c r="A4374" s="0" t="n">
        <v>3</v>
      </c>
      <c r="B4374" s="59" t="n">
        <v>46252</v>
      </c>
      <c r="C4374" s="0" t="n">
        <v>11</v>
      </c>
      <c r="D4374" s="0" t="s">
        <v>2126</v>
      </c>
      <c r="E4374" s="0" t="n">
        <v>1739</v>
      </c>
      <c r="F4374" s="0" t="s">
        <v>1824</v>
      </c>
      <c r="I4374" s="0" t="n">
        <v>255147</v>
      </c>
      <c r="J4374" s="0" t="n">
        <v>52822</v>
      </c>
      <c r="K4374" s="0" t="n">
        <v>7898903991951</v>
      </c>
      <c r="L4374" s="0" t="s">
        <v>3897</v>
      </c>
      <c r="N4374" s="0" t="n">
        <v>4</v>
      </c>
      <c r="O4374" s="60" t="n">
        <v>26.8</v>
      </c>
    </row>
    <row r="4375" customFormat="false" ht="15" hidden="false" customHeight="false" outlineLevel="0" collapsed="false">
      <c r="A4375" s="0" t="n">
        <v>3</v>
      </c>
      <c r="B4375" s="59" t="n">
        <v>46252</v>
      </c>
      <c r="C4375" s="0" t="n">
        <v>11</v>
      </c>
      <c r="D4375" s="0" t="s">
        <v>2126</v>
      </c>
      <c r="E4375" s="0" t="n">
        <v>1739</v>
      </c>
      <c r="F4375" s="0" t="s">
        <v>1824</v>
      </c>
      <c r="I4375" s="0" t="n">
        <v>255147</v>
      </c>
      <c r="J4375" s="0" t="n">
        <v>69567</v>
      </c>
      <c r="K4375" s="0" t="n">
        <v>7897042019304</v>
      </c>
      <c r="L4375" s="0" t="s">
        <v>3898</v>
      </c>
      <c r="N4375" s="0" t="n">
        <v>6</v>
      </c>
      <c r="O4375" s="60" t="n">
        <v>75.37</v>
      </c>
    </row>
    <row r="4376" customFormat="false" ht="15" hidden="false" customHeight="false" outlineLevel="0" collapsed="false">
      <c r="A4376" s="0" t="n">
        <v>3</v>
      </c>
      <c r="B4376" s="59" t="n">
        <v>46252</v>
      </c>
      <c r="C4376" s="0" t="n">
        <v>11</v>
      </c>
      <c r="D4376" s="0" t="s">
        <v>2126</v>
      </c>
      <c r="E4376" s="0" t="n">
        <v>1739</v>
      </c>
      <c r="F4376" s="0" t="s">
        <v>1824</v>
      </c>
      <c r="I4376" s="0" t="n">
        <v>255147</v>
      </c>
      <c r="J4376" s="0" t="n">
        <v>69568</v>
      </c>
      <c r="K4376" s="0" t="n">
        <v>7897042019328</v>
      </c>
      <c r="L4376" s="0" t="s">
        <v>3899</v>
      </c>
      <c r="N4376" s="0" t="n">
        <v>6</v>
      </c>
      <c r="O4376" s="60" t="n">
        <v>75.37</v>
      </c>
    </row>
    <row r="4377" customFormat="false" ht="15" hidden="false" customHeight="false" outlineLevel="0" collapsed="false">
      <c r="A4377" s="0" t="n">
        <v>3</v>
      </c>
      <c r="B4377" s="59" t="n">
        <v>46252</v>
      </c>
      <c r="C4377" s="0" t="n">
        <v>11</v>
      </c>
      <c r="D4377" s="0" t="s">
        <v>2126</v>
      </c>
      <c r="E4377" s="0" t="n">
        <v>1739</v>
      </c>
      <c r="F4377" s="0" t="s">
        <v>1824</v>
      </c>
      <c r="I4377" s="0" t="n">
        <v>255147</v>
      </c>
      <c r="J4377" s="0" t="n">
        <v>71282</v>
      </c>
      <c r="K4377" s="0" t="n">
        <v>7897042019311</v>
      </c>
      <c r="L4377" s="0" t="s">
        <v>3900</v>
      </c>
      <c r="N4377" s="0" t="n">
        <v>6</v>
      </c>
      <c r="O4377" s="60" t="n">
        <v>75.37</v>
      </c>
    </row>
    <row r="4378" customFormat="false" ht="15" hidden="false" customHeight="false" outlineLevel="0" collapsed="false">
      <c r="A4378" s="0" t="n">
        <v>3</v>
      </c>
      <c r="B4378" s="59" t="n">
        <v>46252</v>
      </c>
      <c r="C4378" s="0" t="n">
        <v>11</v>
      </c>
      <c r="D4378" s="0" t="s">
        <v>2126</v>
      </c>
      <c r="E4378" s="0" t="n">
        <v>1739</v>
      </c>
      <c r="F4378" s="0" t="s">
        <v>1824</v>
      </c>
      <c r="I4378" s="0" t="n">
        <v>255147</v>
      </c>
      <c r="J4378" s="0" t="n">
        <v>75274</v>
      </c>
      <c r="K4378" s="0" t="n">
        <v>7896085874307</v>
      </c>
      <c r="L4378" s="0" t="s">
        <v>3901</v>
      </c>
      <c r="N4378" s="0" t="n">
        <v>4</v>
      </c>
      <c r="O4378" s="60" t="n">
        <v>48.2</v>
      </c>
    </row>
    <row r="4379" customFormat="false" ht="15" hidden="false" customHeight="false" outlineLevel="0" collapsed="false">
      <c r="A4379" s="0" t="n">
        <v>3</v>
      </c>
      <c r="B4379" s="59" t="n">
        <v>46252</v>
      </c>
      <c r="C4379" s="0" t="n">
        <v>11</v>
      </c>
      <c r="D4379" s="0" t="s">
        <v>2126</v>
      </c>
      <c r="E4379" s="0" t="n">
        <v>1739</v>
      </c>
      <c r="F4379" s="0" t="s">
        <v>1824</v>
      </c>
      <c r="I4379" s="0" t="n">
        <v>255147</v>
      </c>
      <c r="J4379" s="0" t="n">
        <v>77457</v>
      </c>
      <c r="K4379" s="0" t="n">
        <v>7896085875892</v>
      </c>
      <c r="L4379" s="0" t="s">
        <v>3902</v>
      </c>
      <c r="N4379" s="0" t="n">
        <v>4</v>
      </c>
      <c r="O4379" s="60" t="n">
        <v>48.2</v>
      </c>
    </row>
    <row r="4380" customFormat="false" ht="15" hidden="false" customHeight="false" outlineLevel="0" collapsed="false">
      <c r="A4380" s="0" t="n">
        <v>3</v>
      </c>
      <c r="B4380" s="59" t="n">
        <v>46252</v>
      </c>
      <c r="C4380" s="0" t="n">
        <v>11</v>
      </c>
      <c r="D4380" s="0" t="s">
        <v>2126</v>
      </c>
      <c r="E4380" s="0" t="n">
        <v>1739</v>
      </c>
      <c r="F4380" s="0" t="s">
        <v>1824</v>
      </c>
      <c r="I4380" s="0" t="n">
        <v>255147</v>
      </c>
      <c r="J4380" s="0" t="n">
        <v>110908</v>
      </c>
      <c r="K4380" s="0" t="n">
        <v>7896085875861</v>
      </c>
      <c r="L4380" s="0" t="s">
        <v>3902</v>
      </c>
      <c r="N4380" s="0" t="n">
        <v>4</v>
      </c>
      <c r="O4380" s="60" t="n">
        <v>48.2</v>
      </c>
    </row>
    <row r="4381" customFormat="false" ht="15" hidden="false" customHeight="false" outlineLevel="0" collapsed="false">
      <c r="A4381" s="0" t="n">
        <v>3</v>
      </c>
      <c r="B4381" s="59" t="n">
        <v>46252</v>
      </c>
      <c r="C4381" s="0" t="n">
        <v>11</v>
      </c>
      <c r="D4381" s="0" t="s">
        <v>2126</v>
      </c>
      <c r="E4381" s="0" t="n">
        <v>1739</v>
      </c>
      <c r="F4381" s="0" t="s">
        <v>1824</v>
      </c>
      <c r="I4381" s="0" t="n">
        <v>255147</v>
      </c>
      <c r="J4381" s="0" t="n">
        <v>79375</v>
      </c>
      <c r="K4381" s="0" t="n">
        <v>7897042020355</v>
      </c>
      <c r="L4381" s="0" t="s">
        <v>3903</v>
      </c>
      <c r="N4381" s="0" t="n">
        <v>4</v>
      </c>
      <c r="O4381" s="60" t="n">
        <v>62.72</v>
      </c>
    </row>
    <row r="4382" customFormat="false" ht="15" hidden="false" customHeight="false" outlineLevel="0" collapsed="false">
      <c r="A4382" s="0" t="n">
        <v>3</v>
      </c>
      <c r="B4382" s="59" t="n">
        <v>46252</v>
      </c>
      <c r="C4382" s="0" t="n">
        <v>11</v>
      </c>
      <c r="D4382" s="0" t="s">
        <v>2126</v>
      </c>
      <c r="E4382" s="0" t="n">
        <v>1739</v>
      </c>
      <c r="F4382" s="0" t="s">
        <v>1824</v>
      </c>
      <c r="I4382" s="0" t="n">
        <v>255147</v>
      </c>
      <c r="J4382" s="0" t="n">
        <v>79376</v>
      </c>
      <c r="K4382" s="0" t="n">
        <v>7897042020171</v>
      </c>
      <c r="L4382" s="0" t="s">
        <v>3904</v>
      </c>
      <c r="N4382" s="0" t="n">
        <v>4</v>
      </c>
      <c r="O4382" s="60" t="n">
        <v>62.72</v>
      </c>
    </row>
    <row r="4383" customFormat="false" ht="15" hidden="false" customHeight="false" outlineLevel="0" collapsed="false">
      <c r="A4383" s="0" t="n">
        <v>3</v>
      </c>
      <c r="B4383" s="59" t="n">
        <v>46252</v>
      </c>
      <c r="C4383" s="0" t="n">
        <v>11</v>
      </c>
      <c r="D4383" s="0" t="s">
        <v>2126</v>
      </c>
      <c r="E4383" s="0" t="n">
        <v>1739</v>
      </c>
      <c r="F4383" s="0" t="s">
        <v>1824</v>
      </c>
      <c r="I4383" s="0" t="n">
        <v>255147</v>
      </c>
      <c r="J4383" s="0" t="n">
        <v>79378</v>
      </c>
      <c r="K4383" s="0" t="n">
        <v>7897042020324</v>
      </c>
      <c r="L4383" s="0" t="s">
        <v>3905</v>
      </c>
      <c r="N4383" s="0" t="n">
        <v>4</v>
      </c>
      <c r="O4383" s="60" t="n">
        <v>62.72</v>
      </c>
    </row>
    <row r="4384" customFormat="false" ht="15" hidden="false" customHeight="false" outlineLevel="0" collapsed="false">
      <c r="A4384" s="0" t="n">
        <v>3</v>
      </c>
      <c r="B4384" s="59" t="n">
        <v>46252</v>
      </c>
      <c r="C4384" s="0" t="n">
        <v>11</v>
      </c>
      <c r="D4384" s="0" t="s">
        <v>2126</v>
      </c>
      <c r="E4384" s="0" t="n">
        <v>1739</v>
      </c>
      <c r="F4384" s="0" t="s">
        <v>1824</v>
      </c>
      <c r="I4384" s="0" t="n">
        <v>255147</v>
      </c>
      <c r="J4384" s="0" t="n">
        <v>80798</v>
      </c>
      <c r="K4384" s="0" t="n">
        <v>7897042020690</v>
      </c>
      <c r="L4384" s="0" t="s">
        <v>3906</v>
      </c>
      <c r="N4384" s="0" t="n">
        <v>6</v>
      </c>
      <c r="O4384" s="60" t="n">
        <v>75.37</v>
      </c>
    </row>
    <row r="4385" customFormat="false" ht="15" hidden="false" customHeight="false" outlineLevel="0" collapsed="false">
      <c r="A4385" s="0" t="n">
        <v>3</v>
      </c>
      <c r="B4385" s="59" t="n">
        <v>46252</v>
      </c>
      <c r="C4385" s="0" t="n">
        <v>11</v>
      </c>
      <c r="D4385" s="0" t="s">
        <v>2126</v>
      </c>
      <c r="E4385" s="0" t="n">
        <v>1739</v>
      </c>
      <c r="F4385" s="0" t="s">
        <v>1824</v>
      </c>
      <c r="I4385" s="0" t="n">
        <v>255147</v>
      </c>
      <c r="J4385" s="0" t="n">
        <v>80799</v>
      </c>
      <c r="K4385" s="0" t="n">
        <v>7897042020683</v>
      </c>
      <c r="L4385" s="0" t="s">
        <v>3907</v>
      </c>
      <c r="N4385" s="0" t="n">
        <v>6</v>
      </c>
      <c r="O4385" s="60" t="n">
        <v>75.37</v>
      </c>
    </row>
    <row r="4386" customFormat="false" ht="15" hidden="false" customHeight="false" outlineLevel="0" collapsed="false">
      <c r="A4386" s="0" t="n">
        <v>3</v>
      </c>
      <c r="B4386" s="59" t="n">
        <v>46252</v>
      </c>
      <c r="C4386" s="0" t="n">
        <v>11</v>
      </c>
      <c r="D4386" s="0" t="s">
        <v>2126</v>
      </c>
      <c r="E4386" s="0" t="n">
        <v>1739</v>
      </c>
      <c r="F4386" s="0" t="s">
        <v>1824</v>
      </c>
      <c r="I4386" s="0" t="n">
        <v>255147</v>
      </c>
      <c r="J4386" s="0" t="n">
        <v>82102</v>
      </c>
      <c r="K4386" s="0" t="n">
        <v>7896049501621</v>
      </c>
      <c r="L4386" s="0" t="s">
        <v>3908</v>
      </c>
      <c r="N4386" s="0" t="n">
        <v>6</v>
      </c>
      <c r="O4386" s="60" t="n">
        <v>40.62</v>
      </c>
    </row>
    <row r="4387" customFormat="false" ht="15" hidden="false" customHeight="false" outlineLevel="0" collapsed="false">
      <c r="A4387" s="0" t="n">
        <v>3</v>
      </c>
      <c r="B4387" s="59" t="n">
        <v>46252</v>
      </c>
      <c r="C4387" s="0" t="n">
        <v>11</v>
      </c>
      <c r="D4387" s="0" t="s">
        <v>2126</v>
      </c>
      <c r="E4387" s="0" t="n">
        <v>1739</v>
      </c>
      <c r="F4387" s="0" t="s">
        <v>1824</v>
      </c>
      <c r="I4387" s="0" t="n">
        <v>255147</v>
      </c>
      <c r="J4387" s="0" t="n">
        <v>82103</v>
      </c>
      <c r="K4387" s="0" t="n">
        <v>7896049501638</v>
      </c>
      <c r="L4387" s="0" t="s">
        <v>3909</v>
      </c>
      <c r="N4387" s="0" t="n">
        <v>6</v>
      </c>
      <c r="O4387" s="60" t="n">
        <v>40.62</v>
      </c>
    </row>
    <row r="4388" customFormat="false" ht="15" hidden="false" customHeight="false" outlineLevel="0" collapsed="false">
      <c r="A4388" s="0" t="n">
        <v>3</v>
      </c>
      <c r="B4388" s="59" t="n">
        <v>46252</v>
      </c>
      <c r="C4388" s="0" t="n">
        <v>11</v>
      </c>
      <c r="D4388" s="0" t="s">
        <v>2126</v>
      </c>
      <c r="E4388" s="0" t="n">
        <v>1739</v>
      </c>
      <c r="F4388" s="0" t="s">
        <v>1824</v>
      </c>
      <c r="I4388" s="0" t="n">
        <v>255147</v>
      </c>
      <c r="J4388" s="0" t="n">
        <v>82104</v>
      </c>
      <c r="K4388" s="0" t="n">
        <v>7896049501645</v>
      </c>
      <c r="L4388" s="0" t="s">
        <v>3910</v>
      </c>
      <c r="N4388" s="0" t="n">
        <v>6</v>
      </c>
      <c r="O4388" s="60" t="n">
        <v>40.62</v>
      </c>
    </row>
    <row r="4389" customFormat="false" ht="15" hidden="false" customHeight="false" outlineLevel="0" collapsed="false">
      <c r="A4389" s="0" t="n">
        <v>3</v>
      </c>
      <c r="B4389" s="59" t="n">
        <v>46252</v>
      </c>
      <c r="C4389" s="0" t="n">
        <v>11</v>
      </c>
      <c r="D4389" s="0" t="s">
        <v>2126</v>
      </c>
      <c r="E4389" s="0" t="n">
        <v>1739</v>
      </c>
      <c r="F4389" s="0" t="s">
        <v>1824</v>
      </c>
      <c r="I4389" s="0" t="n">
        <v>255147</v>
      </c>
      <c r="J4389" s="0" t="n">
        <v>82105</v>
      </c>
      <c r="K4389" s="0" t="n">
        <v>7898556851091</v>
      </c>
      <c r="L4389" s="0" t="s">
        <v>3911</v>
      </c>
      <c r="N4389" s="0" t="n">
        <v>4</v>
      </c>
      <c r="O4389" s="60" t="n">
        <v>96.8</v>
      </c>
    </row>
    <row r="4390" customFormat="false" ht="15" hidden="false" customHeight="false" outlineLevel="0" collapsed="false">
      <c r="A4390" s="0" t="n">
        <v>3</v>
      </c>
      <c r="B4390" s="59" t="n">
        <v>46252</v>
      </c>
      <c r="C4390" s="0" t="n">
        <v>11</v>
      </c>
      <c r="D4390" s="0" t="s">
        <v>2126</v>
      </c>
      <c r="E4390" s="0" t="n">
        <v>1739</v>
      </c>
      <c r="F4390" s="0" t="s">
        <v>1824</v>
      </c>
      <c r="I4390" s="0" t="n">
        <v>255147</v>
      </c>
      <c r="J4390" s="0" t="n">
        <v>82106</v>
      </c>
      <c r="K4390" s="0" t="n">
        <v>7898670904390</v>
      </c>
      <c r="L4390" s="0" t="s">
        <v>3912</v>
      </c>
      <c r="N4390" s="0" t="n">
        <v>6</v>
      </c>
      <c r="O4390" s="60" t="n">
        <v>90</v>
      </c>
    </row>
    <row r="4391" customFormat="false" ht="15" hidden="false" customHeight="false" outlineLevel="0" collapsed="false">
      <c r="A4391" s="0" t="n">
        <v>3</v>
      </c>
      <c r="B4391" s="59" t="n">
        <v>46252</v>
      </c>
      <c r="C4391" s="0" t="n">
        <v>11</v>
      </c>
      <c r="D4391" s="0" t="s">
        <v>2126</v>
      </c>
      <c r="E4391" s="0" t="n">
        <v>1739</v>
      </c>
      <c r="F4391" s="0" t="s">
        <v>1824</v>
      </c>
      <c r="I4391" s="0" t="n">
        <v>255147</v>
      </c>
      <c r="J4391" s="0" t="n">
        <v>82107</v>
      </c>
      <c r="K4391" s="0" t="n">
        <v>7898670904413</v>
      </c>
      <c r="L4391" s="0" t="s">
        <v>3913</v>
      </c>
      <c r="N4391" s="0" t="n">
        <v>6</v>
      </c>
      <c r="O4391" s="60" t="n">
        <v>90</v>
      </c>
    </row>
    <row r="4392" customFormat="false" ht="15" hidden="false" customHeight="false" outlineLevel="0" collapsed="false">
      <c r="A4392" s="0" t="n">
        <v>3</v>
      </c>
      <c r="B4392" s="59" t="n">
        <v>46252</v>
      </c>
      <c r="C4392" s="0" t="n">
        <v>11</v>
      </c>
      <c r="D4392" s="0" t="s">
        <v>2126</v>
      </c>
      <c r="E4392" s="0" t="n">
        <v>1739</v>
      </c>
      <c r="F4392" s="0" t="s">
        <v>1824</v>
      </c>
      <c r="I4392" s="0" t="n">
        <v>255147</v>
      </c>
      <c r="J4392" s="0" t="n">
        <v>82108</v>
      </c>
      <c r="K4392" s="0" t="n">
        <v>7897042020195</v>
      </c>
      <c r="L4392" s="0" t="s">
        <v>3914</v>
      </c>
      <c r="N4392" s="0" t="n">
        <v>4</v>
      </c>
      <c r="O4392" s="60" t="n">
        <v>62.72</v>
      </c>
    </row>
    <row r="4393" customFormat="false" ht="15" hidden="false" customHeight="false" outlineLevel="0" collapsed="false">
      <c r="A4393" s="0" t="n">
        <v>3</v>
      </c>
      <c r="B4393" s="59" t="n">
        <v>46252</v>
      </c>
      <c r="C4393" s="0" t="n">
        <v>11</v>
      </c>
      <c r="D4393" s="0" t="s">
        <v>2126</v>
      </c>
      <c r="E4393" s="0" t="n">
        <v>1739</v>
      </c>
      <c r="F4393" s="0" t="s">
        <v>1824</v>
      </c>
      <c r="I4393" s="0" t="n">
        <v>255147</v>
      </c>
      <c r="J4393" s="0" t="n">
        <v>82109</v>
      </c>
      <c r="K4393" s="0" t="n">
        <v>7897042020201</v>
      </c>
      <c r="L4393" s="0" t="s">
        <v>3915</v>
      </c>
      <c r="N4393" s="0" t="n">
        <v>4</v>
      </c>
      <c r="O4393" s="60" t="n">
        <v>62.72</v>
      </c>
    </row>
    <row r="4394" customFormat="false" ht="15" hidden="false" customHeight="false" outlineLevel="0" collapsed="false">
      <c r="A4394" s="0" t="n">
        <v>3</v>
      </c>
      <c r="B4394" s="59" t="n">
        <v>46252</v>
      </c>
      <c r="C4394" s="0" t="n">
        <v>11</v>
      </c>
      <c r="D4394" s="0" t="s">
        <v>2126</v>
      </c>
      <c r="E4394" s="0" t="n">
        <v>1739</v>
      </c>
      <c r="F4394" s="0" t="s">
        <v>1824</v>
      </c>
      <c r="I4394" s="0" t="n">
        <v>255147</v>
      </c>
      <c r="J4394" s="0" t="n">
        <v>82110</v>
      </c>
      <c r="K4394" s="0" t="n">
        <v>7897042020249</v>
      </c>
      <c r="L4394" s="0" t="s">
        <v>3916</v>
      </c>
      <c r="N4394" s="0" t="n">
        <v>4</v>
      </c>
      <c r="O4394" s="60" t="n">
        <v>62.72</v>
      </c>
    </row>
    <row r="4395" customFormat="false" ht="15" hidden="false" customHeight="false" outlineLevel="0" collapsed="false">
      <c r="A4395" s="0" t="n">
        <v>3</v>
      </c>
      <c r="B4395" s="59" t="n">
        <v>46252</v>
      </c>
      <c r="C4395" s="0" t="n">
        <v>11</v>
      </c>
      <c r="D4395" s="0" t="s">
        <v>2126</v>
      </c>
      <c r="E4395" s="0" t="n">
        <v>1739</v>
      </c>
      <c r="F4395" s="0" t="s">
        <v>1824</v>
      </c>
      <c r="I4395" s="0" t="n">
        <v>255147</v>
      </c>
      <c r="J4395" s="0" t="n">
        <v>82111</v>
      </c>
      <c r="K4395" s="0" t="n">
        <v>7898136151290</v>
      </c>
      <c r="L4395" s="0" t="s">
        <v>3917</v>
      </c>
      <c r="N4395" s="0" t="n">
        <v>6</v>
      </c>
      <c r="O4395" s="60" t="n">
        <v>25.92</v>
      </c>
    </row>
    <row r="4396" customFormat="false" ht="15" hidden="false" customHeight="false" outlineLevel="0" collapsed="false">
      <c r="A4396" s="0" t="n">
        <v>3</v>
      </c>
      <c r="B4396" s="59" t="n">
        <v>46252</v>
      </c>
      <c r="C4396" s="0" t="n">
        <v>11</v>
      </c>
      <c r="D4396" s="0" t="s">
        <v>2126</v>
      </c>
      <c r="E4396" s="0" t="n">
        <v>1739</v>
      </c>
      <c r="F4396" s="0" t="s">
        <v>1824</v>
      </c>
      <c r="I4396" s="0" t="n">
        <v>255147</v>
      </c>
      <c r="J4396" s="0" t="n">
        <v>82112</v>
      </c>
      <c r="K4396" s="0" t="n">
        <v>7896049501607</v>
      </c>
      <c r="L4396" s="0" t="s">
        <v>3918</v>
      </c>
      <c r="N4396" s="0" t="n">
        <v>6</v>
      </c>
      <c r="O4396" s="60" t="n">
        <v>40.62</v>
      </c>
    </row>
    <row r="4397" customFormat="false" ht="15" hidden="false" customHeight="false" outlineLevel="0" collapsed="false">
      <c r="A4397" s="0" t="n">
        <v>3</v>
      </c>
      <c r="B4397" s="59" t="n">
        <v>46252</v>
      </c>
      <c r="C4397" s="0" t="n">
        <v>11</v>
      </c>
      <c r="D4397" s="0" t="s">
        <v>2126</v>
      </c>
      <c r="E4397" s="0" t="n">
        <v>1107</v>
      </c>
      <c r="F4397" s="0" t="s">
        <v>166</v>
      </c>
      <c r="I4397" s="0" t="n">
        <v>443784</v>
      </c>
      <c r="J4397" s="0" t="n">
        <v>14911</v>
      </c>
      <c r="K4397" s="0" t="n">
        <v>7896029022252</v>
      </c>
      <c r="L4397" s="0" t="s">
        <v>2545</v>
      </c>
      <c r="N4397" s="0" t="n">
        <v>72</v>
      </c>
      <c r="O4397" s="60" t="n">
        <v>138.1</v>
      </c>
    </row>
    <row r="4398" customFormat="false" ht="15" hidden="false" customHeight="false" outlineLevel="0" collapsed="false">
      <c r="A4398" s="0" t="n">
        <v>3</v>
      </c>
      <c r="B4398" s="59" t="n">
        <v>46252</v>
      </c>
      <c r="C4398" s="0" t="n">
        <v>11</v>
      </c>
      <c r="D4398" s="0" t="s">
        <v>2126</v>
      </c>
      <c r="E4398" s="0" t="n">
        <v>1107</v>
      </c>
      <c r="F4398" s="0" t="s">
        <v>166</v>
      </c>
      <c r="I4398" s="0" t="n">
        <v>443784</v>
      </c>
      <c r="J4398" s="0" t="n">
        <v>15432</v>
      </c>
      <c r="K4398" s="0" t="n">
        <v>7896029022276</v>
      </c>
      <c r="L4398" s="0" t="s">
        <v>2546</v>
      </c>
      <c r="N4398" s="0" t="n">
        <v>36</v>
      </c>
      <c r="O4398" s="60" t="n">
        <v>69.02</v>
      </c>
    </row>
    <row r="4399" customFormat="false" ht="15" hidden="false" customHeight="false" outlineLevel="0" collapsed="false">
      <c r="A4399" s="0" t="n">
        <v>3</v>
      </c>
      <c r="B4399" s="59" t="n">
        <v>46252</v>
      </c>
      <c r="C4399" s="0" t="n">
        <v>11</v>
      </c>
      <c r="D4399" s="0" t="s">
        <v>2126</v>
      </c>
      <c r="E4399" s="0" t="n">
        <v>1107</v>
      </c>
      <c r="F4399" s="0" t="s">
        <v>166</v>
      </c>
      <c r="I4399" s="0" t="n">
        <v>443784</v>
      </c>
      <c r="J4399" s="0" t="n">
        <v>22563</v>
      </c>
      <c r="K4399" s="0" t="n">
        <v>7896029015001</v>
      </c>
      <c r="L4399" s="0" t="s">
        <v>2548</v>
      </c>
      <c r="N4399" s="0" t="n">
        <v>72</v>
      </c>
      <c r="O4399" s="60" t="n">
        <v>138.04</v>
      </c>
    </row>
    <row r="4400" customFormat="false" ht="15" hidden="false" customHeight="false" outlineLevel="0" collapsed="false">
      <c r="A4400" s="0" t="n">
        <v>3</v>
      </c>
      <c r="B4400" s="59" t="n">
        <v>46252</v>
      </c>
      <c r="C4400" s="0" t="n">
        <v>11</v>
      </c>
      <c r="D4400" s="0" t="s">
        <v>2126</v>
      </c>
      <c r="E4400" s="0" t="n">
        <v>1107</v>
      </c>
      <c r="F4400" s="0" t="s">
        <v>166</v>
      </c>
      <c r="I4400" s="0" t="n">
        <v>443784</v>
      </c>
      <c r="J4400" s="0" t="n">
        <v>23310</v>
      </c>
      <c r="K4400" s="0" t="n">
        <v>7896029018958</v>
      </c>
      <c r="L4400" s="0" t="s">
        <v>2549</v>
      </c>
      <c r="N4400" s="0" t="n">
        <v>72</v>
      </c>
      <c r="O4400" s="60" t="n">
        <v>138.06</v>
      </c>
    </row>
    <row r="4401" customFormat="false" ht="15" hidden="false" customHeight="false" outlineLevel="0" collapsed="false">
      <c r="A4401" s="0" t="n">
        <v>3</v>
      </c>
      <c r="B4401" s="59" t="n">
        <v>46252</v>
      </c>
      <c r="C4401" s="0" t="n">
        <v>11</v>
      </c>
      <c r="D4401" s="0" t="s">
        <v>2126</v>
      </c>
      <c r="E4401" s="0" t="n">
        <v>1107</v>
      </c>
      <c r="F4401" s="0" t="s">
        <v>166</v>
      </c>
      <c r="I4401" s="0" t="n">
        <v>443784</v>
      </c>
      <c r="J4401" s="0" t="n">
        <v>23404</v>
      </c>
      <c r="K4401" s="0" t="n">
        <v>7896029014981</v>
      </c>
      <c r="L4401" s="0" t="s">
        <v>3919</v>
      </c>
      <c r="N4401" s="0" t="n">
        <v>36</v>
      </c>
      <c r="O4401" s="60" t="n">
        <v>69.02</v>
      </c>
    </row>
    <row r="4402" customFormat="false" ht="15" hidden="false" customHeight="false" outlineLevel="0" collapsed="false">
      <c r="A4402" s="0" t="n">
        <v>3</v>
      </c>
      <c r="B4402" s="59" t="n">
        <v>46252</v>
      </c>
      <c r="C4402" s="0" t="n">
        <v>11</v>
      </c>
      <c r="D4402" s="0" t="s">
        <v>2126</v>
      </c>
      <c r="E4402" s="0" t="n">
        <v>1107</v>
      </c>
      <c r="F4402" s="0" t="s">
        <v>166</v>
      </c>
      <c r="I4402" s="0" t="n">
        <v>443784</v>
      </c>
      <c r="J4402" s="0" t="n">
        <v>23405</v>
      </c>
      <c r="K4402" s="0" t="n">
        <v>7896029019009</v>
      </c>
      <c r="L4402" s="0" t="s">
        <v>3920</v>
      </c>
      <c r="N4402" s="0" t="n">
        <v>72</v>
      </c>
      <c r="O4402" s="60" t="n">
        <v>138.04</v>
      </c>
    </row>
    <row r="4403" customFormat="false" ht="15" hidden="false" customHeight="false" outlineLevel="0" collapsed="false">
      <c r="A4403" s="0" t="n">
        <v>3</v>
      </c>
      <c r="B4403" s="59" t="n">
        <v>46252</v>
      </c>
      <c r="C4403" s="0" t="n">
        <v>11</v>
      </c>
      <c r="D4403" s="0" t="s">
        <v>2126</v>
      </c>
      <c r="E4403" s="0" t="n">
        <v>1107</v>
      </c>
      <c r="F4403" s="0" t="s">
        <v>166</v>
      </c>
      <c r="I4403" s="0" t="n">
        <v>443784</v>
      </c>
      <c r="J4403" s="0" t="n">
        <v>57700</v>
      </c>
      <c r="K4403" s="0" t="n">
        <v>7896029056387</v>
      </c>
      <c r="L4403" s="0" t="s">
        <v>3921</v>
      </c>
      <c r="N4403" s="0" t="n">
        <v>20</v>
      </c>
      <c r="O4403" s="60" t="n">
        <v>32.57</v>
      </c>
    </row>
    <row r="4404" customFormat="false" ht="15" hidden="false" customHeight="false" outlineLevel="0" collapsed="false">
      <c r="A4404" s="0" t="n">
        <v>3</v>
      </c>
      <c r="B4404" s="59" t="n">
        <v>46252</v>
      </c>
      <c r="C4404" s="0" t="n">
        <v>11</v>
      </c>
      <c r="D4404" s="0" t="s">
        <v>2126</v>
      </c>
      <c r="E4404" s="0" t="n">
        <v>1107</v>
      </c>
      <c r="F4404" s="0" t="s">
        <v>166</v>
      </c>
      <c r="I4404" s="0" t="n">
        <v>443784</v>
      </c>
      <c r="J4404" s="0" t="n">
        <v>57701</v>
      </c>
      <c r="K4404" s="0" t="n">
        <v>7896029056394</v>
      </c>
      <c r="L4404" s="0" t="s">
        <v>3922</v>
      </c>
      <c r="N4404" s="0" t="n">
        <v>40</v>
      </c>
      <c r="O4404" s="60" t="n">
        <v>65.15</v>
      </c>
    </row>
    <row r="4405" customFormat="false" ht="15" hidden="false" customHeight="false" outlineLevel="0" collapsed="false">
      <c r="A4405" s="0" t="n">
        <v>3</v>
      </c>
      <c r="B4405" s="59" t="n">
        <v>46252</v>
      </c>
      <c r="C4405" s="0" t="n">
        <v>11</v>
      </c>
      <c r="D4405" s="0" t="s">
        <v>2126</v>
      </c>
      <c r="E4405" s="0" t="n">
        <v>1107</v>
      </c>
      <c r="F4405" s="0" t="s">
        <v>166</v>
      </c>
      <c r="I4405" s="0" t="n">
        <v>443784</v>
      </c>
      <c r="J4405" s="0" t="n">
        <v>57702</v>
      </c>
      <c r="K4405" s="0" t="n">
        <v>7896029056400</v>
      </c>
      <c r="L4405" s="0" t="s">
        <v>3923</v>
      </c>
      <c r="N4405" s="0" t="n">
        <v>20</v>
      </c>
      <c r="O4405" s="60" t="n">
        <v>32.57</v>
      </c>
    </row>
    <row r="4406" customFormat="false" ht="15" hidden="false" customHeight="false" outlineLevel="0" collapsed="false">
      <c r="A4406" s="0" t="n">
        <v>3</v>
      </c>
      <c r="B4406" s="59" t="n">
        <v>46252</v>
      </c>
      <c r="C4406" s="0" t="n">
        <v>11</v>
      </c>
      <c r="D4406" s="0" t="s">
        <v>2126</v>
      </c>
      <c r="E4406" s="0" t="n">
        <v>1668</v>
      </c>
      <c r="F4406" s="0" t="s">
        <v>160</v>
      </c>
      <c r="I4406" s="0" t="n">
        <v>745592</v>
      </c>
      <c r="J4406" s="0" t="n">
        <v>20298</v>
      </c>
      <c r="K4406" s="0" t="n">
        <v>7898202616036</v>
      </c>
      <c r="L4406" s="0" t="s">
        <v>3924</v>
      </c>
      <c r="N4406" s="0" t="n">
        <v>20</v>
      </c>
      <c r="O4406" s="60" t="n">
        <v>79.29</v>
      </c>
    </row>
    <row r="4407" customFormat="false" ht="15" hidden="false" customHeight="false" outlineLevel="0" collapsed="false">
      <c r="A4407" s="0" t="n">
        <v>3</v>
      </c>
      <c r="B4407" s="59" t="n">
        <v>46252</v>
      </c>
      <c r="C4407" s="0" t="n">
        <v>11</v>
      </c>
      <c r="D4407" s="0" t="s">
        <v>2126</v>
      </c>
      <c r="E4407" s="0" t="n">
        <v>1668</v>
      </c>
      <c r="F4407" s="0" t="s">
        <v>160</v>
      </c>
      <c r="I4407" s="0" t="n">
        <v>745592</v>
      </c>
      <c r="J4407" s="0" t="n">
        <v>101282</v>
      </c>
      <c r="K4407" s="0" t="n">
        <v>7898202616029</v>
      </c>
      <c r="L4407" s="0" t="s">
        <v>3925</v>
      </c>
      <c r="N4407" s="0" t="n">
        <v>20</v>
      </c>
      <c r="O4407" s="60" t="n">
        <v>77.25</v>
      </c>
    </row>
    <row r="4408" customFormat="false" ht="15" hidden="false" customHeight="false" outlineLevel="0" collapsed="false">
      <c r="A4408" s="0" t="n">
        <v>3</v>
      </c>
      <c r="B4408" s="59" t="n">
        <v>46252</v>
      </c>
      <c r="C4408" s="0" t="n">
        <v>11</v>
      </c>
      <c r="D4408" s="0" t="s">
        <v>2126</v>
      </c>
      <c r="E4408" s="0" t="n">
        <v>1668</v>
      </c>
      <c r="F4408" s="0" t="s">
        <v>160</v>
      </c>
      <c r="I4408" s="0" t="n">
        <v>745592</v>
      </c>
      <c r="J4408" s="0" t="n">
        <v>103381</v>
      </c>
      <c r="K4408" s="0" t="n">
        <v>7896006412656</v>
      </c>
      <c r="L4408" s="0" t="s">
        <v>3926</v>
      </c>
      <c r="N4408" s="0" t="n">
        <v>48</v>
      </c>
      <c r="O4408" s="60" t="n">
        <v>180.99</v>
      </c>
    </row>
    <row r="4409" customFormat="false" ht="15" hidden="false" customHeight="false" outlineLevel="0" collapsed="false">
      <c r="A4409" s="0" t="n">
        <v>3</v>
      </c>
      <c r="B4409" s="59" t="n">
        <v>46252</v>
      </c>
      <c r="C4409" s="0" t="n">
        <v>11</v>
      </c>
      <c r="D4409" s="0" t="s">
        <v>2126</v>
      </c>
      <c r="E4409" s="0" t="n">
        <v>1668</v>
      </c>
      <c r="F4409" s="0" t="s">
        <v>160</v>
      </c>
      <c r="I4409" s="0" t="n">
        <v>745592</v>
      </c>
      <c r="J4409" s="0" t="n">
        <v>103382</v>
      </c>
      <c r="K4409" s="0" t="n">
        <v>7896006400035</v>
      </c>
      <c r="L4409" s="0" t="s">
        <v>3927</v>
      </c>
      <c r="N4409" s="0" t="n">
        <v>48</v>
      </c>
      <c r="O4409" s="60" t="n">
        <v>180.99</v>
      </c>
    </row>
    <row r="4410" customFormat="false" ht="15" hidden="false" customHeight="false" outlineLevel="0" collapsed="false">
      <c r="A4410" s="0" t="n">
        <v>3</v>
      </c>
      <c r="B4410" s="59" t="n">
        <v>46252</v>
      </c>
      <c r="C4410" s="0" t="n">
        <v>11</v>
      </c>
      <c r="D4410" s="0" t="s">
        <v>2126</v>
      </c>
      <c r="E4410" s="0" t="n">
        <v>1668</v>
      </c>
      <c r="F4410" s="0" t="s">
        <v>160</v>
      </c>
      <c r="I4410" s="0" t="n">
        <v>745592</v>
      </c>
      <c r="J4410" s="0" t="n">
        <v>103386</v>
      </c>
      <c r="K4410" s="0" t="n">
        <v>7896006413851</v>
      </c>
      <c r="L4410" s="0" t="s">
        <v>3928</v>
      </c>
      <c r="N4410" s="0" t="n">
        <v>24</v>
      </c>
      <c r="O4410" s="60" t="n">
        <v>82.91</v>
      </c>
    </row>
    <row r="4411" customFormat="false" ht="15" hidden="false" customHeight="false" outlineLevel="0" collapsed="false">
      <c r="A4411" s="0" t="n">
        <v>3</v>
      </c>
      <c r="B4411" s="59" t="n">
        <v>46252</v>
      </c>
      <c r="C4411" s="0" t="n">
        <v>11</v>
      </c>
      <c r="D4411" s="0" t="s">
        <v>2126</v>
      </c>
      <c r="E4411" s="0" t="n">
        <v>1668</v>
      </c>
      <c r="F4411" s="0" t="s">
        <v>160</v>
      </c>
      <c r="I4411" s="0" t="n">
        <v>745592</v>
      </c>
      <c r="J4411" s="0" t="n">
        <v>103661</v>
      </c>
      <c r="K4411" s="0" t="n">
        <v>7891334150010</v>
      </c>
      <c r="L4411" s="0" t="s">
        <v>3929</v>
      </c>
      <c r="N4411" s="0" t="n">
        <v>25</v>
      </c>
      <c r="O4411" s="60" t="n">
        <v>21.39</v>
      </c>
    </row>
    <row r="4412" customFormat="false" ht="15" hidden="false" customHeight="false" outlineLevel="0" collapsed="false">
      <c r="A4412" s="0" t="n">
        <v>3</v>
      </c>
      <c r="B4412" s="59" t="n">
        <v>46252</v>
      </c>
      <c r="C4412" s="0" t="n">
        <v>11</v>
      </c>
      <c r="D4412" s="0" t="s">
        <v>2126</v>
      </c>
      <c r="E4412" s="0" t="n">
        <v>1668</v>
      </c>
      <c r="F4412" s="0" t="s">
        <v>160</v>
      </c>
      <c r="I4412" s="0" t="n">
        <v>745592</v>
      </c>
      <c r="J4412" s="0" t="n">
        <v>103817</v>
      </c>
      <c r="K4412" s="0" t="n">
        <v>7896030801822</v>
      </c>
      <c r="L4412" s="0" t="s">
        <v>3930</v>
      </c>
      <c r="N4412" s="0" t="n">
        <v>100</v>
      </c>
      <c r="O4412" s="60" t="n">
        <v>438.22</v>
      </c>
    </row>
    <row r="4413" customFormat="false" ht="15" hidden="false" customHeight="false" outlineLevel="0" collapsed="false">
      <c r="A4413" s="0" t="n">
        <v>3</v>
      </c>
      <c r="B4413" s="59" t="n">
        <v>46252</v>
      </c>
      <c r="C4413" s="0" t="n">
        <v>11</v>
      </c>
      <c r="D4413" s="0" t="s">
        <v>2126</v>
      </c>
      <c r="E4413" s="0" t="n">
        <v>1668</v>
      </c>
      <c r="F4413" s="0" t="s">
        <v>160</v>
      </c>
      <c r="I4413" s="0" t="n">
        <v>745592</v>
      </c>
      <c r="J4413" s="0" t="n">
        <v>11843</v>
      </c>
      <c r="K4413" s="0" t="n">
        <v>7898930672434</v>
      </c>
      <c r="L4413" s="0" t="s">
        <v>3931</v>
      </c>
      <c r="N4413" s="0" t="n">
        <v>25</v>
      </c>
      <c r="O4413" s="60" t="n">
        <v>104.2</v>
      </c>
    </row>
    <row r="4414" customFormat="false" ht="15" hidden="false" customHeight="false" outlineLevel="0" collapsed="false">
      <c r="A4414" s="0" t="n">
        <v>3</v>
      </c>
      <c r="B4414" s="59" t="n">
        <v>46252</v>
      </c>
      <c r="C4414" s="0" t="n">
        <v>11</v>
      </c>
      <c r="D4414" s="0" t="s">
        <v>2126</v>
      </c>
      <c r="E4414" s="0" t="n">
        <v>1668</v>
      </c>
      <c r="F4414" s="0" t="s">
        <v>160</v>
      </c>
      <c r="I4414" s="0" t="n">
        <v>745592</v>
      </c>
      <c r="J4414" s="0" t="n">
        <v>17755</v>
      </c>
      <c r="K4414" s="0" t="n">
        <v>7898934651053</v>
      </c>
      <c r="L4414" s="0" t="s">
        <v>3932</v>
      </c>
      <c r="N4414" s="0" t="n">
        <v>32</v>
      </c>
      <c r="O4414" s="60" t="n">
        <v>105.99</v>
      </c>
    </row>
    <row r="4415" customFormat="false" ht="15" hidden="false" customHeight="false" outlineLevel="0" collapsed="false">
      <c r="A4415" s="0" t="n">
        <v>3</v>
      </c>
      <c r="B4415" s="59" t="n">
        <v>46252</v>
      </c>
      <c r="C4415" s="0" t="n">
        <v>11</v>
      </c>
      <c r="D4415" s="0" t="s">
        <v>2126</v>
      </c>
      <c r="E4415" s="0" t="n">
        <v>1668</v>
      </c>
      <c r="F4415" s="0" t="s">
        <v>160</v>
      </c>
      <c r="I4415" s="0" t="n">
        <v>745592</v>
      </c>
      <c r="J4415" s="0" t="n">
        <v>23090</v>
      </c>
      <c r="K4415" s="0" t="n">
        <v>7898934651176</v>
      </c>
      <c r="L4415" s="0" t="s">
        <v>3933</v>
      </c>
      <c r="N4415" s="0" t="n">
        <v>72</v>
      </c>
      <c r="O4415" s="60" t="n">
        <v>84.38</v>
      </c>
    </row>
    <row r="4416" customFormat="false" ht="15" hidden="false" customHeight="false" outlineLevel="0" collapsed="false">
      <c r="A4416" s="0" t="n">
        <v>3</v>
      </c>
      <c r="B4416" s="59" t="n">
        <v>46252</v>
      </c>
      <c r="C4416" s="0" t="n">
        <v>11</v>
      </c>
      <c r="D4416" s="0" t="s">
        <v>2126</v>
      </c>
      <c r="E4416" s="0" t="n">
        <v>1668</v>
      </c>
      <c r="F4416" s="0" t="s">
        <v>160</v>
      </c>
      <c r="I4416" s="0" t="n">
        <v>745592</v>
      </c>
      <c r="J4416" s="0" t="n">
        <v>23792</v>
      </c>
      <c r="K4416" s="0" t="n">
        <v>7898934651183</v>
      </c>
      <c r="L4416" s="0" t="s">
        <v>3934</v>
      </c>
      <c r="N4416" s="0" t="n">
        <v>32</v>
      </c>
      <c r="O4416" s="60" t="n">
        <v>105.99</v>
      </c>
    </row>
    <row r="4417" customFormat="false" ht="15" hidden="false" customHeight="false" outlineLevel="0" collapsed="false">
      <c r="A4417" s="0" t="n">
        <v>3</v>
      </c>
      <c r="B4417" s="59" t="n">
        <v>46252</v>
      </c>
      <c r="C4417" s="0" t="n">
        <v>11</v>
      </c>
      <c r="D4417" s="0" t="s">
        <v>2126</v>
      </c>
      <c r="E4417" s="0" t="n">
        <v>1668</v>
      </c>
      <c r="F4417" s="0" t="s">
        <v>160</v>
      </c>
      <c r="I4417" s="0" t="n">
        <v>745592</v>
      </c>
      <c r="J4417" s="0" t="n">
        <v>29057</v>
      </c>
      <c r="K4417" s="0" t="n">
        <v>7908099900955</v>
      </c>
      <c r="L4417" s="0" t="s">
        <v>3935</v>
      </c>
      <c r="N4417" s="0" t="n">
        <v>100</v>
      </c>
      <c r="O4417" s="60" t="n">
        <v>346.4</v>
      </c>
    </row>
    <row r="4418" customFormat="false" ht="15" hidden="false" customHeight="false" outlineLevel="0" collapsed="false">
      <c r="A4418" s="0" t="n">
        <v>3</v>
      </c>
      <c r="B4418" s="59" t="n">
        <v>46252</v>
      </c>
      <c r="C4418" s="0" t="n">
        <v>11</v>
      </c>
      <c r="D4418" s="0" t="s">
        <v>2126</v>
      </c>
      <c r="E4418" s="0" t="n">
        <v>1668</v>
      </c>
      <c r="F4418" s="0" t="s">
        <v>160</v>
      </c>
      <c r="I4418" s="0" t="n">
        <v>745592</v>
      </c>
      <c r="J4418" s="0" t="n">
        <v>31243</v>
      </c>
      <c r="K4418" s="0" t="n">
        <v>7898963539032</v>
      </c>
      <c r="L4418" s="0" t="s">
        <v>3936</v>
      </c>
      <c r="N4418" s="0" t="n">
        <v>50</v>
      </c>
      <c r="O4418" s="60" t="n">
        <v>131.97</v>
      </c>
    </row>
    <row r="4419" customFormat="false" ht="15" hidden="false" customHeight="false" outlineLevel="0" collapsed="false">
      <c r="A4419" s="0" t="n">
        <v>3</v>
      </c>
      <c r="B4419" s="59" t="n">
        <v>46252</v>
      </c>
      <c r="C4419" s="0" t="n">
        <v>11</v>
      </c>
      <c r="D4419" s="0" t="s">
        <v>2126</v>
      </c>
      <c r="E4419" s="0" t="n">
        <v>1668</v>
      </c>
      <c r="F4419" s="0" t="s">
        <v>160</v>
      </c>
      <c r="I4419" s="0" t="n">
        <v>745592</v>
      </c>
      <c r="J4419" s="0" t="n">
        <v>34565</v>
      </c>
      <c r="K4419" s="0" t="n">
        <v>7898597031469</v>
      </c>
      <c r="L4419" s="0" t="s">
        <v>3937</v>
      </c>
      <c r="N4419" s="0" t="n">
        <v>25</v>
      </c>
      <c r="O4419" s="60" t="n">
        <v>165.35</v>
      </c>
    </row>
    <row r="4420" customFormat="false" ht="15" hidden="false" customHeight="false" outlineLevel="0" collapsed="false">
      <c r="A4420" s="0" t="n">
        <v>3</v>
      </c>
      <c r="B4420" s="59" t="n">
        <v>46252</v>
      </c>
      <c r="C4420" s="0" t="n">
        <v>11</v>
      </c>
      <c r="D4420" s="0" t="s">
        <v>2126</v>
      </c>
      <c r="E4420" s="0" t="n">
        <v>1668</v>
      </c>
      <c r="F4420" s="0" t="s">
        <v>160</v>
      </c>
      <c r="I4420" s="0" t="n">
        <v>745592</v>
      </c>
      <c r="J4420" s="0" t="n">
        <v>35191</v>
      </c>
      <c r="K4420" s="0" t="n">
        <v>7898939720112</v>
      </c>
      <c r="L4420" s="0" t="s">
        <v>3938</v>
      </c>
      <c r="N4420" s="0" t="n">
        <v>50</v>
      </c>
      <c r="O4420" s="60" t="n">
        <v>188.03</v>
      </c>
    </row>
    <row r="4421" customFormat="false" ht="15" hidden="false" customHeight="false" outlineLevel="0" collapsed="false">
      <c r="A4421" s="0" t="n">
        <v>3</v>
      </c>
      <c r="B4421" s="59" t="n">
        <v>46252</v>
      </c>
      <c r="C4421" s="0" t="n">
        <v>11</v>
      </c>
      <c r="D4421" s="0" t="s">
        <v>2126</v>
      </c>
      <c r="E4421" s="0" t="n">
        <v>1668</v>
      </c>
      <c r="F4421" s="0" t="s">
        <v>160</v>
      </c>
      <c r="I4421" s="0" t="n">
        <v>745592</v>
      </c>
      <c r="J4421" s="0" t="n">
        <v>35192</v>
      </c>
      <c r="K4421" s="0" t="n">
        <v>7898939720136</v>
      </c>
      <c r="L4421" s="0" t="s">
        <v>3939</v>
      </c>
      <c r="N4421" s="0" t="n">
        <v>100</v>
      </c>
      <c r="O4421" s="60" t="n">
        <v>182.42</v>
      </c>
    </row>
    <row r="4422" customFormat="false" ht="15" hidden="false" customHeight="false" outlineLevel="0" collapsed="false">
      <c r="A4422" s="0" t="n">
        <v>3</v>
      </c>
      <c r="B4422" s="59" t="n">
        <v>46252</v>
      </c>
      <c r="C4422" s="0" t="n">
        <v>11</v>
      </c>
      <c r="D4422" s="0" t="s">
        <v>2126</v>
      </c>
      <c r="E4422" s="0" t="n">
        <v>1668</v>
      </c>
      <c r="F4422" s="0" t="s">
        <v>160</v>
      </c>
      <c r="I4422" s="0" t="n">
        <v>745592</v>
      </c>
      <c r="J4422" s="0" t="n">
        <v>36562</v>
      </c>
      <c r="K4422" s="0" t="n">
        <v>7896006420347</v>
      </c>
      <c r="L4422" s="0" t="s">
        <v>3940</v>
      </c>
      <c r="N4422" s="0" t="n">
        <v>12</v>
      </c>
      <c r="O4422" s="60" t="n">
        <v>129.51</v>
      </c>
    </row>
    <row r="4423" customFormat="false" ht="15" hidden="false" customHeight="false" outlineLevel="0" collapsed="false">
      <c r="A4423" s="0" t="n">
        <v>3</v>
      </c>
      <c r="B4423" s="59" t="n">
        <v>46252</v>
      </c>
      <c r="C4423" s="0" t="n">
        <v>11</v>
      </c>
      <c r="D4423" s="0" t="s">
        <v>2126</v>
      </c>
      <c r="E4423" s="0" t="n">
        <v>1668</v>
      </c>
      <c r="F4423" s="0" t="s">
        <v>160</v>
      </c>
      <c r="I4423" s="0" t="n">
        <v>745592</v>
      </c>
      <c r="J4423" s="0" t="n">
        <v>41062</v>
      </c>
      <c r="K4423" s="0" t="n">
        <v>7898934651756</v>
      </c>
      <c r="L4423" s="0" t="s">
        <v>3941</v>
      </c>
      <c r="N4423" s="0" t="n">
        <v>36</v>
      </c>
      <c r="O4423" s="60" t="n">
        <v>91.35</v>
      </c>
    </row>
    <row r="4424" customFormat="false" ht="15" hidden="false" customHeight="false" outlineLevel="0" collapsed="false">
      <c r="A4424" s="0" t="n">
        <v>3</v>
      </c>
      <c r="B4424" s="59" t="n">
        <v>46252</v>
      </c>
      <c r="C4424" s="0" t="n">
        <v>11</v>
      </c>
      <c r="D4424" s="0" t="s">
        <v>2126</v>
      </c>
      <c r="E4424" s="0" t="n">
        <v>1668</v>
      </c>
      <c r="F4424" s="0" t="s">
        <v>160</v>
      </c>
      <c r="I4424" s="0" t="n">
        <v>745592</v>
      </c>
      <c r="J4424" s="0" t="n">
        <v>44625</v>
      </c>
      <c r="K4424" s="0" t="n">
        <v>7897511736893</v>
      </c>
      <c r="L4424" s="0" t="s">
        <v>3942</v>
      </c>
      <c r="N4424" s="0" t="n">
        <v>34</v>
      </c>
      <c r="O4424" s="60" t="n">
        <v>294.18</v>
      </c>
    </row>
    <row r="4425" customFormat="false" ht="15" hidden="false" customHeight="false" outlineLevel="0" collapsed="false">
      <c r="A4425" s="0" t="n">
        <v>3</v>
      </c>
      <c r="B4425" s="59" t="n">
        <v>46252</v>
      </c>
      <c r="C4425" s="0" t="n">
        <v>11</v>
      </c>
      <c r="D4425" s="0" t="s">
        <v>2126</v>
      </c>
      <c r="E4425" s="0" t="n">
        <v>1668</v>
      </c>
      <c r="F4425" s="0" t="s">
        <v>160</v>
      </c>
      <c r="I4425" s="0" t="n">
        <v>745592</v>
      </c>
      <c r="J4425" s="0" t="n">
        <v>45181</v>
      </c>
      <c r="K4425" s="0" t="n">
        <v>7897511731102</v>
      </c>
      <c r="L4425" s="0" t="s">
        <v>3943</v>
      </c>
      <c r="N4425" s="0" t="n">
        <v>50</v>
      </c>
      <c r="O4425" s="60" t="n">
        <v>223.69</v>
      </c>
    </row>
    <row r="4426" customFormat="false" ht="15" hidden="false" customHeight="false" outlineLevel="0" collapsed="false">
      <c r="A4426" s="0" t="n">
        <v>3</v>
      </c>
      <c r="B4426" s="59" t="n">
        <v>46252</v>
      </c>
      <c r="C4426" s="0" t="n">
        <v>11</v>
      </c>
      <c r="D4426" s="0" t="s">
        <v>2126</v>
      </c>
      <c r="E4426" s="0" t="n">
        <v>1668</v>
      </c>
      <c r="F4426" s="0" t="s">
        <v>160</v>
      </c>
      <c r="I4426" s="0" t="n">
        <v>745592</v>
      </c>
      <c r="J4426" s="0" t="n">
        <v>45320</v>
      </c>
      <c r="K4426" s="0" t="n">
        <v>7899348506342</v>
      </c>
      <c r="L4426" s="0" t="s">
        <v>3944</v>
      </c>
      <c r="N4426" s="0" t="n">
        <v>10</v>
      </c>
      <c r="O4426" s="60" t="n">
        <v>24.36</v>
      </c>
    </row>
    <row r="4427" customFormat="false" ht="15" hidden="false" customHeight="false" outlineLevel="0" collapsed="false">
      <c r="A4427" s="0" t="n">
        <v>3</v>
      </c>
      <c r="B4427" s="59" t="n">
        <v>46252</v>
      </c>
      <c r="C4427" s="0" t="n">
        <v>11</v>
      </c>
      <c r="D4427" s="0" t="s">
        <v>2126</v>
      </c>
      <c r="E4427" s="0" t="n">
        <v>1668</v>
      </c>
      <c r="F4427" s="0" t="s">
        <v>160</v>
      </c>
      <c r="I4427" s="0" t="n">
        <v>745592</v>
      </c>
      <c r="J4427" s="0" t="n">
        <v>45321</v>
      </c>
      <c r="K4427" s="0" t="n">
        <v>7899348506366</v>
      </c>
      <c r="L4427" s="0" t="s">
        <v>3945</v>
      </c>
      <c r="N4427" s="0" t="n">
        <v>10</v>
      </c>
      <c r="O4427" s="60" t="n">
        <v>34.55</v>
      </c>
    </row>
    <row r="4428" customFormat="false" ht="15" hidden="false" customHeight="false" outlineLevel="0" collapsed="false">
      <c r="A4428" s="0" t="n">
        <v>3</v>
      </c>
      <c r="B4428" s="59" t="n">
        <v>46252</v>
      </c>
      <c r="C4428" s="0" t="n">
        <v>11</v>
      </c>
      <c r="D4428" s="0" t="s">
        <v>2126</v>
      </c>
      <c r="E4428" s="0" t="n">
        <v>1668</v>
      </c>
      <c r="F4428" s="0" t="s">
        <v>160</v>
      </c>
      <c r="I4428" s="0" t="n">
        <v>745592</v>
      </c>
      <c r="J4428" s="0" t="n">
        <v>48896</v>
      </c>
      <c r="K4428" s="0" t="n">
        <v>7899348506359</v>
      </c>
      <c r="L4428" s="0" t="s">
        <v>3946</v>
      </c>
      <c r="N4428" s="0" t="n">
        <v>10</v>
      </c>
      <c r="O4428" s="60" t="n">
        <v>34.55</v>
      </c>
    </row>
    <row r="4429" customFormat="false" ht="15" hidden="false" customHeight="false" outlineLevel="0" collapsed="false">
      <c r="A4429" s="0" t="n">
        <v>3</v>
      </c>
      <c r="B4429" s="59" t="n">
        <v>46252</v>
      </c>
      <c r="C4429" s="0" t="n">
        <v>11</v>
      </c>
      <c r="D4429" s="0" t="s">
        <v>2126</v>
      </c>
      <c r="E4429" s="0" t="n">
        <v>1668</v>
      </c>
      <c r="F4429" s="0" t="s">
        <v>160</v>
      </c>
      <c r="I4429" s="0" t="n">
        <v>745592</v>
      </c>
      <c r="J4429" s="0" t="n">
        <v>49819</v>
      </c>
      <c r="K4429" s="0" t="n">
        <v>7898939720372</v>
      </c>
      <c r="L4429" s="0" t="s">
        <v>3947</v>
      </c>
      <c r="N4429" s="0" t="n">
        <v>25</v>
      </c>
      <c r="O4429" s="60" t="n">
        <v>223.95</v>
      </c>
    </row>
    <row r="4430" customFormat="false" ht="15" hidden="false" customHeight="false" outlineLevel="0" collapsed="false">
      <c r="A4430" s="0" t="n">
        <v>3</v>
      </c>
      <c r="B4430" s="59" t="n">
        <v>46252</v>
      </c>
      <c r="C4430" s="0" t="n">
        <v>11</v>
      </c>
      <c r="D4430" s="0" t="s">
        <v>2126</v>
      </c>
      <c r="E4430" s="0" t="n">
        <v>1668</v>
      </c>
      <c r="F4430" s="0" t="s">
        <v>160</v>
      </c>
      <c r="I4430" s="0" t="n">
        <v>745592</v>
      </c>
      <c r="J4430" s="0" t="n">
        <v>59389</v>
      </c>
      <c r="K4430" s="0" t="n">
        <v>7898934651947</v>
      </c>
      <c r="L4430" s="0" t="s">
        <v>3948</v>
      </c>
      <c r="N4430" s="0" t="n">
        <v>16</v>
      </c>
      <c r="O4430" s="60" t="n">
        <v>104.19</v>
      </c>
    </row>
    <row r="4431" customFormat="false" ht="15" hidden="false" customHeight="false" outlineLevel="0" collapsed="false">
      <c r="A4431" s="0" t="n">
        <v>3</v>
      </c>
      <c r="B4431" s="59" t="n">
        <v>46252</v>
      </c>
      <c r="C4431" s="0" t="n">
        <v>11</v>
      </c>
      <c r="D4431" s="0" t="s">
        <v>2126</v>
      </c>
      <c r="E4431" s="0" t="n">
        <v>1668</v>
      </c>
      <c r="F4431" s="0" t="s">
        <v>160</v>
      </c>
      <c r="I4431" s="0" t="n">
        <v>745592</v>
      </c>
      <c r="J4431" s="0" t="n">
        <v>82005</v>
      </c>
      <c r="K4431" s="0" t="n">
        <v>820066</v>
      </c>
      <c r="L4431" s="0" t="s">
        <v>3949</v>
      </c>
      <c r="N4431" s="0" t="n">
        <v>100</v>
      </c>
      <c r="O4431" s="60" t="n">
        <v>90.7</v>
      </c>
    </row>
    <row r="4432" customFormat="false" ht="15" hidden="false" customHeight="false" outlineLevel="0" collapsed="false">
      <c r="A4432" s="0" t="n">
        <v>3</v>
      </c>
      <c r="B4432" s="59" t="n">
        <v>46252</v>
      </c>
      <c r="C4432" s="0" t="n">
        <v>11</v>
      </c>
      <c r="D4432" s="0" t="s">
        <v>2126</v>
      </c>
      <c r="E4432" s="0" t="n">
        <v>1740</v>
      </c>
      <c r="F4432" s="0" t="s">
        <v>171</v>
      </c>
      <c r="I4432" s="0" t="n">
        <v>1260091</v>
      </c>
      <c r="J4432" s="0" t="n">
        <v>100036</v>
      </c>
      <c r="K4432" s="0" t="n">
        <v>37</v>
      </c>
      <c r="L4432" s="0" t="s">
        <v>2170</v>
      </c>
      <c r="N4432" s="0" t="n">
        <v>75</v>
      </c>
      <c r="O4432" s="60" t="n">
        <v>1462.5</v>
      </c>
    </row>
    <row r="4433" customFormat="false" ht="15" hidden="false" customHeight="false" outlineLevel="0" collapsed="false">
      <c r="A4433" s="0" t="n">
        <v>3</v>
      </c>
      <c r="B4433" s="59" t="n">
        <v>46252</v>
      </c>
      <c r="C4433" s="0" t="n">
        <v>11</v>
      </c>
      <c r="D4433" s="0" t="s">
        <v>2126</v>
      </c>
      <c r="E4433" s="0" t="n">
        <v>1740</v>
      </c>
      <c r="F4433" s="0" t="s">
        <v>171</v>
      </c>
      <c r="I4433" s="0" t="n">
        <v>1260091</v>
      </c>
      <c r="J4433" s="0" t="n">
        <v>110530</v>
      </c>
      <c r="K4433" s="0" t="n">
        <v>57638</v>
      </c>
      <c r="L4433" s="0" t="s">
        <v>2576</v>
      </c>
      <c r="N4433" s="0" t="n">
        <v>15</v>
      </c>
      <c r="O4433" s="60" t="n">
        <v>315</v>
      </c>
    </row>
    <row r="4434" customFormat="false" ht="15" hidden="false" customHeight="false" outlineLevel="0" collapsed="false">
      <c r="A4434" s="0" t="n">
        <v>3</v>
      </c>
      <c r="B4434" s="59" t="n">
        <v>46252</v>
      </c>
      <c r="C4434" s="0" t="n">
        <v>11</v>
      </c>
      <c r="D4434" s="0" t="s">
        <v>2126</v>
      </c>
      <c r="E4434" s="0" t="n">
        <v>10009</v>
      </c>
      <c r="F4434" s="0" t="s">
        <v>375</v>
      </c>
      <c r="I4434" s="0" t="n">
        <v>1438570</v>
      </c>
      <c r="J4434" s="0" t="n">
        <v>101932</v>
      </c>
      <c r="K4434" s="0" t="n">
        <v>7891000582107</v>
      </c>
      <c r="L4434" s="0" t="s">
        <v>3950</v>
      </c>
      <c r="N4434" s="0" t="n">
        <v>12</v>
      </c>
      <c r="O4434" s="60" t="n">
        <v>82.72</v>
      </c>
    </row>
    <row r="4435" customFormat="false" ht="15" hidden="false" customHeight="false" outlineLevel="0" collapsed="false">
      <c r="A4435" s="0" t="n">
        <v>3</v>
      </c>
      <c r="B4435" s="59" t="n">
        <v>46252</v>
      </c>
      <c r="C4435" s="0" t="n">
        <v>11</v>
      </c>
      <c r="D4435" s="0" t="s">
        <v>2126</v>
      </c>
      <c r="E4435" s="0" t="n">
        <v>10009</v>
      </c>
      <c r="F4435" s="0" t="s">
        <v>375</v>
      </c>
      <c r="I4435" s="0" t="n">
        <v>1438570</v>
      </c>
      <c r="J4435" s="0" t="n">
        <v>103473</v>
      </c>
      <c r="K4435" s="0" t="n">
        <v>7891000367506</v>
      </c>
      <c r="L4435" s="0" t="s">
        <v>2322</v>
      </c>
      <c r="N4435" s="0" t="n">
        <v>32</v>
      </c>
      <c r="O4435" s="60" t="n">
        <v>52.75</v>
      </c>
    </row>
    <row r="4436" customFormat="false" ht="15" hidden="false" customHeight="false" outlineLevel="0" collapsed="false">
      <c r="A4436" s="0" t="n">
        <v>3</v>
      </c>
      <c r="B4436" s="59" t="n">
        <v>46252</v>
      </c>
      <c r="C4436" s="0" t="n">
        <v>11</v>
      </c>
      <c r="D4436" s="0" t="s">
        <v>2126</v>
      </c>
      <c r="E4436" s="0" t="n">
        <v>10009</v>
      </c>
      <c r="F4436" s="0" t="s">
        <v>375</v>
      </c>
      <c r="I4436" s="0" t="n">
        <v>1438570</v>
      </c>
      <c r="J4436" s="0" t="n">
        <v>104126</v>
      </c>
      <c r="K4436" s="0" t="n">
        <v>7891000582008</v>
      </c>
      <c r="L4436" s="0" t="s">
        <v>3951</v>
      </c>
      <c r="N4436" s="0" t="n">
        <v>12</v>
      </c>
      <c r="O4436" s="60" t="n">
        <v>82.72</v>
      </c>
    </row>
    <row r="4437" customFormat="false" ht="15" hidden="false" customHeight="false" outlineLevel="0" collapsed="false">
      <c r="A4437" s="0" t="n">
        <v>3</v>
      </c>
      <c r="B4437" s="59" t="n">
        <v>46252</v>
      </c>
      <c r="C4437" s="0" t="n">
        <v>11</v>
      </c>
      <c r="D4437" s="0" t="s">
        <v>2126</v>
      </c>
      <c r="E4437" s="0" t="n">
        <v>10009</v>
      </c>
      <c r="F4437" s="0" t="s">
        <v>375</v>
      </c>
      <c r="I4437" s="0" t="n">
        <v>1438570</v>
      </c>
      <c r="J4437" s="0" t="n">
        <v>107339</v>
      </c>
      <c r="K4437" s="0" t="n">
        <v>7896015603236</v>
      </c>
      <c r="L4437" s="0" t="s">
        <v>3952</v>
      </c>
      <c r="N4437" s="0" t="n">
        <v>1</v>
      </c>
      <c r="O4437" s="60" t="n">
        <v>146.59</v>
      </c>
    </row>
    <row r="4438" customFormat="false" ht="15" hidden="false" customHeight="false" outlineLevel="0" collapsed="false">
      <c r="A4438" s="0" t="n">
        <v>3</v>
      </c>
      <c r="B4438" s="59" t="n">
        <v>46252</v>
      </c>
      <c r="C4438" s="0" t="n">
        <v>11</v>
      </c>
      <c r="D4438" s="0" t="s">
        <v>2126</v>
      </c>
      <c r="E4438" s="0" t="n">
        <v>10009</v>
      </c>
      <c r="F4438" s="0" t="s">
        <v>375</v>
      </c>
      <c r="I4438" s="0" t="n">
        <v>1438570</v>
      </c>
      <c r="J4438" s="0" t="n">
        <v>107341</v>
      </c>
      <c r="K4438" s="0" t="n">
        <v>7896015605193</v>
      </c>
      <c r="L4438" s="0" t="s">
        <v>3048</v>
      </c>
      <c r="N4438" s="0" t="n">
        <v>2</v>
      </c>
      <c r="O4438" s="60" t="n">
        <v>308.81</v>
      </c>
    </row>
    <row r="4439" customFormat="false" ht="15" hidden="false" customHeight="false" outlineLevel="0" collapsed="false">
      <c r="A4439" s="0" t="n">
        <v>3</v>
      </c>
      <c r="B4439" s="59" t="n">
        <v>46252</v>
      </c>
      <c r="C4439" s="0" t="n">
        <v>11</v>
      </c>
      <c r="D4439" s="0" t="s">
        <v>2126</v>
      </c>
      <c r="E4439" s="0" t="n">
        <v>10009</v>
      </c>
      <c r="F4439" s="0" t="s">
        <v>375</v>
      </c>
      <c r="I4439" s="0" t="n">
        <v>1438570</v>
      </c>
      <c r="J4439" s="0" t="n">
        <v>18833</v>
      </c>
      <c r="K4439" s="0" t="n">
        <v>7891000098950</v>
      </c>
      <c r="L4439" s="0" t="s">
        <v>2699</v>
      </c>
      <c r="N4439" s="0" t="n">
        <v>12</v>
      </c>
      <c r="O4439" s="60" t="n">
        <v>72.17</v>
      </c>
    </row>
    <row r="4440" customFormat="false" ht="15" hidden="false" customHeight="false" outlineLevel="0" collapsed="false">
      <c r="A4440" s="0" t="n">
        <v>3</v>
      </c>
      <c r="B4440" s="59" t="n">
        <v>46252</v>
      </c>
      <c r="C4440" s="0" t="n">
        <v>11</v>
      </c>
      <c r="D4440" s="0" t="s">
        <v>2126</v>
      </c>
      <c r="E4440" s="0" t="n">
        <v>10009</v>
      </c>
      <c r="F4440" s="0" t="s">
        <v>375</v>
      </c>
      <c r="I4440" s="0" t="n">
        <v>1438570</v>
      </c>
      <c r="J4440" s="0" t="n">
        <v>24768</v>
      </c>
      <c r="K4440" s="0" t="n">
        <v>78912366</v>
      </c>
      <c r="L4440" s="0" t="s">
        <v>2700</v>
      </c>
      <c r="N4440" s="0" t="n">
        <v>60</v>
      </c>
      <c r="O4440" s="60" t="n">
        <v>87.81</v>
      </c>
    </row>
    <row r="4441" customFormat="false" ht="15" hidden="false" customHeight="false" outlineLevel="0" collapsed="false">
      <c r="A4441" s="0" t="n">
        <v>3</v>
      </c>
      <c r="B4441" s="59" t="n">
        <v>46252</v>
      </c>
      <c r="C4441" s="0" t="n">
        <v>11</v>
      </c>
      <c r="D4441" s="0" t="s">
        <v>2126</v>
      </c>
      <c r="E4441" s="0" t="n">
        <v>10009</v>
      </c>
      <c r="F4441" s="0" t="s">
        <v>375</v>
      </c>
      <c r="I4441" s="0" t="n">
        <v>1438570</v>
      </c>
      <c r="J4441" s="0" t="n">
        <v>47560</v>
      </c>
      <c r="K4441" s="0" t="n">
        <v>7891000319505</v>
      </c>
      <c r="L4441" s="0" t="s">
        <v>2703</v>
      </c>
      <c r="N4441" s="0" t="n">
        <v>36</v>
      </c>
      <c r="O4441" s="60" t="n">
        <v>190.22</v>
      </c>
    </row>
    <row r="4442" customFormat="false" ht="15" hidden="false" customHeight="false" outlineLevel="0" collapsed="false">
      <c r="A4442" s="0" t="n">
        <v>3</v>
      </c>
      <c r="B4442" s="59" t="n">
        <v>46252</v>
      </c>
      <c r="C4442" s="0" t="n">
        <v>11</v>
      </c>
      <c r="D4442" s="0" t="s">
        <v>2126</v>
      </c>
      <c r="E4442" s="0" t="n">
        <v>10009</v>
      </c>
      <c r="F4442" s="0" t="s">
        <v>375</v>
      </c>
      <c r="I4442" s="0" t="n">
        <v>1438570</v>
      </c>
      <c r="J4442" s="0" t="n">
        <v>47563</v>
      </c>
      <c r="K4442" s="0" t="n">
        <v>7891000319543</v>
      </c>
      <c r="L4442" s="0" t="s">
        <v>2704</v>
      </c>
      <c r="N4442" s="0" t="n">
        <v>36</v>
      </c>
      <c r="O4442" s="60" t="n">
        <v>190.22</v>
      </c>
    </row>
    <row r="4443" customFormat="false" ht="15" hidden="false" customHeight="false" outlineLevel="0" collapsed="false">
      <c r="A4443" s="0" t="n">
        <v>3</v>
      </c>
      <c r="B4443" s="59" t="n">
        <v>46252</v>
      </c>
      <c r="C4443" s="0" t="n">
        <v>11</v>
      </c>
      <c r="D4443" s="0" t="s">
        <v>2126</v>
      </c>
      <c r="E4443" s="0" t="n">
        <v>10009</v>
      </c>
      <c r="F4443" s="0" t="s">
        <v>375</v>
      </c>
      <c r="I4443" s="0" t="n">
        <v>1438570</v>
      </c>
      <c r="J4443" s="0" t="n">
        <v>81985</v>
      </c>
      <c r="K4443" s="0" t="n">
        <v>7891000477274</v>
      </c>
      <c r="L4443" s="0" t="s">
        <v>3419</v>
      </c>
      <c r="N4443" s="0" t="n">
        <v>12</v>
      </c>
      <c r="O4443" s="60" t="n">
        <v>25.75</v>
      </c>
    </row>
    <row r="4444" customFormat="false" ht="15" hidden="false" customHeight="false" outlineLevel="0" collapsed="false">
      <c r="A4444" s="0" t="n">
        <v>3</v>
      </c>
      <c r="B4444" s="59" t="n">
        <v>46252</v>
      </c>
      <c r="C4444" s="0" t="n">
        <v>11</v>
      </c>
      <c r="D4444" s="0" t="s">
        <v>2126</v>
      </c>
      <c r="E4444" s="0" t="n">
        <v>10009</v>
      </c>
      <c r="F4444" s="0" t="s">
        <v>375</v>
      </c>
      <c r="I4444" s="0" t="n">
        <v>1439013</v>
      </c>
      <c r="J4444" s="0" t="n">
        <v>20267</v>
      </c>
      <c r="K4444" s="0" t="n">
        <v>7891000104101</v>
      </c>
      <c r="L4444" s="0" t="s">
        <v>3953</v>
      </c>
      <c r="N4444" s="0" t="n">
        <v>3</v>
      </c>
      <c r="O4444" s="60" t="n">
        <v>47.63</v>
      </c>
    </row>
    <row r="4445" customFormat="false" ht="15" hidden="false" customHeight="false" outlineLevel="0" collapsed="false">
      <c r="A4445" s="0" t="n">
        <v>3</v>
      </c>
      <c r="B4445" s="59" t="n">
        <v>46252</v>
      </c>
      <c r="C4445" s="0" t="n">
        <v>11</v>
      </c>
      <c r="D4445" s="0" t="s">
        <v>2126</v>
      </c>
      <c r="E4445" s="0" t="n">
        <v>10009</v>
      </c>
      <c r="F4445" s="0" t="s">
        <v>375</v>
      </c>
      <c r="I4445" s="0" t="n">
        <v>1439013</v>
      </c>
      <c r="J4445" s="0" t="n">
        <v>102412</v>
      </c>
      <c r="K4445" s="0" t="n">
        <v>78912359</v>
      </c>
      <c r="L4445" s="0" t="s">
        <v>2695</v>
      </c>
      <c r="N4445" s="0" t="n">
        <v>120</v>
      </c>
      <c r="O4445" s="60" t="n">
        <v>176.07</v>
      </c>
    </row>
    <row r="4446" customFormat="false" ht="15" hidden="false" customHeight="false" outlineLevel="0" collapsed="false">
      <c r="A4446" s="0" t="n">
        <v>3</v>
      </c>
      <c r="B4446" s="59" t="n">
        <v>46252</v>
      </c>
      <c r="C4446" s="0" t="n">
        <v>11</v>
      </c>
      <c r="D4446" s="0" t="s">
        <v>2126</v>
      </c>
      <c r="E4446" s="0" t="n">
        <v>10009</v>
      </c>
      <c r="F4446" s="0" t="s">
        <v>375</v>
      </c>
      <c r="I4446" s="0" t="n">
        <v>1439013</v>
      </c>
      <c r="J4446" s="0" t="n">
        <v>11844</v>
      </c>
      <c r="K4446" s="0" t="n">
        <v>7891000070673</v>
      </c>
      <c r="L4446" s="0" t="s">
        <v>3308</v>
      </c>
      <c r="N4446" s="0" t="n">
        <v>20</v>
      </c>
      <c r="O4446" s="60" t="n">
        <v>105.86</v>
      </c>
    </row>
    <row r="4447" customFormat="false" ht="15" hidden="false" customHeight="false" outlineLevel="0" collapsed="false">
      <c r="A4447" s="0" t="n">
        <v>3</v>
      </c>
      <c r="B4447" s="59" t="n">
        <v>46252</v>
      </c>
      <c r="C4447" s="0" t="n">
        <v>11</v>
      </c>
      <c r="D4447" s="0" t="s">
        <v>2126</v>
      </c>
      <c r="E4447" s="0" t="n">
        <v>10009</v>
      </c>
      <c r="F4447" s="0" t="s">
        <v>375</v>
      </c>
      <c r="I4447" s="0" t="n">
        <v>1439013</v>
      </c>
      <c r="J4447" s="0" t="n">
        <v>15573</v>
      </c>
      <c r="K4447" s="0" t="n">
        <v>7891000089194</v>
      </c>
      <c r="L4447" s="0" t="s">
        <v>2323</v>
      </c>
      <c r="N4447" s="0" t="n">
        <v>30</v>
      </c>
      <c r="O4447" s="60" t="n">
        <v>131.33</v>
      </c>
    </row>
    <row r="4448" customFormat="false" ht="15" hidden="false" customHeight="false" outlineLevel="0" collapsed="false">
      <c r="A4448" s="0" t="n">
        <v>3</v>
      </c>
      <c r="B4448" s="59" t="n">
        <v>46252</v>
      </c>
      <c r="C4448" s="0" t="n">
        <v>11</v>
      </c>
      <c r="D4448" s="0" t="s">
        <v>2126</v>
      </c>
      <c r="E4448" s="0" t="n">
        <v>10009</v>
      </c>
      <c r="F4448" s="0" t="s">
        <v>375</v>
      </c>
      <c r="I4448" s="0" t="n">
        <v>1439013</v>
      </c>
      <c r="J4448" s="0" t="n">
        <v>15716</v>
      </c>
      <c r="K4448" s="0" t="n">
        <v>7891000089231</v>
      </c>
      <c r="L4448" s="0" t="s">
        <v>2317</v>
      </c>
      <c r="N4448" s="0" t="n">
        <v>30</v>
      </c>
      <c r="O4448" s="60" t="n">
        <v>131.33</v>
      </c>
    </row>
    <row r="4449" customFormat="false" ht="15" hidden="false" customHeight="false" outlineLevel="0" collapsed="false">
      <c r="A4449" s="0" t="n">
        <v>3</v>
      </c>
      <c r="B4449" s="59" t="n">
        <v>46252</v>
      </c>
      <c r="C4449" s="0" t="n">
        <v>11</v>
      </c>
      <c r="D4449" s="0" t="s">
        <v>2126</v>
      </c>
      <c r="E4449" s="0" t="n">
        <v>10009</v>
      </c>
      <c r="F4449" s="0" t="s">
        <v>375</v>
      </c>
      <c r="I4449" s="0" t="n">
        <v>1439013</v>
      </c>
      <c r="J4449" s="0" t="n">
        <v>15717</v>
      </c>
      <c r="K4449" s="0" t="n">
        <v>7891000089255</v>
      </c>
      <c r="L4449" s="0" t="s">
        <v>3298</v>
      </c>
      <c r="N4449" s="0" t="n">
        <v>30</v>
      </c>
      <c r="O4449" s="60" t="n">
        <v>131.33</v>
      </c>
    </row>
    <row r="4450" customFormat="false" ht="15" hidden="false" customHeight="false" outlineLevel="0" collapsed="false">
      <c r="A4450" s="0" t="n">
        <v>3</v>
      </c>
      <c r="B4450" s="59" t="n">
        <v>46252</v>
      </c>
      <c r="C4450" s="0" t="n">
        <v>11</v>
      </c>
      <c r="D4450" s="0" t="s">
        <v>2126</v>
      </c>
      <c r="E4450" s="0" t="n">
        <v>10009</v>
      </c>
      <c r="F4450" s="0" t="s">
        <v>375</v>
      </c>
      <c r="I4450" s="0" t="n">
        <v>1439013</v>
      </c>
      <c r="J4450" s="0" t="n">
        <v>15718</v>
      </c>
      <c r="K4450" s="0" t="n">
        <v>7891000089279</v>
      </c>
      <c r="L4450" s="0" t="s">
        <v>2318</v>
      </c>
      <c r="N4450" s="0" t="n">
        <v>30</v>
      </c>
      <c r="O4450" s="60" t="n">
        <v>131.33</v>
      </c>
    </row>
    <row r="4451" customFormat="false" ht="15" hidden="false" customHeight="false" outlineLevel="0" collapsed="false">
      <c r="A4451" s="0" t="n">
        <v>3</v>
      </c>
      <c r="B4451" s="59" t="n">
        <v>46252</v>
      </c>
      <c r="C4451" s="0" t="n">
        <v>11</v>
      </c>
      <c r="D4451" s="0" t="s">
        <v>2126</v>
      </c>
      <c r="E4451" s="0" t="n">
        <v>10009</v>
      </c>
      <c r="F4451" s="0" t="s">
        <v>375</v>
      </c>
      <c r="I4451" s="0" t="n">
        <v>1439013</v>
      </c>
      <c r="J4451" s="0" t="n">
        <v>16667</v>
      </c>
      <c r="K4451" s="0" t="n">
        <v>7891000090732</v>
      </c>
      <c r="L4451" s="0" t="s">
        <v>3954</v>
      </c>
      <c r="N4451" s="0" t="n">
        <v>6</v>
      </c>
      <c r="O4451" s="60" t="n">
        <v>36.73</v>
      </c>
    </row>
    <row r="4452" customFormat="false" ht="15" hidden="false" customHeight="false" outlineLevel="0" collapsed="false">
      <c r="A4452" s="0" t="n">
        <v>3</v>
      </c>
      <c r="B4452" s="59" t="n">
        <v>46252</v>
      </c>
      <c r="C4452" s="0" t="n">
        <v>11</v>
      </c>
      <c r="D4452" s="0" t="s">
        <v>2126</v>
      </c>
      <c r="E4452" s="0" t="n">
        <v>10009</v>
      </c>
      <c r="F4452" s="0" t="s">
        <v>375</v>
      </c>
      <c r="I4452" s="0" t="n">
        <v>1439013</v>
      </c>
      <c r="J4452" s="0" t="n">
        <v>19961</v>
      </c>
      <c r="K4452" s="0" t="n">
        <v>7891000102640</v>
      </c>
      <c r="L4452" s="0" t="s">
        <v>3955</v>
      </c>
      <c r="N4452" s="0" t="n">
        <v>28</v>
      </c>
      <c r="O4452" s="60" t="n">
        <v>107.42</v>
      </c>
    </row>
    <row r="4453" customFormat="false" ht="15" hidden="false" customHeight="false" outlineLevel="0" collapsed="false">
      <c r="A4453" s="0" t="n">
        <v>3</v>
      </c>
      <c r="B4453" s="59" t="n">
        <v>46252</v>
      </c>
      <c r="C4453" s="0" t="n">
        <v>11</v>
      </c>
      <c r="D4453" s="0" t="s">
        <v>2126</v>
      </c>
      <c r="E4453" s="0" t="n">
        <v>10009</v>
      </c>
      <c r="F4453" s="0" t="s">
        <v>375</v>
      </c>
      <c r="I4453" s="0" t="n">
        <v>1439013</v>
      </c>
      <c r="J4453" s="0" t="n">
        <v>19987</v>
      </c>
      <c r="K4453" s="0" t="n">
        <v>7891000101926</v>
      </c>
      <c r="L4453" s="0" t="s">
        <v>3299</v>
      </c>
      <c r="N4453" s="0" t="n">
        <v>6</v>
      </c>
      <c r="O4453" s="60" t="n">
        <v>35.64</v>
      </c>
    </row>
    <row r="4454" customFormat="false" ht="15" hidden="false" customHeight="false" outlineLevel="0" collapsed="false">
      <c r="A4454" s="0" t="n">
        <v>3</v>
      </c>
      <c r="B4454" s="59" t="n">
        <v>46252</v>
      </c>
      <c r="C4454" s="0" t="n">
        <v>11</v>
      </c>
      <c r="D4454" s="0" t="s">
        <v>2126</v>
      </c>
      <c r="E4454" s="0" t="n">
        <v>10009</v>
      </c>
      <c r="F4454" s="0" t="s">
        <v>375</v>
      </c>
      <c r="I4454" s="0" t="n">
        <v>1439013</v>
      </c>
      <c r="J4454" s="0" t="n">
        <v>81985</v>
      </c>
      <c r="K4454" s="0" t="n">
        <v>7891000477274</v>
      </c>
      <c r="L4454" s="0" t="s">
        <v>3419</v>
      </c>
      <c r="N4454" s="0" t="n">
        <v>12</v>
      </c>
      <c r="O4454" s="60" t="n">
        <v>25.81</v>
      </c>
    </row>
    <row r="4455" customFormat="false" ht="15" hidden="false" customHeight="false" outlineLevel="0" collapsed="false">
      <c r="A4455" s="0" t="n">
        <v>3</v>
      </c>
      <c r="B4455" s="59" t="n">
        <v>46252</v>
      </c>
      <c r="C4455" s="0" t="n">
        <v>11</v>
      </c>
      <c r="D4455" s="0" t="s">
        <v>2126</v>
      </c>
      <c r="E4455" s="0" t="n">
        <v>10009</v>
      </c>
      <c r="F4455" s="0" t="s">
        <v>375</v>
      </c>
      <c r="I4455" s="0" t="n">
        <v>1439755</v>
      </c>
      <c r="J4455" s="0" t="n">
        <v>20346</v>
      </c>
      <c r="K4455" s="0" t="n">
        <v>7891000102626</v>
      </c>
      <c r="L4455" s="0" t="s">
        <v>3291</v>
      </c>
      <c r="N4455" s="0" t="n">
        <v>16</v>
      </c>
      <c r="O4455" s="60" t="n">
        <v>61.35</v>
      </c>
    </row>
    <row r="4456" customFormat="false" ht="15" hidden="false" customHeight="false" outlineLevel="0" collapsed="false">
      <c r="A4456" s="0" t="n">
        <v>3</v>
      </c>
      <c r="B4456" s="59" t="n">
        <v>46252</v>
      </c>
      <c r="C4456" s="0" t="n">
        <v>11</v>
      </c>
      <c r="D4456" s="0" t="s">
        <v>2126</v>
      </c>
      <c r="E4456" s="0" t="n">
        <v>10009</v>
      </c>
      <c r="F4456" s="0" t="s">
        <v>375</v>
      </c>
      <c r="I4456" s="0" t="n">
        <v>1439755</v>
      </c>
      <c r="J4456" s="0" t="n">
        <v>12411</v>
      </c>
      <c r="K4456" s="0" t="n">
        <v>7891000050927</v>
      </c>
      <c r="L4456" s="0" t="s">
        <v>2315</v>
      </c>
      <c r="N4456" s="0" t="n">
        <v>10</v>
      </c>
      <c r="O4456" s="60" t="n">
        <v>52.89</v>
      </c>
    </row>
    <row r="4457" customFormat="false" ht="15" hidden="false" customHeight="false" outlineLevel="0" collapsed="false">
      <c r="A4457" s="0" t="n">
        <v>3</v>
      </c>
      <c r="B4457" s="59" t="n">
        <v>46252</v>
      </c>
      <c r="C4457" s="0" t="n">
        <v>11</v>
      </c>
      <c r="D4457" s="0" t="s">
        <v>2126</v>
      </c>
      <c r="E4457" s="0" t="n">
        <v>10009</v>
      </c>
      <c r="F4457" s="0" t="s">
        <v>375</v>
      </c>
      <c r="I4457" s="0" t="n">
        <v>1439755</v>
      </c>
      <c r="J4457" s="0" t="n">
        <v>12803</v>
      </c>
      <c r="K4457" s="0" t="n">
        <v>7891000050880</v>
      </c>
      <c r="L4457" s="0" t="s">
        <v>2316</v>
      </c>
      <c r="N4457" s="0" t="n">
        <v>12</v>
      </c>
      <c r="O4457" s="60" t="n">
        <v>64.69</v>
      </c>
    </row>
    <row r="4458" customFormat="false" ht="15" hidden="false" customHeight="false" outlineLevel="0" collapsed="false">
      <c r="A4458" s="0" t="n">
        <v>3</v>
      </c>
      <c r="B4458" s="59" t="n">
        <v>46252</v>
      </c>
      <c r="C4458" s="0" t="n">
        <v>11</v>
      </c>
      <c r="D4458" s="0" t="s">
        <v>2126</v>
      </c>
      <c r="E4458" s="0" t="n">
        <v>10009</v>
      </c>
      <c r="F4458" s="0" t="s">
        <v>375</v>
      </c>
      <c r="I4458" s="0" t="n">
        <v>1439755</v>
      </c>
      <c r="J4458" s="0" t="n">
        <v>24216</v>
      </c>
      <c r="K4458" s="0" t="n">
        <v>7891000086131</v>
      </c>
      <c r="L4458" s="0" t="s">
        <v>3956</v>
      </c>
      <c r="N4458" s="0" t="n">
        <v>12</v>
      </c>
      <c r="O4458" s="60" t="n">
        <v>169.77</v>
      </c>
    </row>
    <row r="4459" customFormat="false" ht="15" hidden="false" customHeight="false" outlineLevel="0" collapsed="false">
      <c r="A4459" s="0" t="n">
        <v>3</v>
      </c>
      <c r="B4459" s="59" t="n">
        <v>46252</v>
      </c>
      <c r="C4459" s="0" t="n">
        <v>11</v>
      </c>
      <c r="D4459" s="0" t="s">
        <v>2126</v>
      </c>
      <c r="E4459" s="0" t="n">
        <v>10009</v>
      </c>
      <c r="F4459" s="0" t="s">
        <v>375</v>
      </c>
      <c r="I4459" s="0" t="n">
        <v>1439755</v>
      </c>
      <c r="J4459" s="0" t="n">
        <v>26412</v>
      </c>
      <c r="K4459" s="0" t="n">
        <v>7891000248768</v>
      </c>
      <c r="L4459" s="0" t="s">
        <v>3957</v>
      </c>
      <c r="N4459" s="0" t="n">
        <v>24</v>
      </c>
      <c r="O4459" s="60" t="n">
        <v>88.78</v>
      </c>
    </row>
    <row r="4460" customFormat="false" ht="15" hidden="false" customHeight="false" outlineLevel="0" collapsed="false">
      <c r="A4460" s="0" t="n">
        <v>3</v>
      </c>
      <c r="B4460" s="59" t="n">
        <v>46252</v>
      </c>
      <c r="C4460" s="0" t="n">
        <v>11</v>
      </c>
      <c r="D4460" s="0" t="s">
        <v>2126</v>
      </c>
      <c r="E4460" s="0" t="n">
        <v>10009</v>
      </c>
      <c r="F4460" s="0" t="s">
        <v>375</v>
      </c>
      <c r="I4460" s="0" t="n">
        <v>1439755</v>
      </c>
      <c r="J4460" s="0" t="n">
        <v>47564</v>
      </c>
      <c r="K4460" s="0" t="n">
        <v>7891000319628</v>
      </c>
      <c r="L4460" s="0" t="s">
        <v>2705</v>
      </c>
      <c r="N4460" s="0" t="n">
        <v>36</v>
      </c>
      <c r="O4460" s="60" t="n">
        <v>190.67</v>
      </c>
    </row>
    <row r="4461" customFormat="false" ht="15" hidden="false" customHeight="false" outlineLevel="0" collapsed="false">
      <c r="A4461" s="0" t="n">
        <v>3</v>
      </c>
      <c r="B4461" s="59" t="n">
        <v>46252</v>
      </c>
      <c r="C4461" s="0" t="n">
        <v>11</v>
      </c>
      <c r="D4461" s="0" t="s">
        <v>2126</v>
      </c>
      <c r="E4461" s="0" t="n">
        <v>10009</v>
      </c>
      <c r="F4461" s="0" t="s">
        <v>375</v>
      </c>
      <c r="I4461" s="0" t="n">
        <v>1439755</v>
      </c>
      <c r="J4461" s="0" t="n">
        <v>48868</v>
      </c>
      <c r="K4461" s="0" t="n">
        <v>7891000359822</v>
      </c>
      <c r="L4461" s="0" t="s">
        <v>3310</v>
      </c>
      <c r="N4461" s="0" t="n">
        <v>54</v>
      </c>
      <c r="O4461" s="60" t="n">
        <v>119.24</v>
      </c>
    </row>
    <row r="4462" customFormat="false" ht="15" hidden="false" customHeight="false" outlineLevel="0" collapsed="false">
      <c r="A4462" s="0" t="n">
        <v>3</v>
      </c>
      <c r="B4462" s="59" t="n">
        <v>46252</v>
      </c>
      <c r="C4462" s="0" t="n">
        <v>11</v>
      </c>
      <c r="D4462" s="0" t="s">
        <v>2126</v>
      </c>
      <c r="E4462" s="0" t="n">
        <v>10009</v>
      </c>
      <c r="F4462" s="0" t="s">
        <v>375</v>
      </c>
      <c r="I4462" s="0" t="n">
        <v>1439755</v>
      </c>
      <c r="J4462" s="0" t="n">
        <v>50552</v>
      </c>
      <c r="K4462" s="0" t="n">
        <v>7891000369340</v>
      </c>
      <c r="L4462" s="0" t="s">
        <v>2709</v>
      </c>
      <c r="N4462" s="0" t="n">
        <v>48</v>
      </c>
      <c r="O4462" s="60" t="n">
        <v>219.43</v>
      </c>
    </row>
    <row r="4463" customFormat="false" ht="15" hidden="false" customHeight="false" outlineLevel="0" collapsed="false">
      <c r="A4463" s="0" t="n">
        <v>3</v>
      </c>
      <c r="B4463" s="59" t="n">
        <v>46252</v>
      </c>
      <c r="C4463" s="0" t="n">
        <v>11</v>
      </c>
      <c r="D4463" s="0" t="s">
        <v>2126</v>
      </c>
      <c r="E4463" s="0" t="n">
        <v>10009</v>
      </c>
      <c r="F4463" s="0" t="s">
        <v>375</v>
      </c>
      <c r="I4463" s="0" t="n">
        <v>1439755</v>
      </c>
      <c r="J4463" s="0" t="n">
        <v>82113</v>
      </c>
      <c r="K4463" s="0" t="n">
        <v>7891000459058</v>
      </c>
      <c r="L4463" s="0" t="s">
        <v>3958</v>
      </c>
      <c r="N4463" s="0" t="n">
        <v>14</v>
      </c>
      <c r="O4463" s="60" t="n">
        <v>85.54</v>
      </c>
    </row>
    <row r="4464" customFormat="false" ht="15" hidden="false" customHeight="false" outlineLevel="0" collapsed="false">
      <c r="A4464" s="0" t="n">
        <v>3</v>
      </c>
      <c r="B4464" s="59" t="n">
        <v>46252</v>
      </c>
      <c r="C4464" s="0" t="n">
        <v>11</v>
      </c>
      <c r="D4464" s="0" t="s">
        <v>2126</v>
      </c>
      <c r="E4464" s="0" t="n">
        <v>1608</v>
      </c>
      <c r="F4464" s="0" t="s">
        <v>42</v>
      </c>
      <c r="I4464" s="0" t="n">
        <v>1712626</v>
      </c>
      <c r="J4464" s="0" t="n">
        <v>102475</v>
      </c>
      <c r="K4464" s="0" t="n">
        <v>7891132019045</v>
      </c>
      <c r="L4464" s="0" t="s">
        <v>3959</v>
      </c>
      <c r="N4464" s="0" t="n">
        <v>6</v>
      </c>
      <c r="O4464" s="60" t="n">
        <v>23.46</v>
      </c>
    </row>
    <row r="4465" customFormat="false" ht="15" hidden="false" customHeight="false" outlineLevel="0" collapsed="false">
      <c r="A4465" s="0" t="n">
        <v>3</v>
      </c>
      <c r="B4465" s="59" t="n">
        <v>46252</v>
      </c>
      <c r="C4465" s="0" t="n">
        <v>11</v>
      </c>
      <c r="D4465" s="0" t="s">
        <v>2126</v>
      </c>
      <c r="E4465" s="0" t="n">
        <v>1608</v>
      </c>
      <c r="F4465" s="0" t="s">
        <v>42</v>
      </c>
      <c r="I4465" s="0" t="n">
        <v>1712626</v>
      </c>
      <c r="J4465" s="0" t="n">
        <v>102476</v>
      </c>
      <c r="K4465" s="0" t="n">
        <v>7891132019021</v>
      </c>
      <c r="L4465" s="0" t="s">
        <v>3011</v>
      </c>
      <c r="N4465" s="0" t="n">
        <v>6</v>
      </c>
      <c r="O4465" s="60" t="n">
        <v>23.46</v>
      </c>
    </row>
    <row r="4466" customFormat="false" ht="15" hidden="false" customHeight="false" outlineLevel="0" collapsed="false">
      <c r="A4466" s="0" t="n">
        <v>3</v>
      </c>
      <c r="B4466" s="59" t="n">
        <v>46252</v>
      </c>
      <c r="C4466" s="0" t="n">
        <v>11</v>
      </c>
      <c r="D4466" s="0" t="s">
        <v>2126</v>
      </c>
      <c r="E4466" s="0" t="n">
        <v>1608</v>
      </c>
      <c r="F4466" s="0" t="s">
        <v>42</v>
      </c>
      <c r="I4466" s="0" t="n">
        <v>1712626</v>
      </c>
      <c r="J4466" s="0" t="n">
        <v>102477</v>
      </c>
      <c r="K4466" s="0" t="n">
        <v>7891132019038</v>
      </c>
      <c r="L4466" s="0" t="s">
        <v>3012</v>
      </c>
      <c r="N4466" s="0" t="n">
        <v>12</v>
      </c>
      <c r="O4466" s="60" t="n">
        <v>46.92</v>
      </c>
    </row>
    <row r="4467" customFormat="false" ht="15" hidden="false" customHeight="false" outlineLevel="0" collapsed="false">
      <c r="A4467" s="0" t="n">
        <v>3</v>
      </c>
      <c r="B4467" s="59" t="n">
        <v>46252</v>
      </c>
      <c r="C4467" s="0" t="n">
        <v>11</v>
      </c>
      <c r="D4467" s="0" t="s">
        <v>2126</v>
      </c>
      <c r="E4467" s="0" t="n">
        <v>1608</v>
      </c>
      <c r="F4467" s="0" t="s">
        <v>42</v>
      </c>
      <c r="I4467" s="0" t="n">
        <v>1712626</v>
      </c>
      <c r="J4467" s="0" t="n">
        <v>102517</v>
      </c>
      <c r="K4467" s="0" t="n">
        <v>7891132019281</v>
      </c>
      <c r="L4467" s="0" t="s">
        <v>3015</v>
      </c>
      <c r="N4467" s="0" t="n">
        <v>48</v>
      </c>
      <c r="O4467" s="60" t="n">
        <v>199.68</v>
      </c>
    </row>
    <row r="4468" customFormat="false" ht="15" hidden="false" customHeight="false" outlineLevel="0" collapsed="false">
      <c r="A4468" s="0" t="n">
        <v>3</v>
      </c>
      <c r="B4468" s="59" t="n">
        <v>46252</v>
      </c>
      <c r="C4468" s="0" t="n">
        <v>11</v>
      </c>
      <c r="D4468" s="0" t="s">
        <v>2126</v>
      </c>
      <c r="E4468" s="0" t="n">
        <v>1608</v>
      </c>
      <c r="F4468" s="0" t="s">
        <v>42</v>
      </c>
      <c r="I4468" s="0" t="n">
        <v>1712626</v>
      </c>
      <c r="J4468" s="0" t="n">
        <v>11471</v>
      </c>
      <c r="K4468" s="0" t="n">
        <v>7896009725012</v>
      </c>
      <c r="L4468" s="0" t="s">
        <v>3960</v>
      </c>
      <c r="N4468" s="0" t="n">
        <v>8</v>
      </c>
      <c r="O4468" s="60" t="n">
        <v>92.48</v>
      </c>
    </row>
    <row r="4469" customFormat="false" ht="15" hidden="false" customHeight="false" outlineLevel="0" collapsed="false">
      <c r="A4469" s="0" t="n">
        <v>3</v>
      </c>
      <c r="B4469" s="59" t="n">
        <v>46252</v>
      </c>
      <c r="C4469" s="0" t="n">
        <v>11</v>
      </c>
      <c r="D4469" s="0" t="s">
        <v>2126</v>
      </c>
      <c r="E4469" s="0" t="n">
        <v>1608</v>
      </c>
      <c r="F4469" s="0" t="s">
        <v>42</v>
      </c>
      <c r="I4469" s="0" t="n">
        <v>1712626</v>
      </c>
      <c r="J4469" s="0" t="n">
        <v>20041</v>
      </c>
      <c r="K4469" s="0" t="n">
        <v>7891132008391</v>
      </c>
      <c r="L4469" s="0" t="s">
        <v>3019</v>
      </c>
      <c r="N4469" s="0" t="n">
        <v>12</v>
      </c>
      <c r="O4469" s="60" t="n">
        <v>33.12</v>
      </c>
    </row>
    <row r="4470" customFormat="false" ht="15" hidden="false" customHeight="false" outlineLevel="0" collapsed="false">
      <c r="A4470" s="0" t="n">
        <v>3</v>
      </c>
      <c r="B4470" s="59" t="n">
        <v>46252</v>
      </c>
      <c r="C4470" s="0" t="n">
        <v>11</v>
      </c>
      <c r="D4470" s="0" t="s">
        <v>2126</v>
      </c>
      <c r="E4470" s="0" t="n">
        <v>1608</v>
      </c>
      <c r="F4470" s="0" t="s">
        <v>42</v>
      </c>
      <c r="I4470" s="0" t="n">
        <v>1712626</v>
      </c>
      <c r="J4470" s="0" t="n">
        <v>29476</v>
      </c>
      <c r="K4470" s="0" t="n">
        <v>7891132009626</v>
      </c>
      <c r="L4470" s="0" t="s">
        <v>3961</v>
      </c>
      <c r="N4470" s="0" t="n">
        <v>12</v>
      </c>
      <c r="O4470" s="60" t="n">
        <v>58.38</v>
      </c>
    </row>
    <row r="4471" customFormat="false" ht="15" hidden="false" customHeight="false" outlineLevel="0" collapsed="false">
      <c r="A4471" s="0" t="n">
        <v>3</v>
      </c>
      <c r="B4471" s="59" t="n">
        <v>46252</v>
      </c>
      <c r="C4471" s="0" t="n">
        <v>11</v>
      </c>
      <c r="D4471" s="0" t="s">
        <v>2126</v>
      </c>
      <c r="E4471" s="0" t="n">
        <v>1608</v>
      </c>
      <c r="F4471" s="0" t="s">
        <v>42</v>
      </c>
      <c r="I4471" s="0" t="n">
        <v>1712626</v>
      </c>
      <c r="J4471" s="0" t="n">
        <v>37262</v>
      </c>
      <c r="K4471" s="0" t="n">
        <v>7891132009688</v>
      </c>
      <c r="L4471" s="0" t="s">
        <v>3962</v>
      </c>
      <c r="N4471" s="0" t="n">
        <v>12</v>
      </c>
      <c r="O4471" s="60" t="n">
        <v>58.38</v>
      </c>
    </row>
    <row r="4472" customFormat="false" ht="15" hidden="false" customHeight="false" outlineLevel="0" collapsed="false">
      <c r="A4472" s="0" t="n">
        <v>3</v>
      </c>
      <c r="B4472" s="59" t="n">
        <v>46252</v>
      </c>
      <c r="C4472" s="0" t="n">
        <v>11</v>
      </c>
      <c r="D4472" s="0" t="s">
        <v>2126</v>
      </c>
      <c r="E4472" s="0" t="n">
        <v>1608</v>
      </c>
      <c r="F4472" s="0" t="s">
        <v>42</v>
      </c>
      <c r="I4472" s="0" t="n">
        <v>1712626</v>
      </c>
      <c r="J4472" s="0" t="n">
        <v>57033</v>
      </c>
      <c r="K4472" s="0" t="n">
        <v>7891132009381</v>
      </c>
      <c r="L4472" s="0" t="s">
        <v>3963</v>
      </c>
      <c r="N4472" s="0" t="n">
        <v>23</v>
      </c>
      <c r="O4472" s="60" t="n">
        <v>52.26</v>
      </c>
    </row>
    <row r="4473" customFormat="false" ht="15" hidden="false" customHeight="false" outlineLevel="0" collapsed="false">
      <c r="A4473" s="0" t="n">
        <v>3</v>
      </c>
      <c r="B4473" s="59" t="n">
        <v>46252</v>
      </c>
      <c r="C4473" s="0" t="n">
        <v>11</v>
      </c>
      <c r="D4473" s="0" t="s">
        <v>2126</v>
      </c>
      <c r="E4473" s="0" t="n">
        <v>1608</v>
      </c>
      <c r="F4473" s="0" t="s">
        <v>42</v>
      </c>
      <c r="I4473" s="0" t="n">
        <v>1712626</v>
      </c>
      <c r="J4473" s="0" t="n">
        <v>69963</v>
      </c>
      <c r="K4473" s="0" t="n">
        <v>7891132165650</v>
      </c>
      <c r="L4473" s="0" t="s">
        <v>3964</v>
      </c>
      <c r="N4473" s="0" t="n">
        <v>3</v>
      </c>
      <c r="O4473" s="60" t="n">
        <v>8.34</v>
      </c>
    </row>
    <row r="4474" customFormat="false" ht="15" hidden="false" customHeight="false" outlineLevel="0" collapsed="false">
      <c r="A4474" s="0" t="n">
        <v>3</v>
      </c>
      <c r="B4474" s="59" t="n">
        <v>46252</v>
      </c>
      <c r="C4474" s="0" t="n">
        <v>11</v>
      </c>
      <c r="D4474" s="0" t="s">
        <v>2126</v>
      </c>
      <c r="E4474" s="0" t="n">
        <v>1608</v>
      </c>
      <c r="F4474" s="0" t="s">
        <v>42</v>
      </c>
      <c r="I4474" s="0" t="n">
        <v>1712626</v>
      </c>
      <c r="J4474" s="0" t="n">
        <v>75547</v>
      </c>
      <c r="K4474" s="0" t="n">
        <v>7891132165575</v>
      </c>
      <c r="L4474" s="0" t="s">
        <v>3965</v>
      </c>
      <c r="N4474" s="0" t="n">
        <v>6</v>
      </c>
      <c r="O4474" s="60" t="n">
        <v>33.48</v>
      </c>
    </row>
    <row r="4475" customFormat="false" ht="15" hidden="false" customHeight="false" outlineLevel="0" collapsed="false">
      <c r="A4475" s="0" t="n">
        <v>3</v>
      </c>
      <c r="B4475" s="59" t="n">
        <v>46253</v>
      </c>
      <c r="C4475" s="0" t="n">
        <v>6</v>
      </c>
      <c r="D4475" s="0" t="s">
        <v>2125</v>
      </c>
      <c r="E4475" s="0" t="n">
        <v>42</v>
      </c>
      <c r="F4475" s="0" t="s">
        <v>81</v>
      </c>
      <c r="I4475" s="0" t="n">
        <v>4519</v>
      </c>
      <c r="J4475" s="0" t="n">
        <v>100103</v>
      </c>
      <c r="K4475" s="0" t="n">
        <v>104</v>
      </c>
      <c r="L4475" s="0" t="s">
        <v>2193</v>
      </c>
      <c r="N4475" s="0" t="n">
        <v>20</v>
      </c>
      <c r="O4475" s="60" t="n">
        <v>125</v>
      </c>
    </row>
    <row r="4476" customFormat="false" ht="15" hidden="false" customHeight="false" outlineLevel="0" collapsed="false">
      <c r="A4476" s="0" t="n">
        <v>3</v>
      </c>
      <c r="B4476" s="59" t="n">
        <v>46253</v>
      </c>
      <c r="C4476" s="0" t="n">
        <v>6</v>
      </c>
      <c r="D4476" s="0" t="s">
        <v>2125</v>
      </c>
      <c r="E4476" s="0" t="n">
        <v>42</v>
      </c>
      <c r="F4476" s="0" t="s">
        <v>81</v>
      </c>
      <c r="I4476" s="0" t="n">
        <v>4520</v>
      </c>
      <c r="J4476" s="0" t="n">
        <v>37359</v>
      </c>
      <c r="K4476" s="0" t="n">
        <v>55526</v>
      </c>
      <c r="L4476" s="0" t="s">
        <v>2194</v>
      </c>
      <c r="N4476" s="0" t="n">
        <v>4</v>
      </c>
      <c r="O4476" s="60" t="n">
        <v>24</v>
      </c>
    </row>
    <row r="4477" customFormat="false" ht="15" hidden="false" customHeight="false" outlineLevel="0" collapsed="false">
      <c r="A4477" s="0" t="n">
        <v>3</v>
      </c>
      <c r="B4477" s="59" t="n">
        <v>46253</v>
      </c>
      <c r="C4477" s="0" t="n">
        <v>6</v>
      </c>
      <c r="D4477" s="0" t="s">
        <v>2125</v>
      </c>
      <c r="E4477" s="0" t="n">
        <v>42</v>
      </c>
      <c r="F4477" s="0" t="s">
        <v>81</v>
      </c>
      <c r="I4477" s="0" t="n">
        <v>4520</v>
      </c>
      <c r="J4477" s="0" t="n">
        <v>37361</v>
      </c>
      <c r="K4477" s="0" t="n">
        <v>2240817</v>
      </c>
      <c r="L4477" s="0" t="s">
        <v>2124</v>
      </c>
      <c r="N4477" s="0" t="n">
        <v>50</v>
      </c>
      <c r="O4477" s="60" t="n">
        <v>100</v>
      </c>
    </row>
    <row r="4478" customFormat="false" ht="15" hidden="false" customHeight="false" outlineLevel="0" collapsed="false">
      <c r="A4478" s="0" t="n">
        <v>3</v>
      </c>
      <c r="B4478" s="59" t="n">
        <v>46253</v>
      </c>
      <c r="C4478" s="0" t="n">
        <v>11</v>
      </c>
      <c r="D4478" s="0" t="s">
        <v>2126</v>
      </c>
      <c r="E4478" s="0" t="n">
        <v>10095</v>
      </c>
      <c r="F4478" s="0" t="s">
        <v>1117</v>
      </c>
      <c r="I4478" s="0" t="n">
        <v>940</v>
      </c>
      <c r="J4478" s="0" t="n">
        <v>81702</v>
      </c>
      <c r="K4478" s="0" t="n">
        <v>7897688801066</v>
      </c>
      <c r="L4478" s="0" t="s">
        <v>2642</v>
      </c>
      <c r="N4478" s="0" t="n">
        <v>60</v>
      </c>
      <c r="O4478" s="60" t="n">
        <v>100</v>
      </c>
    </row>
    <row r="4479" customFormat="false" ht="15" hidden="false" customHeight="false" outlineLevel="0" collapsed="false">
      <c r="A4479" s="0" t="n">
        <v>3</v>
      </c>
      <c r="B4479" s="59" t="n">
        <v>46253</v>
      </c>
      <c r="C4479" s="0" t="n">
        <v>11</v>
      </c>
      <c r="D4479" s="0" t="s">
        <v>2126</v>
      </c>
      <c r="E4479" s="0" t="n">
        <v>10095</v>
      </c>
      <c r="F4479" s="0" t="s">
        <v>1117</v>
      </c>
      <c r="I4479" s="0" t="n">
        <v>940</v>
      </c>
      <c r="J4479" s="0" t="n">
        <v>81703</v>
      </c>
      <c r="K4479" s="0" t="n">
        <v>7897688801042</v>
      </c>
      <c r="L4479" s="0" t="s">
        <v>2643</v>
      </c>
      <c r="N4479" s="0" t="n">
        <v>60</v>
      </c>
      <c r="O4479" s="60" t="n">
        <v>110</v>
      </c>
    </row>
    <row r="4480" customFormat="false" ht="15" hidden="false" customHeight="false" outlineLevel="0" collapsed="false">
      <c r="A4480" s="0" t="n">
        <v>3</v>
      </c>
      <c r="B4480" s="59" t="n">
        <v>46253</v>
      </c>
      <c r="C4480" s="0" t="n">
        <v>11</v>
      </c>
      <c r="D4480" s="0" t="s">
        <v>2126</v>
      </c>
      <c r="E4480" s="0" t="n">
        <v>10095</v>
      </c>
      <c r="F4480" s="0" t="s">
        <v>1117</v>
      </c>
      <c r="I4480" s="0" t="n">
        <v>940</v>
      </c>
      <c r="J4480" s="0" t="n">
        <v>81704</v>
      </c>
      <c r="K4480" s="0" t="n">
        <v>7897688801004</v>
      </c>
      <c r="L4480" s="0" t="s">
        <v>2644</v>
      </c>
      <c r="N4480" s="0" t="n">
        <v>60</v>
      </c>
      <c r="O4480" s="60" t="n">
        <v>110</v>
      </c>
    </row>
    <row r="4481" customFormat="false" ht="15" hidden="false" customHeight="false" outlineLevel="0" collapsed="false">
      <c r="A4481" s="0" t="n">
        <v>3</v>
      </c>
      <c r="B4481" s="59" t="n">
        <v>46253</v>
      </c>
      <c r="C4481" s="0" t="n">
        <v>11</v>
      </c>
      <c r="D4481" s="0" t="s">
        <v>2126</v>
      </c>
      <c r="E4481" s="0" t="n">
        <v>1457</v>
      </c>
      <c r="F4481" s="0" t="s">
        <v>180</v>
      </c>
      <c r="I4481" s="0" t="n">
        <v>14498</v>
      </c>
      <c r="J4481" s="0" t="n">
        <v>59521</v>
      </c>
      <c r="K4481" s="0" t="n">
        <v>7896862002664</v>
      </c>
      <c r="L4481" s="0" t="s">
        <v>2127</v>
      </c>
      <c r="N4481" s="0" t="n">
        <v>8</v>
      </c>
      <c r="O4481" s="60" t="n">
        <v>43.92</v>
      </c>
    </row>
    <row r="4482" customFormat="false" ht="15" hidden="false" customHeight="false" outlineLevel="0" collapsed="false">
      <c r="A4482" s="0" t="n">
        <v>3</v>
      </c>
      <c r="B4482" s="59" t="n">
        <v>46253</v>
      </c>
      <c r="C4482" s="0" t="n">
        <v>11</v>
      </c>
      <c r="D4482" s="0" t="s">
        <v>2126</v>
      </c>
      <c r="E4482" s="0" t="n">
        <v>1457</v>
      </c>
      <c r="F4482" s="0" t="s">
        <v>180</v>
      </c>
      <c r="I4482" s="0" t="n">
        <v>14498</v>
      </c>
      <c r="J4482" s="0" t="n">
        <v>59522</v>
      </c>
      <c r="K4482" s="0" t="n">
        <v>7896862002794</v>
      </c>
      <c r="L4482" s="0" t="s">
        <v>2128</v>
      </c>
      <c r="N4482" s="0" t="n">
        <v>8</v>
      </c>
      <c r="O4482" s="60" t="n">
        <v>43.92</v>
      </c>
    </row>
    <row r="4483" customFormat="false" ht="15" hidden="false" customHeight="false" outlineLevel="0" collapsed="false">
      <c r="A4483" s="0" t="n">
        <v>3</v>
      </c>
      <c r="B4483" s="59" t="n">
        <v>46253</v>
      </c>
      <c r="C4483" s="0" t="n">
        <v>11</v>
      </c>
      <c r="D4483" s="0" t="s">
        <v>2126</v>
      </c>
      <c r="E4483" s="0" t="n">
        <v>1457</v>
      </c>
      <c r="F4483" s="0" t="s">
        <v>180</v>
      </c>
      <c r="I4483" s="0" t="n">
        <v>14498</v>
      </c>
      <c r="J4483" s="0" t="n">
        <v>59541</v>
      </c>
      <c r="K4483" s="0" t="n">
        <v>7896862000752</v>
      </c>
      <c r="L4483" s="0" t="s">
        <v>2130</v>
      </c>
      <c r="N4483" s="0" t="n">
        <v>3</v>
      </c>
      <c r="O4483" s="60" t="n">
        <v>32.64</v>
      </c>
    </row>
    <row r="4484" customFormat="false" ht="15" hidden="false" customHeight="false" outlineLevel="0" collapsed="false">
      <c r="A4484" s="0" t="n">
        <v>3</v>
      </c>
      <c r="B4484" s="59" t="n">
        <v>46253</v>
      </c>
      <c r="C4484" s="0" t="n">
        <v>11</v>
      </c>
      <c r="D4484" s="0" t="s">
        <v>2126</v>
      </c>
      <c r="E4484" s="0" t="n">
        <v>1457</v>
      </c>
      <c r="F4484" s="0" t="s">
        <v>180</v>
      </c>
      <c r="I4484" s="0" t="n">
        <v>14498</v>
      </c>
      <c r="J4484" s="0" t="n">
        <v>59542</v>
      </c>
      <c r="K4484" s="0" t="n">
        <v>7896862000776</v>
      </c>
      <c r="L4484" s="0" t="s">
        <v>2476</v>
      </c>
      <c r="N4484" s="0" t="n">
        <v>3</v>
      </c>
      <c r="O4484" s="60" t="n">
        <v>32.64</v>
      </c>
    </row>
    <row r="4485" customFormat="false" ht="15" hidden="false" customHeight="false" outlineLevel="0" collapsed="false">
      <c r="A4485" s="0" t="n">
        <v>3</v>
      </c>
      <c r="B4485" s="59" t="n">
        <v>46253</v>
      </c>
      <c r="C4485" s="0" t="n">
        <v>11</v>
      </c>
      <c r="D4485" s="0" t="s">
        <v>2126</v>
      </c>
      <c r="E4485" s="0" t="n">
        <v>1457</v>
      </c>
      <c r="F4485" s="0" t="s">
        <v>180</v>
      </c>
      <c r="I4485" s="0" t="n">
        <v>14498</v>
      </c>
      <c r="J4485" s="0" t="n">
        <v>59736</v>
      </c>
      <c r="K4485" s="0" t="n">
        <v>7896862002657</v>
      </c>
      <c r="L4485" s="0" t="s">
        <v>2135</v>
      </c>
      <c r="N4485" s="0" t="n">
        <v>8</v>
      </c>
      <c r="O4485" s="60" t="n">
        <v>43.92</v>
      </c>
    </row>
    <row r="4486" customFormat="false" ht="15" hidden="false" customHeight="false" outlineLevel="0" collapsed="false">
      <c r="A4486" s="0" t="n">
        <v>3</v>
      </c>
      <c r="B4486" s="59" t="n">
        <v>46253</v>
      </c>
      <c r="C4486" s="0" t="n">
        <v>11</v>
      </c>
      <c r="D4486" s="0" t="s">
        <v>2126</v>
      </c>
      <c r="E4486" s="0" t="n">
        <v>1457</v>
      </c>
      <c r="F4486" s="0" t="s">
        <v>180</v>
      </c>
      <c r="I4486" s="0" t="n">
        <v>14498</v>
      </c>
      <c r="J4486" s="0" t="n">
        <v>61844</v>
      </c>
      <c r="K4486" s="0" t="n">
        <v>7896862003012</v>
      </c>
      <c r="L4486" s="0" t="s">
        <v>2681</v>
      </c>
      <c r="N4486" s="0" t="n">
        <v>3</v>
      </c>
      <c r="O4486" s="60" t="n">
        <v>32.64</v>
      </c>
    </row>
    <row r="4487" customFormat="false" ht="15" hidden="false" customHeight="false" outlineLevel="0" collapsed="false">
      <c r="A4487" s="0" t="n">
        <v>3</v>
      </c>
      <c r="B4487" s="59" t="n">
        <v>46253</v>
      </c>
      <c r="C4487" s="0" t="n">
        <v>11</v>
      </c>
      <c r="D4487" s="0" t="s">
        <v>2126</v>
      </c>
      <c r="E4487" s="0" t="n">
        <v>1625</v>
      </c>
      <c r="F4487" s="0" t="s">
        <v>322</v>
      </c>
      <c r="I4487" s="0" t="n">
        <v>15086</v>
      </c>
      <c r="J4487" s="0" t="n">
        <v>29079</v>
      </c>
      <c r="K4487" s="0" t="n">
        <v>55515</v>
      </c>
      <c r="L4487" s="0" t="s">
        <v>2213</v>
      </c>
      <c r="N4487" s="0" t="n">
        <v>60</v>
      </c>
      <c r="O4487" s="60" t="n">
        <v>1950</v>
      </c>
    </row>
    <row r="4488" customFormat="false" ht="15" hidden="false" customHeight="false" outlineLevel="0" collapsed="false">
      <c r="A4488" s="0" t="n">
        <v>3</v>
      </c>
      <c r="B4488" s="59" t="n">
        <v>46253</v>
      </c>
      <c r="C4488" s="0" t="n">
        <v>11</v>
      </c>
      <c r="D4488" s="0" t="s">
        <v>2126</v>
      </c>
      <c r="E4488" s="0" t="n">
        <v>1625</v>
      </c>
      <c r="F4488" s="0" t="s">
        <v>322</v>
      </c>
      <c r="I4488" s="0" t="n">
        <v>15086</v>
      </c>
      <c r="J4488" s="0" t="n">
        <v>29080</v>
      </c>
      <c r="K4488" s="0" t="n">
        <v>55516</v>
      </c>
      <c r="L4488" s="0" t="s">
        <v>2137</v>
      </c>
      <c r="N4488" s="0" t="n">
        <v>51.4</v>
      </c>
      <c r="O4488" s="60" t="n">
        <v>1156.5</v>
      </c>
    </row>
    <row r="4489" customFormat="false" ht="15" hidden="false" customHeight="false" outlineLevel="0" collapsed="false">
      <c r="A4489" s="0" t="n">
        <v>3</v>
      </c>
      <c r="B4489" s="59" t="n">
        <v>46253</v>
      </c>
      <c r="C4489" s="0" t="n">
        <v>11</v>
      </c>
      <c r="D4489" s="0" t="s">
        <v>2126</v>
      </c>
      <c r="E4489" s="0" t="n">
        <v>1625</v>
      </c>
      <c r="F4489" s="0" t="s">
        <v>322</v>
      </c>
      <c r="I4489" s="0" t="n">
        <v>15086</v>
      </c>
      <c r="J4489" s="0" t="n">
        <v>110231</v>
      </c>
      <c r="K4489" s="0" t="n">
        <v>38306</v>
      </c>
      <c r="L4489" s="0" t="s">
        <v>2878</v>
      </c>
      <c r="N4489" s="0" t="n">
        <v>46.7</v>
      </c>
      <c r="O4489" s="60" t="n">
        <v>1517.75</v>
      </c>
    </row>
    <row r="4490" customFormat="false" ht="15" hidden="false" customHeight="false" outlineLevel="0" collapsed="false">
      <c r="A4490" s="0" t="n">
        <v>3</v>
      </c>
      <c r="B4490" s="59" t="n">
        <v>46253</v>
      </c>
      <c r="C4490" s="0" t="n">
        <v>11</v>
      </c>
      <c r="D4490" s="0" t="s">
        <v>2126</v>
      </c>
      <c r="E4490" s="0" t="n">
        <v>1681</v>
      </c>
      <c r="F4490" s="0" t="s">
        <v>1348</v>
      </c>
      <c r="I4490" s="0" t="n">
        <v>39504</v>
      </c>
      <c r="J4490" s="0" t="n">
        <v>101877</v>
      </c>
      <c r="K4490" s="0" t="n">
        <v>7896224813082</v>
      </c>
      <c r="L4490" s="0" t="s">
        <v>2740</v>
      </c>
      <c r="N4490" s="0" t="n">
        <v>20</v>
      </c>
      <c r="O4490" s="60" t="n">
        <v>317.4</v>
      </c>
    </row>
    <row r="4491" customFormat="false" ht="15" hidden="false" customHeight="false" outlineLevel="0" collapsed="false">
      <c r="A4491" s="0" t="n">
        <v>3</v>
      </c>
      <c r="B4491" s="59" t="n">
        <v>46253</v>
      </c>
      <c r="C4491" s="0" t="n">
        <v>11</v>
      </c>
      <c r="D4491" s="0" t="s">
        <v>2126</v>
      </c>
      <c r="E4491" s="0" t="n">
        <v>1681</v>
      </c>
      <c r="F4491" s="0" t="s">
        <v>1348</v>
      </c>
      <c r="I4491" s="0" t="n">
        <v>39504</v>
      </c>
      <c r="J4491" s="0" t="n">
        <v>102054</v>
      </c>
      <c r="K4491" s="0" t="n">
        <v>7894000030470</v>
      </c>
      <c r="L4491" s="0" t="s">
        <v>3966</v>
      </c>
      <c r="N4491" s="0" t="n">
        <v>48</v>
      </c>
      <c r="O4491" s="60" t="n">
        <v>305.28</v>
      </c>
    </row>
    <row r="4492" customFormat="false" ht="15" hidden="false" customHeight="false" outlineLevel="0" collapsed="false">
      <c r="A4492" s="0" t="n">
        <v>3</v>
      </c>
      <c r="B4492" s="59" t="n">
        <v>46253</v>
      </c>
      <c r="C4492" s="0" t="n">
        <v>11</v>
      </c>
      <c r="D4492" s="0" t="s">
        <v>2126</v>
      </c>
      <c r="E4492" s="0" t="n">
        <v>1681</v>
      </c>
      <c r="F4492" s="0" t="s">
        <v>1348</v>
      </c>
      <c r="I4492" s="0" t="n">
        <v>39504</v>
      </c>
      <c r="J4492" s="0" t="n">
        <v>103145</v>
      </c>
      <c r="K4492" s="0" t="n">
        <v>7894900051513</v>
      </c>
      <c r="L4492" s="0" t="s">
        <v>2582</v>
      </c>
      <c r="N4492" s="0" t="n">
        <v>30</v>
      </c>
      <c r="O4492" s="60" t="n">
        <v>246.6</v>
      </c>
    </row>
    <row r="4493" customFormat="false" ht="15" hidden="false" customHeight="false" outlineLevel="0" collapsed="false">
      <c r="A4493" s="0" t="n">
        <v>3</v>
      </c>
      <c r="B4493" s="59" t="n">
        <v>46253</v>
      </c>
      <c r="C4493" s="0" t="n">
        <v>11</v>
      </c>
      <c r="D4493" s="0" t="s">
        <v>2126</v>
      </c>
      <c r="E4493" s="0" t="n">
        <v>1681</v>
      </c>
      <c r="F4493" s="0" t="s">
        <v>1348</v>
      </c>
      <c r="I4493" s="0" t="n">
        <v>39504</v>
      </c>
      <c r="J4493" s="0" t="n">
        <v>103146</v>
      </c>
      <c r="K4493" s="0" t="n">
        <v>7894900031515</v>
      </c>
      <c r="L4493" s="0" t="s">
        <v>2583</v>
      </c>
      <c r="N4493" s="0" t="n">
        <v>30</v>
      </c>
      <c r="O4493" s="60" t="n">
        <v>246.6</v>
      </c>
    </row>
    <row r="4494" customFormat="false" ht="15" hidden="false" customHeight="false" outlineLevel="0" collapsed="false">
      <c r="A4494" s="0" t="n">
        <v>3</v>
      </c>
      <c r="B4494" s="59" t="n">
        <v>46253</v>
      </c>
      <c r="C4494" s="0" t="n">
        <v>11</v>
      </c>
      <c r="D4494" s="0" t="s">
        <v>2126</v>
      </c>
      <c r="E4494" s="0" t="n">
        <v>1681</v>
      </c>
      <c r="F4494" s="0" t="s">
        <v>1348</v>
      </c>
      <c r="I4494" s="0" t="n">
        <v>39504</v>
      </c>
      <c r="J4494" s="0" t="n">
        <v>103159</v>
      </c>
      <c r="K4494" s="0" t="n">
        <v>7894900050011</v>
      </c>
      <c r="L4494" s="0" t="s">
        <v>2770</v>
      </c>
      <c r="N4494" s="0" t="n">
        <v>24</v>
      </c>
      <c r="O4494" s="60" t="n">
        <v>75.12</v>
      </c>
    </row>
    <row r="4495" customFormat="false" ht="15" hidden="false" customHeight="false" outlineLevel="0" collapsed="false">
      <c r="A4495" s="0" t="n">
        <v>3</v>
      </c>
      <c r="B4495" s="59" t="n">
        <v>46253</v>
      </c>
      <c r="C4495" s="0" t="n">
        <v>11</v>
      </c>
      <c r="D4495" s="0" t="s">
        <v>2126</v>
      </c>
      <c r="E4495" s="0" t="n">
        <v>1681</v>
      </c>
      <c r="F4495" s="0" t="s">
        <v>1348</v>
      </c>
      <c r="I4495" s="0" t="n">
        <v>39504</v>
      </c>
      <c r="J4495" s="0" t="n">
        <v>103160</v>
      </c>
      <c r="K4495" s="0" t="n">
        <v>7894900030013</v>
      </c>
      <c r="L4495" s="0" t="s">
        <v>2563</v>
      </c>
      <c r="N4495" s="0" t="n">
        <v>24</v>
      </c>
      <c r="O4495" s="60" t="n">
        <v>75.12</v>
      </c>
    </row>
    <row r="4496" customFormat="false" ht="15" hidden="false" customHeight="false" outlineLevel="0" collapsed="false">
      <c r="A4496" s="0" t="n">
        <v>3</v>
      </c>
      <c r="B4496" s="59" t="n">
        <v>46253</v>
      </c>
      <c r="C4496" s="0" t="n">
        <v>11</v>
      </c>
      <c r="D4496" s="0" t="s">
        <v>2126</v>
      </c>
      <c r="E4496" s="0" t="n">
        <v>1681</v>
      </c>
      <c r="F4496" s="0" t="s">
        <v>1348</v>
      </c>
      <c r="I4496" s="0" t="n">
        <v>39504</v>
      </c>
      <c r="J4496" s="0" t="n">
        <v>103161</v>
      </c>
      <c r="K4496" s="0" t="n">
        <v>7894900010015</v>
      </c>
      <c r="L4496" s="0" t="s">
        <v>2584</v>
      </c>
      <c r="N4496" s="0" t="n">
        <v>48</v>
      </c>
      <c r="O4496" s="60" t="n">
        <v>173.28</v>
      </c>
    </row>
    <row r="4497" customFormat="false" ht="15" hidden="false" customHeight="false" outlineLevel="0" collapsed="false">
      <c r="A4497" s="0" t="n">
        <v>3</v>
      </c>
      <c r="B4497" s="59" t="n">
        <v>46253</v>
      </c>
      <c r="C4497" s="0" t="n">
        <v>11</v>
      </c>
      <c r="D4497" s="0" t="s">
        <v>2126</v>
      </c>
      <c r="E4497" s="0" t="n">
        <v>1681</v>
      </c>
      <c r="F4497" s="0" t="s">
        <v>1348</v>
      </c>
      <c r="I4497" s="0" t="n">
        <v>39504</v>
      </c>
      <c r="J4497" s="0" t="n">
        <v>105631</v>
      </c>
      <c r="K4497" s="0" t="n">
        <v>7894900011609</v>
      </c>
      <c r="L4497" s="0" t="s">
        <v>2587</v>
      </c>
      <c r="N4497" s="0" t="n">
        <v>48</v>
      </c>
      <c r="O4497" s="60" t="n">
        <v>211.2</v>
      </c>
    </row>
    <row r="4498" customFormat="false" ht="15" hidden="false" customHeight="false" outlineLevel="0" collapsed="false">
      <c r="A4498" s="0" t="n">
        <v>3</v>
      </c>
      <c r="B4498" s="59" t="n">
        <v>46253</v>
      </c>
      <c r="C4498" s="0" t="n">
        <v>11</v>
      </c>
      <c r="D4498" s="0" t="s">
        <v>2126</v>
      </c>
      <c r="E4498" s="0" t="n">
        <v>1681</v>
      </c>
      <c r="F4498" s="0" t="s">
        <v>1348</v>
      </c>
      <c r="I4498" s="0" t="n">
        <v>39504</v>
      </c>
      <c r="J4498" s="0" t="n">
        <v>107100</v>
      </c>
      <c r="K4498" s="0" t="n">
        <v>7894900700015</v>
      </c>
      <c r="L4498" s="0" t="s">
        <v>2588</v>
      </c>
      <c r="N4498" s="0" t="n">
        <v>24</v>
      </c>
      <c r="O4498" s="60" t="n">
        <v>84.48</v>
      </c>
    </row>
    <row r="4499" customFormat="false" ht="15" hidden="false" customHeight="false" outlineLevel="0" collapsed="false">
      <c r="A4499" s="0" t="n">
        <v>3</v>
      </c>
      <c r="B4499" s="59" t="n">
        <v>46253</v>
      </c>
      <c r="C4499" s="0" t="n">
        <v>11</v>
      </c>
      <c r="D4499" s="0" t="s">
        <v>2126</v>
      </c>
      <c r="E4499" s="0" t="n">
        <v>1681</v>
      </c>
      <c r="F4499" s="0" t="s">
        <v>1348</v>
      </c>
      <c r="I4499" s="0" t="n">
        <v>39504</v>
      </c>
      <c r="J4499" s="0" t="n">
        <v>10830</v>
      </c>
      <c r="K4499" s="0" t="n">
        <v>7894900701517</v>
      </c>
      <c r="L4499" s="0" t="s">
        <v>2589</v>
      </c>
      <c r="N4499" s="0" t="n">
        <v>30</v>
      </c>
      <c r="O4499" s="60" t="n">
        <v>284.1</v>
      </c>
    </row>
    <row r="4500" customFormat="false" ht="15" hidden="false" customHeight="false" outlineLevel="0" collapsed="false">
      <c r="A4500" s="0" t="n">
        <v>3</v>
      </c>
      <c r="B4500" s="59" t="n">
        <v>46253</v>
      </c>
      <c r="C4500" s="0" t="n">
        <v>11</v>
      </c>
      <c r="D4500" s="0" t="s">
        <v>2126</v>
      </c>
      <c r="E4500" s="0" t="n">
        <v>1681</v>
      </c>
      <c r="F4500" s="0" t="s">
        <v>1348</v>
      </c>
      <c r="I4500" s="0" t="n">
        <v>39504</v>
      </c>
      <c r="J4500" s="0" t="n">
        <v>14758</v>
      </c>
      <c r="K4500" s="0" t="n">
        <v>7896102509434</v>
      </c>
      <c r="L4500" s="0" t="s">
        <v>3967</v>
      </c>
      <c r="N4500" s="0" t="n">
        <v>48</v>
      </c>
      <c r="O4500" s="60" t="n">
        <v>110.4</v>
      </c>
    </row>
    <row r="4501" customFormat="false" ht="15" hidden="false" customHeight="false" outlineLevel="0" collapsed="false">
      <c r="A4501" s="0" t="n">
        <v>3</v>
      </c>
      <c r="B4501" s="59" t="n">
        <v>46253</v>
      </c>
      <c r="C4501" s="0" t="n">
        <v>11</v>
      </c>
      <c r="D4501" s="0" t="s">
        <v>2126</v>
      </c>
      <c r="E4501" s="0" t="n">
        <v>1681</v>
      </c>
      <c r="F4501" s="0" t="s">
        <v>1348</v>
      </c>
      <c r="I4501" s="0" t="n">
        <v>39504</v>
      </c>
      <c r="J4501" s="0" t="n">
        <v>27241</v>
      </c>
      <c r="K4501" s="0" t="n">
        <v>7898910758639</v>
      </c>
      <c r="L4501" s="0" t="s">
        <v>2673</v>
      </c>
      <c r="N4501" s="0" t="n">
        <v>30</v>
      </c>
      <c r="O4501" s="60" t="n">
        <v>284.7</v>
      </c>
    </row>
    <row r="4502" customFormat="false" ht="15" hidden="false" customHeight="false" outlineLevel="0" collapsed="false">
      <c r="A4502" s="0" t="n">
        <v>3</v>
      </c>
      <c r="B4502" s="59" t="n">
        <v>46253</v>
      </c>
      <c r="C4502" s="0" t="n">
        <v>11</v>
      </c>
      <c r="D4502" s="0" t="s">
        <v>2126</v>
      </c>
      <c r="E4502" s="0" t="n">
        <v>1681</v>
      </c>
      <c r="F4502" s="0" t="s">
        <v>1348</v>
      </c>
      <c r="I4502" s="0" t="n">
        <v>39504</v>
      </c>
      <c r="J4502" s="0" t="n">
        <v>27242</v>
      </c>
      <c r="K4502" s="0" t="n">
        <v>7898910758622</v>
      </c>
      <c r="L4502" s="0" t="s">
        <v>3968</v>
      </c>
      <c r="N4502" s="0" t="n">
        <v>18</v>
      </c>
      <c r="O4502" s="60" t="n">
        <v>170.82</v>
      </c>
    </row>
    <row r="4503" customFormat="false" ht="15" hidden="false" customHeight="false" outlineLevel="0" collapsed="false">
      <c r="A4503" s="0" t="n">
        <v>3</v>
      </c>
      <c r="B4503" s="59" t="n">
        <v>46253</v>
      </c>
      <c r="C4503" s="0" t="n">
        <v>11</v>
      </c>
      <c r="D4503" s="0" t="s">
        <v>2126</v>
      </c>
      <c r="E4503" s="0" t="n">
        <v>1681</v>
      </c>
      <c r="F4503" s="0" t="s">
        <v>1348</v>
      </c>
      <c r="I4503" s="0" t="n">
        <v>39504</v>
      </c>
      <c r="J4503" s="0" t="n">
        <v>27643</v>
      </c>
      <c r="K4503" s="0" t="n">
        <v>7894900031713</v>
      </c>
      <c r="L4503" s="0" t="s">
        <v>2772</v>
      </c>
      <c r="N4503" s="0" t="n">
        <v>30</v>
      </c>
      <c r="O4503" s="60" t="n">
        <v>153.6</v>
      </c>
    </row>
    <row r="4504" customFormat="false" ht="15" hidden="false" customHeight="false" outlineLevel="0" collapsed="false">
      <c r="A4504" s="0" t="n">
        <v>3</v>
      </c>
      <c r="B4504" s="59" t="n">
        <v>46253</v>
      </c>
      <c r="C4504" s="0" t="n">
        <v>11</v>
      </c>
      <c r="D4504" s="0" t="s">
        <v>2126</v>
      </c>
      <c r="E4504" s="0" t="n">
        <v>1681</v>
      </c>
      <c r="F4504" s="0" t="s">
        <v>1348</v>
      </c>
      <c r="I4504" s="0" t="n">
        <v>39504</v>
      </c>
      <c r="J4504" s="0" t="n">
        <v>28739</v>
      </c>
      <c r="K4504" s="0" t="n">
        <v>7894900027044</v>
      </c>
      <c r="L4504" s="0" t="s">
        <v>2593</v>
      </c>
      <c r="N4504" s="0" t="n">
        <v>60</v>
      </c>
      <c r="O4504" s="60" t="n">
        <v>348</v>
      </c>
    </row>
    <row r="4505" customFormat="false" ht="15" hidden="false" customHeight="false" outlineLevel="0" collapsed="false">
      <c r="A4505" s="0" t="n">
        <v>3</v>
      </c>
      <c r="B4505" s="59" t="n">
        <v>46253</v>
      </c>
      <c r="C4505" s="0" t="n">
        <v>11</v>
      </c>
      <c r="D4505" s="0" t="s">
        <v>2126</v>
      </c>
      <c r="E4505" s="0" t="n">
        <v>1681</v>
      </c>
      <c r="F4505" s="0" t="s">
        <v>1348</v>
      </c>
      <c r="I4505" s="0" t="n">
        <v>39504</v>
      </c>
      <c r="J4505" s="0" t="n">
        <v>37279</v>
      </c>
      <c r="K4505" s="0" t="n">
        <v>7894900027013</v>
      </c>
      <c r="L4505" s="0" t="s">
        <v>2581</v>
      </c>
      <c r="N4505" s="0" t="n">
        <v>60</v>
      </c>
      <c r="O4505" s="60" t="n">
        <v>580.2</v>
      </c>
    </row>
    <row r="4506" customFormat="false" ht="15" hidden="false" customHeight="false" outlineLevel="0" collapsed="false">
      <c r="A4506" s="0" t="n">
        <v>3</v>
      </c>
      <c r="B4506" s="59" t="n">
        <v>46253</v>
      </c>
      <c r="C4506" s="0" t="n">
        <v>11</v>
      </c>
      <c r="D4506" s="0" t="s">
        <v>2126</v>
      </c>
      <c r="E4506" s="0" t="n">
        <v>1681</v>
      </c>
      <c r="F4506" s="0" t="s">
        <v>1348</v>
      </c>
      <c r="I4506" s="0" t="n">
        <v>39504</v>
      </c>
      <c r="J4506" s="0" t="n">
        <v>37659</v>
      </c>
      <c r="K4506" s="0" t="n">
        <v>7898055454731</v>
      </c>
      <c r="L4506" s="0" t="s">
        <v>3969</v>
      </c>
      <c r="N4506" s="0" t="n">
        <v>18</v>
      </c>
      <c r="O4506" s="60" t="n">
        <v>63</v>
      </c>
    </row>
    <row r="4507" customFormat="false" ht="15" hidden="false" customHeight="false" outlineLevel="0" collapsed="false">
      <c r="A4507" s="0" t="n">
        <v>3</v>
      </c>
      <c r="B4507" s="59" t="n">
        <v>46253</v>
      </c>
      <c r="C4507" s="0" t="n">
        <v>11</v>
      </c>
      <c r="D4507" s="0" t="s">
        <v>2126</v>
      </c>
      <c r="E4507" s="0" t="n">
        <v>1681</v>
      </c>
      <c r="F4507" s="0" t="s">
        <v>1348</v>
      </c>
      <c r="I4507" s="0" t="n">
        <v>39504</v>
      </c>
      <c r="J4507" s="0" t="n">
        <v>38060</v>
      </c>
      <c r="K4507" s="0" t="n">
        <v>7894900701609</v>
      </c>
      <c r="L4507" s="0" t="s">
        <v>2599</v>
      </c>
      <c r="N4507" s="0" t="n">
        <v>48</v>
      </c>
      <c r="O4507" s="60" t="n">
        <v>202.08</v>
      </c>
    </row>
    <row r="4508" customFormat="false" ht="15" hidden="false" customHeight="false" outlineLevel="0" collapsed="false">
      <c r="A4508" s="0" t="n">
        <v>3</v>
      </c>
      <c r="B4508" s="59" t="n">
        <v>46253</v>
      </c>
      <c r="C4508" s="0" t="n">
        <v>11</v>
      </c>
      <c r="D4508" s="0" t="s">
        <v>2126</v>
      </c>
      <c r="E4508" s="0" t="n">
        <v>1681</v>
      </c>
      <c r="F4508" s="0" t="s">
        <v>1348</v>
      </c>
      <c r="I4508" s="0" t="n">
        <v>39504</v>
      </c>
      <c r="J4508" s="0" t="n">
        <v>41322</v>
      </c>
      <c r="K4508" s="0" t="n">
        <v>7897105200076</v>
      </c>
      <c r="L4508" s="0" t="s">
        <v>2883</v>
      </c>
      <c r="N4508" s="0" t="n">
        <v>12</v>
      </c>
      <c r="O4508" s="60" t="n">
        <v>46.32</v>
      </c>
    </row>
    <row r="4509" customFormat="false" ht="15" hidden="false" customHeight="false" outlineLevel="0" collapsed="false">
      <c r="A4509" s="0" t="n">
        <v>3</v>
      </c>
      <c r="B4509" s="59" t="n">
        <v>46253</v>
      </c>
      <c r="C4509" s="0" t="n">
        <v>11</v>
      </c>
      <c r="D4509" s="0" t="s">
        <v>2126</v>
      </c>
      <c r="E4509" s="0" t="n">
        <v>1681</v>
      </c>
      <c r="F4509" s="0" t="s">
        <v>1348</v>
      </c>
      <c r="I4509" s="0" t="n">
        <v>39504</v>
      </c>
      <c r="J4509" s="0" t="n">
        <v>43287</v>
      </c>
      <c r="K4509" s="0" t="n">
        <v>7898055454809</v>
      </c>
      <c r="L4509" s="0" t="s">
        <v>3970</v>
      </c>
      <c r="N4509" s="0" t="n">
        <v>18</v>
      </c>
      <c r="O4509" s="60" t="n">
        <v>89.82</v>
      </c>
    </row>
    <row r="4510" customFormat="false" ht="15" hidden="false" customHeight="false" outlineLevel="0" collapsed="false">
      <c r="A4510" s="0" t="n">
        <v>3</v>
      </c>
      <c r="B4510" s="59" t="n">
        <v>46253</v>
      </c>
      <c r="C4510" s="0" t="n">
        <v>11</v>
      </c>
      <c r="D4510" s="0" t="s">
        <v>2126</v>
      </c>
      <c r="E4510" s="0" t="n">
        <v>1681</v>
      </c>
      <c r="F4510" s="0" t="s">
        <v>1348</v>
      </c>
      <c r="I4510" s="0" t="n">
        <v>39504</v>
      </c>
      <c r="J4510" s="0" t="n">
        <v>43291</v>
      </c>
      <c r="K4510" s="0" t="n">
        <v>7898055454816</v>
      </c>
      <c r="L4510" s="0" t="s">
        <v>3971</v>
      </c>
      <c r="N4510" s="0" t="n">
        <v>18</v>
      </c>
      <c r="O4510" s="60" t="n">
        <v>89.82</v>
      </c>
    </row>
    <row r="4511" customFormat="false" ht="15" hidden="false" customHeight="false" outlineLevel="0" collapsed="false">
      <c r="A4511" s="0" t="n">
        <v>3</v>
      </c>
      <c r="B4511" s="59" t="n">
        <v>46253</v>
      </c>
      <c r="C4511" s="0" t="n">
        <v>11</v>
      </c>
      <c r="D4511" s="0" t="s">
        <v>2126</v>
      </c>
      <c r="E4511" s="0" t="n">
        <v>1681</v>
      </c>
      <c r="F4511" s="0" t="s">
        <v>1348</v>
      </c>
      <c r="I4511" s="0" t="n">
        <v>39504</v>
      </c>
      <c r="J4511" s="0" t="n">
        <v>43932</v>
      </c>
      <c r="K4511" s="0" t="n">
        <v>7898055454663</v>
      </c>
      <c r="L4511" s="0" t="s">
        <v>3972</v>
      </c>
      <c r="N4511" s="0" t="n">
        <v>90</v>
      </c>
      <c r="O4511" s="60" t="n">
        <v>202.5</v>
      </c>
    </row>
    <row r="4512" customFormat="false" ht="15" hidden="false" customHeight="false" outlineLevel="0" collapsed="false">
      <c r="A4512" s="0" t="n">
        <v>3</v>
      </c>
      <c r="B4512" s="59" t="n">
        <v>46253</v>
      </c>
      <c r="C4512" s="0" t="n">
        <v>11</v>
      </c>
      <c r="D4512" s="0" t="s">
        <v>2126</v>
      </c>
      <c r="E4512" s="0" t="n">
        <v>1681</v>
      </c>
      <c r="F4512" s="0" t="s">
        <v>1348</v>
      </c>
      <c r="I4512" s="0" t="n">
        <v>39504</v>
      </c>
      <c r="J4512" s="0" t="n">
        <v>57639</v>
      </c>
      <c r="K4512" s="0" t="n">
        <v>7896004006277</v>
      </c>
      <c r="L4512" s="0" t="s">
        <v>2864</v>
      </c>
      <c r="N4512" s="0" t="n">
        <v>36</v>
      </c>
      <c r="O4512" s="60" t="n">
        <v>305.64</v>
      </c>
    </row>
    <row r="4513" customFormat="false" ht="15" hidden="false" customHeight="false" outlineLevel="0" collapsed="false">
      <c r="A4513" s="0" t="n">
        <v>3</v>
      </c>
      <c r="B4513" s="59" t="n">
        <v>46253</v>
      </c>
      <c r="C4513" s="0" t="n">
        <v>11</v>
      </c>
      <c r="D4513" s="0" t="s">
        <v>2126</v>
      </c>
      <c r="E4513" s="0" t="n">
        <v>1645</v>
      </c>
      <c r="F4513" s="0" t="s">
        <v>1737</v>
      </c>
      <c r="I4513" s="0" t="n">
        <v>142650</v>
      </c>
      <c r="J4513" s="0" t="n">
        <v>101724</v>
      </c>
      <c r="K4513" s="0" t="n">
        <v>7897272900281</v>
      </c>
      <c r="L4513" s="0" t="s">
        <v>3973</v>
      </c>
      <c r="N4513" s="0" t="n">
        <v>20</v>
      </c>
      <c r="O4513" s="60" t="n">
        <v>109.5</v>
      </c>
    </row>
    <row r="4514" customFormat="false" ht="15" hidden="false" customHeight="false" outlineLevel="0" collapsed="false">
      <c r="A4514" s="0" t="n">
        <v>3</v>
      </c>
      <c r="B4514" s="59" t="n">
        <v>46253</v>
      </c>
      <c r="C4514" s="0" t="n">
        <v>11</v>
      </c>
      <c r="D4514" s="0" t="s">
        <v>2126</v>
      </c>
      <c r="E4514" s="0" t="n">
        <v>1645</v>
      </c>
      <c r="F4514" s="0" t="s">
        <v>1737</v>
      </c>
      <c r="I4514" s="0" t="n">
        <v>142650</v>
      </c>
      <c r="J4514" s="0" t="n">
        <v>101971</v>
      </c>
      <c r="K4514" s="0" t="n">
        <v>7897272900182</v>
      </c>
      <c r="L4514" s="0" t="s">
        <v>3974</v>
      </c>
      <c r="N4514" s="0" t="n">
        <v>20</v>
      </c>
      <c r="O4514" s="60" t="n">
        <v>96</v>
      </c>
    </row>
    <row r="4515" customFormat="false" ht="15" hidden="false" customHeight="false" outlineLevel="0" collapsed="false">
      <c r="A4515" s="0" t="n">
        <v>3</v>
      </c>
      <c r="B4515" s="59" t="n">
        <v>46253</v>
      </c>
      <c r="C4515" s="0" t="n">
        <v>11</v>
      </c>
      <c r="D4515" s="0" t="s">
        <v>2126</v>
      </c>
      <c r="E4515" s="0" t="n">
        <v>1645</v>
      </c>
      <c r="F4515" s="0" t="s">
        <v>1737</v>
      </c>
      <c r="I4515" s="0" t="n">
        <v>142650</v>
      </c>
      <c r="J4515" s="0" t="n">
        <v>101973</v>
      </c>
      <c r="K4515" s="0" t="n">
        <v>7897272900175</v>
      </c>
      <c r="L4515" s="0" t="s">
        <v>3975</v>
      </c>
      <c r="N4515" s="0" t="n">
        <v>20</v>
      </c>
      <c r="O4515" s="60" t="n">
        <v>96</v>
      </c>
    </row>
    <row r="4516" customFormat="false" ht="15" hidden="false" customHeight="false" outlineLevel="0" collapsed="false">
      <c r="A4516" s="0" t="n">
        <v>3</v>
      </c>
      <c r="B4516" s="59" t="n">
        <v>46253</v>
      </c>
      <c r="C4516" s="0" t="n">
        <v>11</v>
      </c>
      <c r="D4516" s="0" t="s">
        <v>2126</v>
      </c>
      <c r="E4516" s="0" t="n">
        <v>1645</v>
      </c>
      <c r="F4516" s="0" t="s">
        <v>1737</v>
      </c>
      <c r="I4516" s="0" t="n">
        <v>142650</v>
      </c>
      <c r="J4516" s="0" t="n">
        <v>101974</v>
      </c>
      <c r="K4516" s="0" t="n">
        <v>7897272900120</v>
      </c>
      <c r="L4516" s="0" t="s">
        <v>3122</v>
      </c>
      <c r="N4516" s="0" t="n">
        <v>40</v>
      </c>
      <c r="O4516" s="60" t="n">
        <v>98</v>
      </c>
    </row>
    <row r="4517" customFormat="false" ht="15" hidden="false" customHeight="false" outlineLevel="0" collapsed="false">
      <c r="A4517" s="0" t="n">
        <v>3</v>
      </c>
      <c r="B4517" s="59" t="n">
        <v>46253</v>
      </c>
      <c r="C4517" s="0" t="n">
        <v>11</v>
      </c>
      <c r="D4517" s="0" t="s">
        <v>2126</v>
      </c>
      <c r="E4517" s="0" t="n">
        <v>1645</v>
      </c>
      <c r="F4517" s="0" t="s">
        <v>1737</v>
      </c>
      <c r="I4517" s="0" t="n">
        <v>142650</v>
      </c>
      <c r="J4517" s="0" t="n">
        <v>101975</v>
      </c>
      <c r="K4517" s="0" t="n">
        <v>7897272900113</v>
      </c>
      <c r="L4517" s="0" t="s">
        <v>3123</v>
      </c>
      <c r="N4517" s="0" t="n">
        <v>20</v>
      </c>
      <c r="O4517" s="60" t="n">
        <v>96</v>
      </c>
    </row>
    <row r="4518" customFormat="false" ht="15" hidden="false" customHeight="false" outlineLevel="0" collapsed="false">
      <c r="A4518" s="0" t="n">
        <v>3</v>
      </c>
      <c r="B4518" s="59" t="n">
        <v>46253</v>
      </c>
      <c r="C4518" s="0" t="n">
        <v>11</v>
      </c>
      <c r="D4518" s="0" t="s">
        <v>2126</v>
      </c>
      <c r="E4518" s="0" t="n">
        <v>1645</v>
      </c>
      <c r="F4518" s="0" t="s">
        <v>1737</v>
      </c>
      <c r="I4518" s="0" t="n">
        <v>142650</v>
      </c>
      <c r="J4518" s="0" t="n">
        <v>101977</v>
      </c>
      <c r="K4518" s="0" t="n">
        <v>7897272900151</v>
      </c>
      <c r="L4518" s="0" t="s">
        <v>3124</v>
      </c>
      <c r="N4518" s="0" t="n">
        <v>40</v>
      </c>
      <c r="O4518" s="60" t="n">
        <v>98</v>
      </c>
    </row>
    <row r="4519" customFormat="false" ht="15" hidden="false" customHeight="false" outlineLevel="0" collapsed="false">
      <c r="A4519" s="0" t="n">
        <v>3</v>
      </c>
      <c r="B4519" s="59" t="n">
        <v>46253</v>
      </c>
      <c r="C4519" s="0" t="n">
        <v>11</v>
      </c>
      <c r="D4519" s="0" t="s">
        <v>2126</v>
      </c>
      <c r="E4519" s="0" t="n">
        <v>1645</v>
      </c>
      <c r="F4519" s="0" t="s">
        <v>1737</v>
      </c>
      <c r="I4519" s="0" t="n">
        <v>142650</v>
      </c>
      <c r="J4519" s="0" t="n">
        <v>101979</v>
      </c>
      <c r="K4519" s="0" t="n">
        <v>7897272900106</v>
      </c>
      <c r="L4519" s="0" t="s">
        <v>3125</v>
      </c>
      <c r="N4519" s="0" t="n">
        <v>40</v>
      </c>
      <c r="O4519" s="60" t="n">
        <v>192</v>
      </c>
    </row>
    <row r="4520" customFormat="false" ht="15" hidden="false" customHeight="false" outlineLevel="0" collapsed="false">
      <c r="A4520" s="0" t="n">
        <v>3</v>
      </c>
      <c r="B4520" s="59" t="n">
        <v>46253</v>
      </c>
      <c r="C4520" s="0" t="n">
        <v>11</v>
      </c>
      <c r="D4520" s="0" t="s">
        <v>2126</v>
      </c>
      <c r="E4520" s="0" t="n">
        <v>1645</v>
      </c>
      <c r="F4520" s="0" t="s">
        <v>1737</v>
      </c>
      <c r="I4520" s="0" t="n">
        <v>142650</v>
      </c>
      <c r="J4520" s="0" t="n">
        <v>103862</v>
      </c>
      <c r="K4520" s="0" t="n">
        <v>7897272900168</v>
      </c>
      <c r="L4520" s="0" t="s">
        <v>3976</v>
      </c>
      <c r="N4520" s="0" t="n">
        <v>20</v>
      </c>
      <c r="O4520" s="60" t="n">
        <v>49</v>
      </c>
    </row>
    <row r="4521" customFormat="false" ht="15" hidden="false" customHeight="false" outlineLevel="0" collapsed="false">
      <c r="A4521" s="0" t="n">
        <v>3</v>
      </c>
      <c r="B4521" s="59" t="n">
        <v>46253</v>
      </c>
      <c r="C4521" s="0" t="n">
        <v>11</v>
      </c>
      <c r="D4521" s="0" t="s">
        <v>2126</v>
      </c>
      <c r="E4521" s="0" t="n">
        <v>1645</v>
      </c>
      <c r="F4521" s="0" t="s">
        <v>1737</v>
      </c>
      <c r="I4521" s="0" t="n">
        <v>142650</v>
      </c>
      <c r="J4521" s="0" t="n">
        <v>27802</v>
      </c>
      <c r="K4521" s="0" t="n">
        <v>7897272900199</v>
      </c>
      <c r="L4521" s="0" t="s">
        <v>3977</v>
      </c>
      <c r="N4521" s="0" t="n">
        <v>40</v>
      </c>
      <c r="O4521" s="60" t="n">
        <v>196</v>
      </c>
    </row>
    <row r="4522" customFormat="false" ht="15" hidden="false" customHeight="false" outlineLevel="0" collapsed="false">
      <c r="A4522" s="0" t="n">
        <v>3</v>
      </c>
      <c r="B4522" s="59" t="n">
        <v>46253</v>
      </c>
      <c r="C4522" s="0" t="n">
        <v>11</v>
      </c>
      <c r="D4522" s="0" t="s">
        <v>2126</v>
      </c>
      <c r="E4522" s="0" t="n">
        <v>1734</v>
      </c>
      <c r="F4522" s="0" t="s">
        <v>126</v>
      </c>
      <c r="I4522" s="0" t="n">
        <v>258044</v>
      </c>
      <c r="J4522" s="0" t="n">
        <v>38212</v>
      </c>
      <c r="K4522" s="0" t="n">
        <v>7898055451624</v>
      </c>
      <c r="L4522" s="0" t="s">
        <v>2146</v>
      </c>
      <c r="N4522" s="0" t="n">
        <v>4</v>
      </c>
      <c r="O4522" s="60" t="n">
        <v>50.35</v>
      </c>
    </row>
    <row r="4523" customFormat="false" ht="15" hidden="false" customHeight="false" outlineLevel="0" collapsed="false">
      <c r="A4523" s="0" t="n">
        <v>3</v>
      </c>
      <c r="B4523" s="59" t="n">
        <v>46253</v>
      </c>
      <c r="C4523" s="0" t="n">
        <v>11</v>
      </c>
      <c r="D4523" s="0" t="s">
        <v>2126</v>
      </c>
      <c r="E4523" s="0" t="n">
        <v>1734</v>
      </c>
      <c r="F4523" s="0" t="s">
        <v>126</v>
      </c>
      <c r="I4523" s="0" t="n">
        <v>258044</v>
      </c>
      <c r="J4523" s="0" t="n">
        <v>38216</v>
      </c>
      <c r="K4523" s="0" t="n">
        <v>7898055454281</v>
      </c>
      <c r="L4523" s="0" t="s">
        <v>2148</v>
      </c>
      <c r="N4523" s="0" t="n">
        <v>4</v>
      </c>
      <c r="O4523" s="60" t="n">
        <v>50.35</v>
      </c>
    </row>
    <row r="4524" customFormat="false" ht="15" hidden="false" customHeight="false" outlineLevel="0" collapsed="false">
      <c r="A4524" s="0" t="n">
        <v>3</v>
      </c>
      <c r="B4524" s="59" t="n">
        <v>46253</v>
      </c>
      <c r="C4524" s="0" t="n">
        <v>11</v>
      </c>
      <c r="D4524" s="0" t="s">
        <v>2126</v>
      </c>
      <c r="E4524" s="0" t="n">
        <v>1734</v>
      </c>
      <c r="F4524" s="0" t="s">
        <v>126</v>
      </c>
      <c r="I4524" s="0" t="n">
        <v>258044</v>
      </c>
      <c r="J4524" s="0" t="n">
        <v>38218</v>
      </c>
      <c r="K4524" s="0" t="n">
        <v>7898055454298</v>
      </c>
      <c r="L4524" s="0" t="s">
        <v>2535</v>
      </c>
      <c r="N4524" s="0" t="n">
        <v>4</v>
      </c>
      <c r="O4524" s="60" t="n">
        <v>50.35</v>
      </c>
    </row>
    <row r="4525" customFormat="false" ht="15" hidden="false" customHeight="false" outlineLevel="0" collapsed="false">
      <c r="A4525" s="0" t="n">
        <v>3</v>
      </c>
      <c r="B4525" s="59" t="n">
        <v>46253</v>
      </c>
      <c r="C4525" s="0" t="n">
        <v>11</v>
      </c>
      <c r="D4525" s="0" t="s">
        <v>2126</v>
      </c>
      <c r="E4525" s="0" t="n">
        <v>1734</v>
      </c>
      <c r="F4525" s="0" t="s">
        <v>126</v>
      </c>
      <c r="I4525" s="0" t="n">
        <v>258044</v>
      </c>
      <c r="J4525" s="0" t="n">
        <v>38221</v>
      </c>
      <c r="K4525" s="0" t="n">
        <v>7898055452102</v>
      </c>
      <c r="L4525" s="0" t="s">
        <v>2150</v>
      </c>
      <c r="N4525" s="0" t="n">
        <v>4</v>
      </c>
      <c r="O4525" s="60" t="n">
        <v>50.35</v>
      </c>
    </row>
    <row r="4526" customFormat="false" ht="15" hidden="false" customHeight="false" outlineLevel="0" collapsed="false">
      <c r="A4526" s="0" t="n">
        <v>3</v>
      </c>
      <c r="B4526" s="59" t="n">
        <v>46253</v>
      </c>
      <c r="C4526" s="0" t="n">
        <v>11</v>
      </c>
      <c r="D4526" s="0" t="s">
        <v>2126</v>
      </c>
      <c r="E4526" s="0" t="n">
        <v>1734</v>
      </c>
      <c r="F4526" s="0" t="s">
        <v>126</v>
      </c>
      <c r="I4526" s="0" t="n">
        <v>258044</v>
      </c>
      <c r="J4526" s="0" t="n">
        <v>38789</v>
      </c>
      <c r="K4526" s="0" t="n">
        <v>7898055451754</v>
      </c>
      <c r="L4526" s="0" t="s">
        <v>2536</v>
      </c>
      <c r="N4526" s="0" t="n">
        <v>4</v>
      </c>
      <c r="O4526" s="60" t="n">
        <v>50.35</v>
      </c>
    </row>
    <row r="4527" customFormat="false" ht="15" hidden="false" customHeight="false" outlineLevel="0" collapsed="false">
      <c r="A4527" s="0" t="n">
        <v>3</v>
      </c>
      <c r="B4527" s="59" t="n">
        <v>46253</v>
      </c>
      <c r="C4527" s="0" t="n">
        <v>11</v>
      </c>
      <c r="D4527" s="0" t="s">
        <v>2126</v>
      </c>
      <c r="E4527" s="0" t="n">
        <v>1734</v>
      </c>
      <c r="F4527" s="0" t="s">
        <v>126</v>
      </c>
      <c r="I4527" s="0" t="n">
        <v>258044</v>
      </c>
      <c r="J4527" s="0" t="n">
        <v>38790</v>
      </c>
      <c r="K4527" s="0" t="n">
        <v>7898055453659</v>
      </c>
      <c r="L4527" s="0" t="s">
        <v>3485</v>
      </c>
      <c r="N4527" s="0" t="n">
        <v>4</v>
      </c>
      <c r="O4527" s="60" t="n">
        <v>50.35</v>
      </c>
    </row>
    <row r="4528" customFormat="false" ht="15" hidden="false" customHeight="false" outlineLevel="0" collapsed="false">
      <c r="A4528" s="0" t="n">
        <v>3</v>
      </c>
      <c r="B4528" s="59" t="n">
        <v>46253</v>
      </c>
      <c r="C4528" s="0" t="n">
        <v>11</v>
      </c>
      <c r="D4528" s="0" t="s">
        <v>2126</v>
      </c>
      <c r="E4528" s="0" t="n">
        <v>1734</v>
      </c>
      <c r="F4528" s="0" t="s">
        <v>126</v>
      </c>
      <c r="I4528" s="0" t="n">
        <v>258044</v>
      </c>
      <c r="J4528" s="0" t="n">
        <v>39440</v>
      </c>
      <c r="K4528" s="0" t="n">
        <v>7898055451662</v>
      </c>
      <c r="L4528" s="0" t="s">
        <v>2152</v>
      </c>
      <c r="N4528" s="0" t="n">
        <v>4</v>
      </c>
      <c r="O4528" s="60" t="n">
        <v>50.35</v>
      </c>
    </row>
    <row r="4529" customFormat="false" ht="15" hidden="false" customHeight="false" outlineLevel="0" collapsed="false">
      <c r="A4529" s="0" t="n">
        <v>3</v>
      </c>
      <c r="B4529" s="59" t="n">
        <v>46253</v>
      </c>
      <c r="C4529" s="0" t="n">
        <v>11</v>
      </c>
      <c r="D4529" s="0" t="s">
        <v>2126</v>
      </c>
      <c r="E4529" s="0" t="n">
        <v>1734</v>
      </c>
      <c r="F4529" s="0" t="s">
        <v>126</v>
      </c>
      <c r="I4529" s="0" t="n">
        <v>258044</v>
      </c>
      <c r="J4529" s="0" t="n">
        <v>57285</v>
      </c>
      <c r="K4529" s="0" t="n">
        <v>7898055455196</v>
      </c>
      <c r="L4529" s="0" t="s">
        <v>3978</v>
      </c>
      <c r="N4529" s="0" t="n">
        <v>2</v>
      </c>
      <c r="O4529" s="60" t="n">
        <v>39.86</v>
      </c>
    </row>
    <row r="4530" customFormat="false" ht="15" hidden="false" customHeight="false" outlineLevel="0" collapsed="false">
      <c r="A4530" s="0" t="n">
        <v>3</v>
      </c>
      <c r="B4530" s="59" t="n">
        <v>46253</v>
      </c>
      <c r="C4530" s="0" t="n">
        <v>11</v>
      </c>
      <c r="D4530" s="0" t="s">
        <v>2126</v>
      </c>
      <c r="E4530" s="0" t="n">
        <v>1734</v>
      </c>
      <c r="F4530" s="0" t="s">
        <v>126</v>
      </c>
      <c r="I4530" s="0" t="n">
        <v>258044</v>
      </c>
      <c r="J4530" s="0" t="n">
        <v>59560</v>
      </c>
      <c r="K4530" s="0" t="n">
        <v>7898055455332</v>
      </c>
      <c r="L4530" s="0" t="s">
        <v>3676</v>
      </c>
      <c r="N4530" s="0" t="n">
        <v>2</v>
      </c>
      <c r="O4530" s="60" t="n">
        <v>39.86</v>
      </c>
    </row>
    <row r="4531" customFormat="false" ht="15" hidden="false" customHeight="false" outlineLevel="0" collapsed="false">
      <c r="A4531" s="0" t="n">
        <v>3</v>
      </c>
      <c r="B4531" s="59" t="n">
        <v>46253</v>
      </c>
      <c r="C4531" s="0" t="n">
        <v>11</v>
      </c>
      <c r="D4531" s="0" t="s">
        <v>2126</v>
      </c>
      <c r="E4531" s="0" t="n">
        <v>1734</v>
      </c>
      <c r="F4531" s="0" t="s">
        <v>126</v>
      </c>
      <c r="I4531" s="0" t="n">
        <v>258044</v>
      </c>
      <c r="J4531" s="0" t="n">
        <v>78071</v>
      </c>
      <c r="K4531" s="0" t="n">
        <v>7898055455622</v>
      </c>
      <c r="L4531" s="0" t="s">
        <v>2157</v>
      </c>
      <c r="N4531" s="0" t="n">
        <v>2</v>
      </c>
      <c r="O4531" s="60" t="n">
        <v>39.86</v>
      </c>
    </row>
    <row r="4532" customFormat="false" ht="15" hidden="false" customHeight="false" outlineLevel="0" collapsed="false">
      <c r="A4532" s="0" t="n">
        <v>3</v>
      </c>
      <c r="B4532" s="59" t="n">
        <v>46253</v>
      </c>
      <c r="C4532" s="0" t="n">
        <v>11</v>
      </c>
      <c r="D4532" s="0" t="s">
        <v>2126</v>
      </c>
      <c r="E4532" s="0" t="n">
        <v>1734</v>
      </c>
      <c r="F4532" s="0" t="s">
        <v>126</v>
      </c>
      <c r="I4532" s="0" t="n">
        <v>258045</v>
      </c>
      <c r="J4532" s="0" t="n">
        <v>50149</v>
      </c>
      <c r="K4532" s="0" t="n">
        <v>7898055450870</v>
      </c>
      <c r="L4532" s="0" t="s">
        <v>3979</v>
      </c>
      <c r="N4532" s="0" t="n">
        <v>20</v>
      </c>
      <c r="O4532" s="60" t="n">
        <v>159.45</v>
      </c>
    </row>
    <row r="4533" customFormat="false" ht="15" hidden="false" customHeight="false" outlineLevel="0" collapsed="false">
      <c r="A4533" s="0" t="n">
        <v>3</v>
      </c>
      <c r="B4533" s="59" t="n">
        <v>46253</v>
      </c>
      <c r="C4533" s="0" t="n">
        <v>11</v>
      </c>
      <c r="D4533" s="0" t="s">
        <v>2126</v>
      </c>
      <c r="E4533" s="0" t="n">
        <v>1734</v>
      </c>
      <c r="F4533" s="0" t="s">
        <v>126</v>
      </c>
      <c r="I4533" s="0" t="n">
        <v>258045</v>
      </c>
      <c r="J4533" s="0" t="n">
        <v>38215</v>
      </c>
      <c r="K4533" s="0" t="n">
        <v>7898055450474</v>
      </c>
      <c r="L4533" s="0" t="s">
        <v>2478</v>
      </c>
      <c r="N4533" s="0" t="n">
        <v>20</v>
      </c>
      <c r="O4533" s="60" t="n">
        <v>159.45</v>
      </c>
    </row>
    <row r="4534" customFormat="false" ht="15" hidden="false" customHeight="false" outlineLevel="0" collapsed="false">
      <c r="A4534" s="0" t="n">
        <v>3</v>
      </c>
      <c r="B4534" s="59" t="n">
        <v>46253</v>
      </c>
      <c r="C4534" s="0" t="n">
        <v>11</v>
      </c>
      <c r="D4534" s="0" t="s">
        <v>2126</v>
      </c>
      <c r="E4534" s="0" t="n">
        <v>1734</v>
      </c>
      <c r="F4534" s="0" t="s">
        <v>126</v>
      </c>
      <c r="I4534" s="0" t="n">
        <v>258045</v>
      </c>
      <c r="J4534" s="0" t="n">
        <v>38783</v>
      </c>
      <c r="K4534" s="0" t="n">
        <v>7898055450481</v>
      </c>
      <c r="L4534" s="0" t="s">
        <v>3678</v>
      </c>
      <c r="N4534" s="0" t="n">
        <v>20</v>
      </c>
      <c r="O4534" s="60" t="n">
        <v>56.65</v>
      </c>
    </row>
    <row r="4535" customFormat="false" ht="15" hidden="false" customHeight="false" outlineLevel="0" collapsed="false">
      <c r="A4535" s="0" t="n">
        <v>3</v>
      </c>
      <c r="B4535" s="59" t="n">
        <v>46253</v>
      </c>
      <c r="C4535" s="0" t="n">
        <v>11</v>
      </c>
      <c r="D4535" s="0" t="s">
        <v>2126</v>
      </c>
      <c r="E4535" s="0" t="n">
        <v>1734</v>
      </c>
      <c r="F4535" s="0" t="s">
        <v>126</v>
      </c>
      <c r="I4535" s="0" t="n">
        <v>258045</v>
      </c>
      <c r="J4535" s="0" t="n">
        <v>38784</v>
      </c>
      <c r="K4535" s="0" t="n">
        <v>7898055450320</v>
      </c>
      <c r="L4535" s="0" t="s">
        <v>2981</v>
      </c>
      <c r="N4535" s="0" t="n">
        <v>20</v>
      </c>
      <c r="O4535" s="60" t="n">
        <v>56.65</v>
      </c>
    </row>
    <row r="4536" customFormat="false" ht="15" hidden="false" customHeight="false" outlineLevel="0" collapsed="false">
      <c r="A4536" s="0" t="n">
        <v>3</v>
      </c>
      <c r="B4536" s="59" t="n">
        <v>46253</v>
      </c>
      <c r="C4536" s="0" t="n">
        <v>11</v>
      </c>
      <c r="D4536" s="0" t="s">
        <v>2126</v>
      </c>
      <c r="E4536" s="0" t="n">
        <v>1734</v>
      </c>
      <c r="F4536" s="0" t="s">
        <v>126</v>
      </c>
      <c r="I4536" s="0" t="n">
        <v>258045</v>
      </c>
      <c r="J4536" s="0" t="n">
        <v>38791</v>
      </c>
      <c r="K4536" s="0" t="n">
        <v>7898055450931</v>
      </c>
      <c r="L4536" s="0" t="s">
        <v>2138</v>
      </c>
      <c r="N4536" s="0" t="n">
        <v>30</v>
      </c>
      <c r="O4536" s="60" t="n">
        <v>78.68</v>
      </c>
    </row>
    <row r="4537" customFormat="false" ht="15" hidden="false" customHeight="false" outlineLevel="0" collapsed="false">
      <c r="A4537" s="0" t="n">
        <v>3</v>
      </c>
      <c r="B4537" s="59" t="n">
        <v>46253</v>
      </c>
      <c r="C4537" s="0" t="n">
        <v>11</v>
      </c>
      <c r="D4537" s="0" t="s">
        <v>2126</v>
      </c>
      <c r="E4537" s="0" t="n">
        <v>1734</v>
      </c>
      <c r="F4537" s="0" t="s">
        <v>126</v>
      </c>
      <c r="I4537" s="0" t="n">
        <v>258045</v>
      </c>
      <c r="J4537" s="0" t="n">
        <v>38792</v>
      </c>
      <c r="K4537" s="0" t="n">
        <v>7898055450894</v>
      </c>
      <c r="L4537" s="0" t="s">
        <v>2139</v>
      </c>
      <c r="N4537" s="0" t="n">
        <v>30</v>
      </c>
      <c r="O4537" s="60" t="n">
        <v>78.68</v>
      </c>
    </row>
    <row r="4538" customFormat="false" ht="15" hidden="false" customHeight="false" outlineLevel="0" collapsed="false">
      <c r="A4538" s="0" t="n">
        <v>3</v>
      </c>
      <c r="B4538" s="59" t="n">
        <v>46253</v>
      </c>
      <c r="C4538" s="0" t="n">
        <v>11</v>
      </c>
      <c r="D4538" s="0" t="s">
        <v>2126</v>
      </c>
      <c r="E4538" s="0" t="n">
        <v>1734</v>
      </c>
      <c r="F4538" s="0" t="s">
        <v>126</v>
      </c>
      <c r="I4538" s="0" t="n">
        <v>258045</v>
      </c>
      <c r="J4538" s="0" t="n">
        <v>40713</v>
      </c>
      <c r="K4538" s="0" t="n">
        <v>7898055452294</v>
      </c>
      <c r="L4538" s="0" t="s">
        <v>3980</v>
      </c>
      <c r="N4538" s="0" t="n">
        <v>20</v>
      </c>
      <c r="O4538" s="60" t="n">
        <v>111.19</v>
      </c>
    </row>
    <row r="4539" customFormat="false" ht="15" hidden="false" customHeight="false" outlineLevel="0" collapsed="false">
      <c r="A4539" s="0" t="n">
        <v>3</v>
      </c>
      <c r="B4539" s="59" t="n">
        <v>46253</v>
      </c>
      <c r="C4539" s="0" t="n">
        <v>11</v>
      </c>
      <c r="D4539" s="0" t="s">
        <v>2126</v>
      </c>
      <c r="E4539" s="0" t="n">
        <v>1734</v>
      </c>
      <c r="F4539" s="0" t="s">
        <v>126</v>
      </c>
      <c r="I4539" s="0" t="n">
        <v>258045</v>
      </c>
      <c r="J4539" s="0" t="n">
        <v>46813</v>
      </c>
      <c r="K4539" s="0" t="n">
        <v>7898055450351</v>
      </c>
      <c r="L4539" s="0" t="s">
        <v>3981</v>
      </c>
      <c r="N4539" s="0" t="n">
        <v>20</v>
      </c>
      <c r="O4539" s="60" t="n">
        <v>111.19</v>
      </c>
    </row>
    <row r="4540" customFormat="false" ht="15" hidden="false" customHeight="false" outlineLevel="0" collapsed="false">
      <c r="A4540" s="0" t="n">
        <v>3</v>
      </c>
      <c r="B4540" s="59" t="n">
        <v>46253</v>
      </c>
      <c r="C4540" s="0" t="n">
        <v>11</v>
      </c>
      <c r="D4540" s="0" t="s">
        <v>2126</v>
      </c>
      <c r="E4540" s="0" t="n">
        <v>1734</v>
      </c>
      <c r="F4540" s="0" t="s">
        <v>126</v>
      </c>
      <c r="I4540" s="0" t="n">
        <v>258045</v>
      </c>
      <c r="J4540" s="0" t="n">
        <v>81026</v>
      </c>
      <c r="K4540" s="0" t="n">
        <v>7898055455745</v>
      </c>
      <c r="L4540" s="0" t="s">
        <v>2142</v>
      </c>
      <c r="N4540" s="0" t="n">
        <v>8</v>
      </c>
      <c r="O4540" s="60" t="n">
        <v>54.55</v>
      </c>
    </row>
    <row r="4541" customFormat="false" ht="15" hidden="false" customHeight="false" outlineLevel="0" collapsed="false">
      <c r="A4541" s="0" t="n">
        <v>3</v>
      </c>
      <c r="B4541" s="59" t="n">
        <v>46253</v>
      </c>
      <c r="C4541" s="0" t="n">
        <v>11</v>
      </c>
      <c r="D4541" s="0" t="s">
        <v>2126</v>
      </c>
      <c r="E4541" s="0" t="n">
        <v>1740</v>
      </c>
      <c r="F4541" s="0" t="s">
        <v>171</v>
      </c>
      <c r="I4541" s="0" t="n">
        <v>1260900</v>
      </c>
      <c r="J4541" s="0" t="n">
        <v>108591</v>
      </c>
      <c r="K4541" s="0" t="n">
        <v>8461</v>
      </c>
      <c r="L4541" s="0" t="s">
        <v>2171</v>
      </c>
      <c r="N4541" s="0" t="n">
        <v>60</v>
      </c>
      <c r="O4541" s="60" t="n">
        <v>1258.32</v>
      </c>
    </row>
    <row r="4542" customFormat="false" ht="15" hidden="false" customHeight="false" outlineLevel="0" collapsed="false">
      <c r="A4542" s="0" t="n">
        <v>3</v>
      </c>
      <c r="B4542" s="59" t="n">
        <v>46253</v>
      </c>
      <c r="C4542" s="0" t="n">
        <v>11</v>
      </c>
      <c r="D4542" s="0" t="s">
        <v>2126</v>
      </c>
      <c r="E4542" s="0" t="n">
        <v>1740</v>
      </c>
      <c r="F4542" s="0" t="s">
        <v>171</v>
      </c>
      <c r="I4542" s="0" t="n">
        <v>1260900</v>
      </c>
      <c r="J4542" s="0" t="n">
        <v>57636</v>
      </c>
      <c r="K4542" s="0" t="n">
        <v>7891164026240</v>
      </c>
      <c r="L4542" s="0" t="s">
        <v>3982</v>
      </c>
      <c r="N4542" s="0" t="n">
        <v>30</v>
      </c>
      <c r="O4542" s="60" t="n">
        <v>199.98</v>
      </c>
    </row>
    <row r="4543" customFormat="false" ht="15" hidden="false" customHeight="false" outlineLevel="0" collapsed="false">
      <c r="A4543" s="0" t="n">
        <v>3</v>
      </c>
      <c r="B4543" s="59" t="n">
        <v>46253</v>
      </c>
      <c r="C4543" s="0" t="n">
        <v>11</v>
      </c>
      <c r="D4543" s="0" t="s">
        <v>2126</v>
      </c>
      <c r="E4543" s="0" t="n">
        <v>1740</v>
      </c>
      <c r="F4543" s="0" t="s">
        <v>171</v>
      </c>
      <c r="I4543" s="0" t="n">
        <v>1260900</v>
      </c>
      <c r="J4543" s="0" t="n">
        <v>63508</v>
      </c>
      <c r="K4543" s="0" t="n">
        <v>7891164110697</v>
      </c>
      <c r="L4543" s="0" t="s">
        <v>3118</v>
      </c>
      <c r="N4543" s="0" t="n">
        <v>16</v>
      </c>
      <c r="O4543" s="60" t="n">
        <v>113.25</v>
      </c>
    </row>
    <row r="4544" customFormat="false" ht="15" hidden="false" customHeight="false" outlineLevel="0" collapsed="false">
      <c r="A4544" s="0" t="n">
        <v>3</v>
      </c>
      <c r="B4544" s="59" t="n">
        <v>46253</v>
      </c>
      <c r="C4544" s="0" t="n">
        <v>11</v>
      </c>
      <c r="D4544" s="0" t="s">
        <v>2126</v>
      </c>
      <c r="E4544" s="0" t="n">
        <v>1740</v>
      </c>
      <c r="F4544" s="0" t="s">
        <v>171</v>
      </c>
      <c r="I4544" s="0" t="n">
        <v>1260900</v>
      </c>
      <c r="J4544" s="0" t="n">
        <v>64280</v>
      </c>
      <c r="K4544" s="0" t="n">
        <v>7891164007171</v>
      </c>
      <c r="L4544" s="0" t="s">
        <v>3983</v>
      </c>
      <c r="N4544" s="0" t="n">
        <v>14</v>
      </c>
      <c r="O4544" s="60" t="n">
        <v>115.51</v>
      </c>
    </row>
    <row r="4545" customFormat="false" ht="15" hidden="false" customHeight="false" outlineLevel="0" collapsed="false">
      <c r="A4545" s="0" t="n">
        <v>3</v>
      </c>
      <c r="B4545" s="59" t="n">
        <v>46253</v>
      </c>
      <c r="C4545" s="0" t="n">
        <v>11</v>
      </c>
      <c r="D4545" s="0" t="s">
        <v>2126</v>
      </c>
      <c r="E4545" s="0" t="n">
        <v>1740</v>
      </c>
      <c r="F4545" s="0" t="s">
        <v>171</v>
      </c>
      <c r="I4545" s="0" t="n">
        <v>1260900</v>
      </c>
      <c r="J4545" s="0" t="n">
        <v>81469</v>
      </c>
      <c r="K4545" s="0" t="n">
        <v>7898681940042</v>
      </c>
      <c r="L4545" s="0" t="s">
        <v>2579</v>
      </c>
      <c r="N4545" s="0" t="n">
        <v>12</v>
      </c>
      <c r="O4545" s="60" t="n">
        <v>55.2</v>
      </c>
    </row>
    <row r="4546" customFormat="false" ht="15" hidden="false" customHeight="false" outlineLevel="0" collapsed="false">
      <c r="A4546" s="0" t="n">
        <v>3</v>
      </c>
      <c r="B4546" s="59" t="n">
        <v>46253</v>
      </c>
      <c r="C4546" s="0" t="n">
        <v>11</v>
      </c>
      <c r="D4546" s="0" t="s">
        <v>2126</v>
      </c>
      <c r="E4546" s="0" t="n">
        <v>10009</v>
      </c>
      <c r="F4546" s="0" t="s">
        <v>375</v>
      </c>
      <c r="I4546" s="0" t="n">
        <v>1440073</v>
      </c>
      <c r="J4546" s="0" t="n">
        <v>40074</v>
      </c>
      <c r="K4546" s="0" t="n">
        <v>7891008121773</v>
      </c>
      <c r="L4546" s="0" t="s">
        <v>2706</v>
      </c>
      <c r="N4546" s="0" t="n">
        <v>12</v>
      </c>
      <c r="O4546" s="60" t="n">
        <v>94.33</v>
      </c>
    </row>
    <row r="4547" customFormat="false" ht="15" hidden="false" customHeight="false" outlineLevel="0" collapsed="false">
      <c r="A4547" s="0" t="n">
        <v>3</v>
      </c>
      <c r="B4547" s="59" t="n">
        <v>46253</v>
      </c>
      <c r="C4547" s="0" t="n">
        <v>11</v>
      </c>
      <c r="D4547" s="0" t="s">
        <v>2126</v>
      </c>
      <c r="E4547" s="0" t="n">
        <v>10009</v>
      </c>
      <c r="F4547" s="0" t="s">
        <v>375</v>
      </c>
      <c r="I4547" s="0" t="n">
        <v>1440073</v>
      </c>
      <c r="J4547" s="0" t="n">
        <v>40081</v>
      </c>
      <c r="K4547" s="0" t="n">
        <v>7891008121728</v>
      </c>
      <c r="L4547" s="0" t="s">
        <v>2707</v>
      </c>
      <c r="N4547" s="0" t="n">
        <v>12</v>
      </c>
      <c r="O4547" s="60" t="n">
        <v>94.33</v>
      </c>
    </row>
    <row r="4548" customFormat="false" ht="15" hidden="false" customHeight="false" outlineLevel="0" collapsed="false">
      <c r="A4548" s="0" t="n">
        <v>3</v>
      </c>
      <c r="B4548" s="59" t="n">
        <v>46253</v>
      </c>
      <c r="C4548" s="0" t="n">
        <v>11</v>
      </c>
      <c r="D4548" s="0" t="s">
        <v>2126</v>
      </c>
      <c r="E4548" s="0" t="n">
        <v>10009</v>
      </c>
      <c r="F4548" s="0" t="s">
        <v>375</v>
      </c>
      <c r="I4548" s="0" t="n">
        <v>1440073</v>
      </c>
      <c r="J4548" s="0" t="n">
        <v>40217</v>
      </c>
      <c r="K4548" s="0" t="n">
        <v>7891008121827</v>
      </c>
      <c r="L4548" s="0" t="s">
        <v>2708</v>
      </c>
      <c r="N4548" s="0" t="n">
        <v>12</v>
      </c>
      <c r="O4548" s="60" t="n">
        <v>94.33</v>
      </c>
    </row>
    <row r="4549" customFormat="false" ht="15" hidden="false" customHeight="false" outlineLevel="0" collapsed="false">
      <c r="A4549" s="0" t="n">
        <v>3</v>
      </c>
      <c r="B4549" s="59" t="n">
        <v>46253</v>
      </c>
      <c r="C4549" s="0" t="n">
        <v>11</v>
      </c>
      <c r="D4549" s="0" t="s">
        <v>2126</v>
      </c>
      <c r="E4549" s="0" t="n">
        <v>10009</v>
      </c>
      <c r="F4549" s="0" t="s">
        <v>375</v>
      </c>
      <c r="I4549" s="0" t="n">
        <v>1440073</v>
      </c>
      <c r="J4549" s="0" t="n">
        <v>26982</v>
      </c>
      <c r="K4549" s="0" t="n">
        <v>7891000255445</v>
      </c>
      <c r="L4549" s="0" t="s">
        <v>2326</v>
      </c>
      <c r="N4549" s="0" t="n">
        <v>10</v>
      </c>
      <c r="O4549" s="60" t="n">
        <v>52.89</v>
      </c>
    </row>
    <row r="4550" customFormat="false" ht="15" hidden="false" customHeight="false" outlineLevel="0" collapsed="false">
      <c r="A4550" s="0" t="n">
        <v>3</v>
      </c>
      <c r="B4550" s="59" t="n">
        <v>46253</v>
      </c>
      <c r="C4550" s="0" t="n">
        <v>11</v>
      </c>
      <c r="D4550" s="0" t="s">
        <v>2126</v>
      </c>
      <c r="E4550" s="0" t="n">
        <v>10009</v>
      </c>
      <c r="F4550" s="0" t="s">
        <v>375</v>
      </c>
      <c r="I4550" s="0" t="n">
        <v>1440073</v>
      </c>
      <c r="J4550" s="0" t="n">
        <v>54907</v>
      </c>
      <c r="K4550" s="0" t="n">
        <v>7891000376768</v>
      </c>
      <c r="L4550" s="0" t="s">
        <v>3311</v>
      </c>
      <c r="N4550" s="0" t="n">
        <v>30</v>
      </c>
      <c r="O4550" s="60" t="n">
        <v>65.74</v>
      </c>
    </row>
    <row r="4551" customFormat="false" ht="15" hidden="false" customHeight="false" outlineLevel="0" collapsed="false">
      <c r="A4551" s="0" t="n">
        <v>3</v>
      </c>
      <c r="B4551" s="59" t="n">
        <v>46253</v>
      </c>
      <c r="C4551" s="0" t="n">
        <v>11</v>
      </c>
      <c r="D4551" s="0" t="s">
        <v>2126</v>
      </c>
      <c r="E4551" s="0" t="n">
        <v>10009</v>
      </c>
      <c r="F4551" s="0" t="s">
        <v>375</v>
      </c>
      <c r="I4551" s="0" t="n">
        <v>1440073</v>
      </c>
      <c r="J4551" s="0" t="n">
        <v>66436</v>
      </c>
      <c r="K4551" s="0" t="n">
        <v>7891000389300</v>
      </c>
      <c r="L4551" s="0" t="s">
        <v>3984</v>
      </c>
      <c r="N4551" s="0" t="n">
        <v>6</v>
      </c>
      <c r="O4551" s="60" t="n">
        <v>35.63</v>
      </c>
    </row>
    <row r="4552" customFormat="false" ht="15" hidden="false" customHeight="false" outlineLevel="0" collapsed="false">
      <c r="A4552" s="0" t="n">
        <v>3</v>
      </c>
      <c r="B4552" s="59" t="n">
        <v>46253</v>
      </c>
      <c r="C4552" s="0" t="n">
        <v>22</v>
      </c>
      <c r="D4552" s="0" t="s">
        <v>2172</v>
      </c>
      <c r="E4552" s="0" t="n">
        <v>42</v>
      </c>
      <c r="F4552" s="0" t="s">
        <v>81</v>
      </c>
      <c r="I4552" s="0" t="n">
        <v>4522</v>
      </c>
      <c r="J4552" s="0" t="n">
        <v>100000</v>
      </c>
      <c r="K4552" s="0" t="n">
        <v>1</v>
      </c>
      <c r="L4552" s="0" t="s">
        <v>2173</v>
      </c>
      <c r="N4552" s="0" t="n">
        <v>2.394</v>
      </c>
      <c r="O4552" s="60" t="n">
        <v>53.57</v>
      </c>
    </row>
    <row r="4553" customFormat="false" ht="15" hidden="false" customHeight="false" outlineLevel="0" collapsed="false">
      <c r="A4553" s="0" t="n">
        <v>3</v>
      </c>
      <c r="B4553" s="59" t="n">
        <v>46253</v>
      </c>
      <c r="C4553" s="0" t="n">
        <v>22</v>
      </c>
      <c r="D4553" s="0" t="s">
        <v>2172</v>
      </c>
      <c r="E4553" s="0" t="n">
        <v>42</v>
      </c>
      <c r="F4553" s="0" t="s">
        <v>81</v>
      </c>
      <c r="I4553" s="0" t="n">
        <v>4522</v>
      </c>
      <c r="J4553" s="0" t="n">
        <v>100001</v>
      </c>
      <c r="K4553" s="0" t="n">
        <v>2</v>
      </c>
      <c r="L4553" s="0" t="s">
        <v>2174</v>
      </c>
      <c r="N4553" s="0" t="n">
        <v>10.75</v>
      </c>
      <c r="O4553" s="60" t="n">
        <v>257.14</v>
      </c>
    </row>
    <row r="4554" customFormat="false" ht="15" hidden="false" customHeight="false" outlineLevel="0" collapsed="false">
      <c r="A4554" s="0" t="n">
        <v>3</v>
      </c>
      <c r="B4554" s="59" t="n">
        <v>46253</v>
      </c>
      <c r="C4554" s="0" t="n">
        <v>22</v>
      </c>
      <c r="D4554" s="0" t="s">
        <v>2172</v>
      </c>
      <c r="E4554" s="0" t="n">
        <v>42</v>
      </c>
      <c r="F4554" s="0" t="s">
        <v>81</v>
      </c>
      <c r="I4554" s="0" t="n">
        <v>4522</v>
      </c>
      <c r="J4554" s="0" t="n">
        <v>100002</v>
      </c>
      <c r="K4554" s="0" t="n">
        <v>3</v>
      </c>
      <c r="L4554" s="0" t="s">
        <v>2175</v>
      </c>
      <c r="N4554" s="0" t="n">
        <v>15.385</v>
      </c>
      <c r="O4554" s="60" t="n">
        <v>379.89</v>
      </c>
    </row>
    <row r="4555" customFormat="false" ht="15" hidden="false" customHeight="false" outlineLevel="0" collapsed="false">
      <c r="A4555" s="0" t="n">
        <v>3</v>
      </c>
      <c r="B4555" s="59" t="n">
        <v>46253</v>
      </c>
      <c r="C4555" s="0" t="n">
        <v>22</v>
      </c>
      <c r="D4555" s="0" t="s">
        <v>2172</v>
      </c>
      <c r="E4555" s="0" t="n">
        <v>42</v>
      </c>
      <c r="F4555" s="0" t="s">
        <v>81</v>
      </c>
      <c r="I4555" s="0" t="n">
        <v>4522</v>
      </c>
      <c r="J4555" s="0" t="n">
        <v>100003</v>
      </c>
      <c r="K4555" s="0" t="n">
        <v>4</v>
      </c>
      <c r="L4555" s="0" t="s">
        <v>2176</v>
      </c>
      <c r="N4555" s="0" t="n">
        <v>14.171</v>
      </c>
      <c r="O4555" s="60" t="n">
        <v>382.73</v>
      </c>
    </row>
    <row r="4556" customFormat="false" ht="15" hidden="false" customHeight="false" outlineLevel="0" collapsed="false">
      <c r="A4556" s="0" t="n">
        <v>3</v>
      </c>
      <c r="B4556" s="59" t="n">
        <v>46253</v>
      </c>
      <c r="C4556" s="0" t="n">
        <v>22</v>
      </c>
      <c r="D4556" s="0" t="s">
        <v>2172</v>
      </c>
      <c r="E4556" s="0" t="n">
        <v>42</v>
      </c>
      <c r="F4556" s="0" t="s">
        <v>81</v>
      </c>
      <c r="I4556" s="0" t="n">
        <v>4522</v>
      </c>
      <c r="J4556" s="0" t="n">
        <v>100006</v>
      </c>
      <c r="K4556" s="0" t="n">
        <v>7</v>
      </c>
      <c r="L4556" s="0" t="s">
        <v>2228</v>
      </c>
      <c r="N4556" s="0" t="n">
        <v>5.89</v>
      </c>
      <c r="O4556" s="60" t="n">
        <v>197.08</v>
      </c>
    </row>
    <row r="4557" customFormat="false" ht="15" hidden="false" customHeight="false" outlineLevel="0" collapsed="false">
      <c r="A4557" s="0" t="n">
        <v>3</v>
      </c>
      <c r="B4557" s="59" t="n">
        <v>46253</v>
      </c>
      <c r="C4557" s="0" t="n">
        <v>22</v>
      </c>
      <c r="D4557" s="0" t="s">
        <v>2172</v>
      </c>
      <c r="E4557" s="0" t="n">
        <v>42</v>
      </c>
      <c r="F4557" s="0" t="s">
        <v>81</v>
      </c>
      <c r="I4557" s="0" t="n">
        <v>4522</v>
      </c>
      <c r="J4557" s="0" t="n">
        <v>100006</v>
      </c>
      <c r="K4557" s="0" t="n">
        <v>7</v>
      </c>
      <c r="L4557" s="0" t="s">
        <v>2228</v>
      </c>
      <c r="N4557" s="0" t="n">
        <v>5.38</v>
      </c>
      <c r="O4557" s="60" t="n">
        <v>183.65</v>
      </c>
    </row>
    <row r="4558" customFormat="false" ht="15" hidden="false" customHeight="false" outlineLevel="0" collapsed="false">
      <c r="A4558" s="0" t="n">
        <v>3</v>
      </c>
      <c r="B4558" s="59" t="n">
        <v>46253</v>
      </c>
      <c r="C4558" s="0" t="n">
        <v>22</v>
      </c>
      <c r="D4558" s="0" t="s">
        <v>2172</v>
      </c>
      <c r="E4558" s="0" t="n">
        <v>42</v>
      </c>
      <c r="F4558" s="0" t="s">
        <v>81</v>
      </c>
      <c r="I4558" s="0" t="n">
        <v>4522</v>
      </c>
      <c r="J4558" s="0" t="n">
        <v>100007</v>
      </c>
      <c r="K4558" s="0" t="n">
        <v>8</v>
      </c>
      <c r="L4558" s="0" t="s">
        <v>2177</v>
      </c>
      <c r="N4558" s="0" t="n">
        <v>2.854</v>
      </c>
      <c r="O4558" s="60" t="n">
        <v>74.88</v>
      </c>
    </row>
    <row r="4559" customFormat="false" ht="15" hidden="false" customHeight="false" outlineLevel="0" collapsed="false">
      <c r="A4559" s="0" t="n">
        <v>3</v>
      </c>
      <c r="B4559" s="59" t="n">
        <v>46253</v>
      </c>
      <c r="C4559" s="0" t="n">
        <v>22</v>
      </c>
      <c r="D4559" s="0" t="s">
        <v>2172</v>
      </c>
      <c r="E4559" s="0" t="n">
        <v>42</v>
      </c>
      <c r="F4559" s="0" t="s">
        <v>81</v>
      </c>
      <c r="I4559" s="0" t="n">
        <v>4522</v>
      </c>
      <c r="J4559" s="0" t="n">
        <v>100008</v>
      </c>
      <c r="K4559" s="0" t="n">
        <v>9</v>
      </c>
      <c r="L4559" s="0" t="s">
        <v>2229</v>
      </c>
      <c r="N4559" s="0" t="n">
        <v>11.175</v>
      </c>
      <c r="O4559" s="60" t="n">
        <v>391</v>
      </c>
    </row>
    <row r="4560" customFormat="false" ht="15" hidden="false" customHeight="false" outlineLevel="0" collapsed="false">
      <c r="A4560" s="0" t="n">
        <v>3</v>
      </c>
      <c r="B4560" s="59" t="n">
        <v>46253</v>
      </c>
      <c r="C4560" s="0" t="n">
        <v>22</v>
      </c>
      <c r="D4560" s="0" t="s">
        <v>2172</v>
      </c>
      <c r="E4560" s="0" t="n">
        <v>42</v>
      </c>
      <c r="F4560" s="0" t="s">
        <v>81</v>
      </c>
      <c r="I4560" s="0" t="n">
        <v>4522</v>
      </c>
      <c r="J4560" s="0" t="n">
        <v>100010</v>
      </c>
      <c r="K4560" s="0" t="n">
        <v>11</v>
      </c>
      <c r="L4560" s="0" t="s">
        <v>2230</v>
      </c>
      <c r="N4560" s="0" t="n">
        <v>2.496</v>
      </c>
      <c r="O4560" s="60" t="n">
        <v>98.14</v>
      </c>
    </row>
    <row r="4561" customFormat="false" ht="15" hidden="false" customHeight="false" outlineLevel="0" collapsed="false">
      <c r="A4561" s="0" t="n">
        <v>3</v>
      </c>
      <c r="B4561" s="59" t="n">
        <v>46253</v>
      </c>
      <c r="C4561" s="0" t="n">
        <v>22</v>
      </c>
      <c r="D4561" s="0" t="s">
        <v>2172</v>
      </c>
      <c r="E4561" s="0" t="n">
        <v>42</v>
      </c>
      <c r="F4561" s="0" t="s">
        <v>81</v>
      </c>
      <c r="I4561" s="0" t="n">
        <v>4522</v>
      </c>
      <c r="J4561" s="0" t="n">
        <v>100010</v>
      </c>
      <c r="K4561" s="0" t="n">
        <v>11</v>
      </c>
      <c r="L4561" s="0" t="s">
        <v>2230</v>
      </c>
      <c r="N4561" s="0" t="n">
        <v>1.962</v>
      </c>
      <c r="O4561" s="60" t="n">
        <v>78.7</v>
      </c>
    </row>
    <row r="4562" customFormat="false" ht="15" hidden="false" customHeight="false" outlineLevel="0" collapsed="false">
      <c r="A4562" s="0" t="n">
        <v>3</v>
      </c>
      <c r="B4562" s="59" t="n">
        <v>46253</v>
      </c>
      <c r="C4562" s="0" t="n">
        <v>22</v>
      </c>
      <c r="D4562" s="0" t="s">
        <v>2172</v>
      </c>
      <c r="E4562" s="0" t="n">
        <v>42</v>
      </c>
      <c r="F4562" s="0" t="s">
        <v>81</v>
      </c>
      <c r="I4562" s="0" t="n">
        <v>4522</v>
      </c>
      <c r="J4562" s="0" t="n">
        <v>100011</v>
      </c>
      <c r="K4562" s="0" t="n">
        <v>12</v>
      </c>
      <c r="L4562" s="0" t="s">
        <v>2231</v>
      </c>
      <c r="N4562" s="0" t="n">
        <v>5.95</v>
      </c>
      <c r="O4562" s="60" t="n">
        <v>233.94</v>
      </c>
    </row>
    <row r="4563" customFormat="false" ht="15" hidden="false" customHeight="false" outlineLevel="0" collapsed="false">
      <c r="A4563" s="0" t="n">
        <v>3</v>
      </c>
      <c r="B4563" s="59" t="n">
        <v>46253</v>
      </c>
      <c r="C4563" s="0" t="n">
        <v>22</v>
      </c>
      <c r="D4563" s="0" t="s">
        <v>2172</v>
      </c>
      <c r="E4563" s="0" t="n">
        <v>42</v>
      </c>
      <c r="F4563" s="0" t="s">
        <v>81</v>
      </c>
      <c r="I4563" s="0" t="n">
        <v>4522</v>
      </c>
      <c r="J4563" s="0" t="n">
        <v>100011</v>
      </c>
      <c r="K4563" s="0" t="n">
        <v>12</v>
      </c>
      <c r="L4563" s="0" t="s">
        <v>2231</v>
      </c>
      <c r="N4563" s="0" t="n">
        <v>5</v>
      </c>
      <c r="O4563" s="60" t="n">
        <v>200.55</v>
      </c>
    </row>
    <row r="4564" customFormat="false" ht="15" hidden="false" customHeight="false" outlineLevel="0" collapsed="false">
      <c r="A4564" s="0" t="n">
        <v>3</v>
      </c>
      <c r="B4564" s="59" t="n">
        <v>46253</v>
      </c>
      <c r="C4564" s="0" t="n">
        <v>22</v>
      </c>
      <c r="D4564" s="0" t="s">
        <v>2172</v>
      </c>
      <c r="E4564" s="0" t="n">
        <v>42</v>
      </c>
      <c r="F4564" s="0" t="s">
        <v>81</v>
      </c>
      <c r="I4564" s="0" t="n">
        <v>4522</v>
      </c>
      <c r="J4564" s="0" t="n">
        <v>100012</v>
      </c>
      <c r="K4564" s="0" t="n">
        <v>13</v>
      </c>
      <c r="L4564" s="0" t="s">
        <v>2232</v>
      </c>
      <c r="N4564" s="0" t="n">
        <v>4.83</v>
      </c>
      <c r="O4564" s="60" t="n">
        <v>210.22</v>
      </c>
    </row>
    <row r="4565" customFormat="false" ht="15" hidden="false" customHeight="false" outlineLevel="0" collapsed="false">
      <c r="A4565" s="0" t="n">
        <v>3</v>
      </c>
      <c r="B4565" s="59" t="n">
        <v>46253</v>
      </c>
      <c r="C4565" s="0" t="n">
        <v>22</v>
      </c>
      <c r="D4565" s="0" t="s">
        <v>2172</v>
      </c>
      <c r="E4565" s="0" t="n">
        <v>42</v>
      </c>
      <c r="F4565" s="0" t="s">
        <v>81</v>
      </c>
      <c r="I4565" s="0" t="n">
        <v>4522</v>
      </c>
      <c r="J4565" s="0" t="n">
        <v>100012</v>
      </c>
      <c r="K4565" s="0" t="n">
        <v>13</v>
      </c>
      <c r="L4565" s="0" t="s">
        <v>2232</v>
      </c>
      <c r="N4565" s="0" t="n">
        <v>4.748</v>
      </c>
      <c r="O4565" s="60" t="n">
        <v>202.57</v>
      </c>
    </row>
    <row r="4566" customFormat="false" ht="15" hidden="false" customHeight="false" outlineLevel="0" collapsed="false">
      <c r="A4566" s="0" t="n">
        <v>3</v>
      </c>
      <c r="B4566" s="59" t="n">
        <v>46253</v>
      </c>
      <c r="C4566" s="0" t="n">
        <v>22</v>
      </c>
      <c r="D4566" s="0" t="s">
        <v>2172</v>
      </c>
      <c r="E4566" s="0" t="n">
        <v>42</v>
      </c>
      <c r="F4566" s="0" t="s">
        <v>81</v>
      </c>
      <c r="I4566" s="0" t="n">
        <v>4522</v>
      </c>
      <c r="J4566" s="0" t="n">
        <v>100013</v>
      </c>
      <c r="K4566" s="0" t="n">
        <v>14</v>
      </c>
      <c r="L4566" s="0" t="s">
        <v>2233</v>
      </c>
      <c r="N4566" s="0" t="n">
        <v>9.415</v>
      </c>
      <c r="O4566" s="60" t="n">
        <v>433.2</v>
      </c>
    </row>
    <row r="4567" customFormat="false" ht="15" hidden="false" customHeight="false" outlineLevel="0" collapsed="false">
      <c r="A4567" s="0" t="n">
        <v>3</v>
      </c>
      <c r="B4567" s="59" t="n">
        <v>46253</v>
      </c>
      <c r="C4567" s="0" t="n">
        <v>22</v>
      </c>
      <c r="D4567" s="0" t="s">
        <v>2172</v>
      </c>
      <c r="E4567" s="0" t="n">
        <v>42</v>
      </c>
      <c r="F4567" s="0" t="s">
        <v>81</v>
      </c>
      <c r="I4567" s="0" t="n">
        <v>4522</v>
      </c>
      <c r="J4567" s="0" t="n">
        <v>100013</v>
      </c>
      <c r="K4567" s="0" t="n">
        <v>14</v>
      </c>
      <c r="L4567" s="0" t="s">
        <v>2233</v>
      </c>
      <c r="N4567" s="0" t="n">
        <v>8.595</v>
      </c>
      <c r="O4567" s="60" t="n">
        <v>403.44</v>
      </c>
    </row>
    <row r="4568" customFormat="false" ht="15" hidden="false" customHeight="false" outlineLevel="0" collapsed="false">
      <c r="A4568" s="0" t="n">
        <v>3</v>
      </c>
      <c r="B4568" s="59" t="n">
        <v>46253</v>
      </c>
      <c r="C4568" s="0" t="n">
        <v>22</v>
      </c>
      <c r="D4568" s="0" t="s">
        <v>2172</v>
      </c>
      <c r="E4568" s="0" t="n">
        <v>42</v>
      </c>
      <c r="F4568" s="0" t="s">
        <v>81</v>
      </c>
      <c r="I4568" s="0" t="n">
        <v>4522</v>
      </c>
      <c r="J4568" s="0" t="n">
        <v>100014</v>
      </c>
      <c r="K4568" s="0" t="n">
        <v>15</v>
      </c>
      <c r="L4568" s="0" t="s">
        <v>2234</v>
      </c>
      <c r="N4568" s="0" t="n">
        <v>3.784</v>
      </c>
      <c r="O4568" s="60" t="n">
        <v>180.85</v>
      </c>
    </row>
    <row r="4569" customFormat="false" ht="15" hidden="false" customHeight="false" outlineLevel="0" collapsed="false">
      <c r="A4569" s="0" t="n">
        <v>3</v>
      </c>
      <c r="B4569" s="59" t="n">
        <v>46253</v>
      </c>
      <c r="C4569" s="0" t="n">
        <v>22</v>
      </c>
      <c r="D4569" s="0" t="s">
        <v>2172</v>
      </c>
      <c r="E4569" s="0" t="n">
        <v>42</v>
      </c>
      <c r="F4569" s="0" t="s">
        <v>81</v>
      </c>
      <c r="I4569" s="0" t="n">
        <v>4522</v>
      </c>
      <c r="J4569" s="0" t="n">
        <v>100014</v>
      </c>
      <c r="K4569" s="0" t="n">
        <v>15</v>
      </c>
      <c r="L4569" s="0" t="s">
        <v>2234</v>
      </c>
      <c r="N4569" s="0" t="n">
        <v>3.992</v>
      </c>
      <c r="O4569" s="60" t="n">
        <v>187.02</v>
      </c>
    </row>
    <row r="4570" customFormat="false" ht="15" hidden="false" customHeight="false" outlineLevel="0" collapsed="false">
      <c r="A4570" s="0" t="n">
        <v>3</v>
      </c>
      <c r="B4570" s="59" t="n">
        <v>46253</v>
      </c>
      <c r="C4570" s="0" t="n">
        <v>22</v>
      </c>
      <c r="D4570" s="0" t="s">
        <v>2172</v>
      </c>
      <c r="E4570" s="0" t="n">
        <v>42</v>
      </c>
      <c r="F4570" s="0" t="s">
        <v>81</v>
      </c>
      <c r="I4570" s="0" t="n">
        <v>4522</v>
      </c>
      <c r="J4570" s="0" t="n">
        <v>100015</v>
      </c>
      <c r="K4570" s="0" t="n">
        <v>16</v>
      </c>
      <c r="L4570" s="0" t="s">
        <v>2235</v>
      </c>
      <c r="N4570" s="0" t="n">
        <v>1.278</v>
      </c>
      <c r="O4570" s="60" t="n">
        <v>54.53</v>
      </c>
    </row>
    <row r="4571" customFormat="false" ht="15" hidden="false" customHeight="false" outlineLevel="0" collapsed="false">
      <c r="A4571" s="0" t="n">
        <v>3</v>
      </c>
      <c r="B4571" s="59" t="n">
        <v>46253</v>
      </c>
      <c r="C4571" s="0" t="n">
        <v>22</v>
      </c>
      <c r="D4571" s="0" t="s">
        <v>2172</v>
      </c>
      <c r="E4571" s="0" t="n">
        <v>42</v>
      </c>
      <c r="F4571" s="0" t="s">
        <v>81</v>
      </c>
      <c r="I4571" s="0" t="n">
        <v>4522</v>
      </c>
      <c r="J4571" s="0" t="n">
        <v>100015</v>
      </c>
      <c r="K4571" s="0" t="n">
        <v>16</v>
      </c>
      <c r="L4571" s="0" t="s">
        <v>2235</v>
      </c>
      <c r="N4571" s="0" t="n">
        <v>1.196</v>
      </c>
      <c r="O4571" s="60" t="n">
        <v>52.06</v>
      </c>
    </row>
    <row r="4572" customFormat="false" ht="15" hidden="false" customHeight="false" outlineLevel="0" collapsed="false">
      <c r="A4572" s="0" t="n">
        <v>3</v>
      </c>
      <c r="B4572" s="59" t="n">
        <v>46253</v>
      </c>
      <c r="C4572" s="0" t="n">
        <v>22</v>
      </c>
      <c r="D4572" s="0" t="s">
        <v>2172</v>
      </c>
      <c r="E4572" s="0" t="n">
        <v>42</v>
      </c>
      <c r="F4572" s="0" t="s">
        <v>81</v>
      </c>
      <c r="I4572" s="0" t="n">
        <v>4522</v>
      </c>
      <c r="J4572" s="0" t="n">
        <v>100016</v>
      </c>
      <c r="K4572" s="0" t="n">
        <v>17</v>
      </c>
      <c r="L4572" s="0" t="s">
        <v>2236</v>
      </c>
      <c r="N4572" s="0" t="n">
        <v>1.604</v>
      </c>
      <c r="O4572" s="60" t="n">
        <v>75.29</v>
      </c>
    </row>
    <row r="4573" customFormat="false" ht="15" hidden="false" customHeight="false" outlineLevel="0" collapsed="false">
      <c r="A4573" s="0" t="n">
        <v>3</v>
      </c>
      <c r="B4573" s="59" t="n">
        <v>46253</v>
      </c>
      <c r="C4573" s="0" t="n">
        <v>22</v>
      </c>
      <c r="D4573" s="0" t="s">
        <v>2172</v>
      </c>
      <c r="E4573" s="0" t="n">
        <v>42</v>
      </c>
      <c r="F4573" s="0" t="s">
        <v>81</v>
      </c>
      <c r="I4573" s="0" t="n">
        <v>4522</v>
      </c>
      <c r="J4573" s="0" t="n">
        <v>100017</v>
      </c>
      <c r="K4573" s="0" t="n">
        <v>18</v>
      </c>
      <c r="L4573" s="0" t="s">
        <v>2237</v>
      </c>
      <c r="N4573" s="0" t="n">
        <v>1.286</v>
      </c>
      <c r="O4573" s="60" t="n">
        <v>71.34</v>
      </c>
    </row>
    <row r="4574" customFormat="false" ht="15" hidden="false" customHeight="false" outlineLevel="0" collapsed="false">
      <c r="A4574" s="0" t="n">
        <v>3</v>
      </c>
      <c r="B4574" s="59" t="n">
        <v>46253</v>
      </c>
      <c r="C4574" s="0" t="n">
        <v>22</v>
      </c>
      <c r="D4574" s="0" t="s">
        <v>2172</v>
      </c>
      <c r="E4574" s="0" t="n">
        <v>42</v>
      </c>
      <c r="F4574" s="0" t="s">
        <v>81</v>
      </c>
      <c r="I4574" s="0" t="n">
        <v>4522</v>
      </c>
      <c r="J4574" s="0" t="n">
        <v>100017</v>
      </c>
      <c r="K4574" s="0" t="n">
        <v>18</v>
      </c>
      <c r="L4574" s="0" t="s">
        <v>2237</v>
      </c>
      <c r="N4574" s="0" t="n">
        <v>1.602</v>
      </c>
      <c r="O4574" s="60" t="n">
        <v>87.12</v>
      </c>
    </row>
    <row r="4575" customFormat="false" ht="15" hidden="false" customHeight="false" outlineLevel="0" collapsed="false">
      <c r="A4575" s="0" t="n">
        <v>3</v>
      </c>
      <c r="B4575" s="59" t="n">
        <v>46253</v>
      </c>
      <c r="C4575" s="0" t="n">
        <v>22</v>
      </c>
      <c r="D4575" s="0" t="s">
        <v>2172</v>
      </c>
      <c r="E4575" s="0" t="n">
        <v>42</v>
      </c>
      <c r="F4575" s="0" t="s">
        <v>81</v>
      </c>
      <c r="I4575" s="0" t="n">
        <v>4522</v>
      </c>
      <c r="J4575" s="0" t="n">
        <v>100053</v>
      </c>
      <c r="K4575" s="0" t="n">
        <v>54</v>
      </c>
      <c r="L4575" s="0" t="s">
        <v>2238</v>
      </c>
      <c r="N4575" s="0" t="n">
        <v>1.95</v>
      </c>
      <c r="O4575" s="60" t="n">
        <v>74.89</v>
      </c>
    </row>
    <row r="4576" customFormat="false" ht="15" hidden="false" customHeight="false" outlineLevel="0" collapsed="false">
      <c r="A4576" s="0" t="n">
        <v>3</v>
      </c>
      <c r="B4576" s="59" t="n">
        <v>46253</v>
      </c>
      <c r="C4576" s="0" t="n">
        <v>22</v>
      </c>
      <c r="D4576" s="0" t="s">
        <v>2172</v>
      </c>
      <c r="E4576" s="0" t="n">
        <v>42</v>
      </c>
      <c r="F4576" s="0" t="s">
        <v>81</v>
      </c>
      <c r="I4576" s="0" t="n">
        <v>4522</v>
      </c>
      <c r="J4576" s="0" t="n">
        <v>100638</v>
      </c>
      <c r="K4576" s="0" t="n">
        <v>508</v>
      </c>
      <c r="L4576" s="0" t="s">
        <v>2178</v>
      </c>
      <c r="N4576" s="0" t="n">
        <v>1.972</v>
      </c>
      <c r="O4576" s="60" t="n">
        <v>3.35</v>
      </c>
    </row>
    <row r="4577" customFormat="false" ht="15" hidden="false" customHeight="false" outlineLevel="0" collapsed="false">
      <c r="A4577" s="0" t="n">
        <v>3</v>
      </c>
      <c r="B4577" s="59" t="n">
        <v>46253</v>
      </c>
      <c r="C4577" s="0" t="n">
        <v>22</v>
      </c>
      <c r="D4577" s="0" t="s">
        <v>2172</v>
      </c>
      <c r="E4577" s="0" t="n">
        <v>42</v>
      </c>
      <c r="F4577" s="0" t="s">
        <v>81</v>
      </c>
      <c r="I4577" s="0" t="n">
        <v>4522</v>
      </c>
      <c r="J4577" s="0" t="n">
        <v>100638</v>
      </c>
      <c r="K4577" s="0" t="n">
        <v>508</v>
      </c>
      <c r="L4577" s="0" t="s">
        <v>2178</v>
      </c>
      <c r="N4577" s="0" t="n">
        <v>2.804</v>
      </c>
      <c r="O4577" s="60" t="n">
        <v>4.31</v>
      </c>
    </row>
    <row r="4578" customFormat="false" ht="15" hidden="false" customHeight="false" outlineLevel="0" collapsed="false">
      <c r="A4578" s="0" t="n">
        <v>3</v>
      </c>
      <c r="B4578" s="59" t="n">
        <v>46253</v>
      </c>
      <c r="C4578" s="0" t="n">
        <v>22</v>
      </c>
      <c r="D4578" s="0" t="s">
        <v>2172</v>
      </c>
      <c r="E4578" s="0" t="n">
        <v>42</v>
      </c>
      <c r="F4578" s="0" t="s">
        <v>81</v>
      </c>
      <c r="I4578" s="0" t="n">
        <v>4522</v>
      </c>
      <c r="J4578" s="0" t="n">
        <v>100638</v>
      </c>
      <c r="K4578" s="0" t="n">
        <v>508</v>
      </c>
      <c r="L4578" s="0" t="s">
        <v>2178</v>
      </c>
      <c r="N4578" s="0" t="n">
        <v>1.714</v>
      </c>
      <c r="O4578" s="60" t="n">
        <v>2.85</v>
      </c>
    </row>
    <row r="4579" customFormat="false" ht="15" hidden="false" customHeight="false" outlineLevel="0" collapsed="false">
      <c r="A4579" s="0" t="n">
        <v>3</v>
      </c>
      <c r="B4579" s="59" t="n">
        <v>46253</v>
      </c>
      <c r="C4579" s="0" t="n">
        <v>22</v>
      </c>
      <c r="D4579" s="0" t="s">
        <v>2172</v>
      </c>
      <c r="E4579" s="0" t="n">
        <v>42</v>
      </c>
      <c r="F4579" s="0" t="s">
        <v>81</v>
      </c>
      <c r="I4579" s="0" t="n">
        <v>4522</v>
      </c>
      <c r="J4579" s="0" t="n">
        <v>100520</v>
      </c>
      <c r="K4579" s="0" t="n">
        <v>507</v>
      </c>
      <c r="L4579" s="0" t="s">
        <v>2179</v>
      </c>
      <c r="N4579" s="0" t="n">
        <v>9.67</v>
      </c>
      <c r="O4579" s="60" t="n">
        <v>24.68</v>
      </c>
    </row>
    <row r="4580" customFormat="false" ht="15" hidden="false" customHeight="false" outlineLevel="0" collapsed="false">
      <c r="A4580" s="0" t="n">
        <v>3</v>
      </c>
      <c r="B4580" s="59" t="n">
        <v>46253</v>
      </c>
      <c r="C4580" s="0" t="n">
        <v>22</v>
      </c>
      <c r="D4580" s="0" t="s">
        <v>2172</v>
      </c>
      <c r="E4580" s="0" t="n">
        <v>42</v>
      </c>
      <c r="F4580" s="0" t="s">
        <v>81</v>
      </c>
      <c r="I4580" s="0" t="n">
        <v>4522</v>
      </c>
      <c r="J4580" s="0" t="n">
        <v>100520</v>
      </c>
      <c r="K4580" s="0" t="n">
        <v>507</v>
      </c>
      <c r="L4580" s="0" t="s">
        <v>2179</v>
      </c>
      <c r="N4580" s="0" t="n">
        <v>1.728</v>
      </c>
      <c r="O4580" s="60" t="n">
        <v>3.99</v>
      </c>
    </row>
    <row r="4581" customFormat="false" ht="15" hidden="false" customHeight="false" outlineLevel="0" collapsed="false">
      <c r="A4581" s="0" t="n">
        <v>3</v>
      </c>
      <c r="B4581" s="59" t="n">
        <v>46253</v>
      </c>
      <c r="C4581" s="0" t="n">
        <v>22</v>
      </c>
      <c r="D4581" s="0" t="s">
        <v>2172</v>
      </c>
      <c r="E4581" s="0" t="n">
        <v>42</v>
      </c>
      <c r="F4581" s="0" t="s">
        <v>81</v>
      </c>
      <c r="I4581" s="0" t="n">
        <v>4522</v>
      </c>
      <c r="J4581" s="0" t="n">
        <v>100520</v>
      </c>
      <c r="K4581" s="0" t="n">
        <v>507</v>
      </c>
      <c r="L4581" s="0" t="s">
        <v>2179</v>
      </c>
      <c r="N4581" s="0" t="n">
        <v>8.512</v>
      </c>
      <c r="O4581" s="60" t="n">
        <v>21.3</v>
      </c>
    </row>
    <row r="4582" customFormat="false" ht="15" hidden="false" customHeight="false" outlineLevel="0" collapsed="false">
      <c r="A4582" s="0" t="n">
        <v>3</v>
      </c>
      <c r="B4582" s="59" t="n">
        <v>46253</v>
      </c>
      <c r="C4582" s="0" t="n">
        <v>22</v>
      </c>
      <c r="D4582" s="0" t="s">
        <v>2172</v>
      </c>
      <c r="E4582" s="0" t="n">
        <v>42</v>
      </c>
      <c r="F4582" s="0" t="s">
        <v>81</v>
      </c>
      <c r="I4582" s="0" t="n">
        <v>4522</v>
      </c>
      <c r="J4582" s="0" t="n">
        <v>110455</v>
      </c>
      <c r="K4582" s="0" t="n">
        <v>53212</v>
      </c>
      <c r="L4582" s="0" t="s">
        <v>2180</v>
      </c>
      <c r="N4582" s="0" t="n">
        <v>1.103</v>
      </c>
      <c r="O4582" s="60" t="n">
        <v>0</v>
      </c>
    </row>
    <row r="4583" customFormat="false" ht="15" hidden="false" customHeight="false" outlineLevel="0" collapsed="false">
      <c r="A4583" s="0" t="n">
        <v>3</v>
      </c>
      <c r="B4583" s="59" t="n">
        <v>46253</v>
      </c>
      <c r="C4583" s="0" t="n">
        <v>22</v>
      </c>
      <c r="D4583" s="0" t="s">
        <v>2172</v>
      </c>
      <c r="E4583" s="0" t="n">
        <v>42</v>
      </c>
      <c r="F4583" s="0" t="s">
        <v>81</v>
      </c>
      <c r="I4583" s="0" t="n">
        <v>4522</v>
      </c>
      <c r="J4583" s="0" t="n">
        <v>110455</v>
      </c>
      <c r="K4583" s="0" t="n">
        <v>53212</v>
      </c>
      <c r="L4583" s="0" t="s">
        <v>2180</v>
      </c>
      <c r="N4583" s="0" t="n">
        <v>1.596</v>
      </c>
      <c r="O4583" s="60" t="n">
        <v>0</v>
      </c>
    </row>
    <row r="4584" customFormat="false" ht="15" hidden="false" customHeight="false" outlineLevel="0" collapsed="false">
      <c r="A4584" s="0" t="n">
        <v>3</v>
      </c>
      <c r="B4584" s="59" t="n">
        <v>46253</v>
      </c>
      <c r="C4584" s="0" t="n">
        <v>22</v>
      </c>
      <c r="D4584" s="0" t="s">
        <v>2172</v>
      </c>
      <c r="E4584" s="0" t="n">
        <v>42</v>
      </c>
      <c r="F4584" s="0" t="s">
        <v>81</v>
      </c>
      <c r="I4584" s="0" t="n">
        <v>4522</v>
      </c>
      <c r="J4584" s="0" t="n">
        <v>110455</v>
      </c>
      <c r="K4584" s="0" t="n">
        <v>53212</v>
      </c>
      <c r="L4584" s="0" t="s">
        <v>2180</v>
      </c>
      <c r="N4584" s="0" t="n">
        <v>1.314</v>
      </c>
      <c r="O4584" s="60" t="n">
        <v>0</v>
      </c>
    </row>
    <row r="4585" customFormat="false" ht="15" hidden="false" customHeight="false" outlineLevel="0" collapsed="false">
      <c r="A4585" s="0" t="n">
        <v>3</v>
      </c>
      <c r="B4585" s="59" t="n">
        <v>46253</v>
      </c>
      <c r="C4585" s="0" t="n">
        <v>100</v>
      </c>
      <c r="D4585" s="0" t="s">
        <v>2181</v>
      </c>
      <c r="E4585" s="0" t="n">
        <v>42</v>
      </c>
      <c r="F4585" s="0" t="s">
        <v>81</v>
      </c>
      <c r="I4585" s="0" t="n">
        <v>1572742</v>
      </c>
      <c r="J4585" s="0" t="n">
        <v>100000</v>
      </c>
      <c r="K4585" s="0" t="n">
        <v>1</v>
      </c>
      <c r="L4585" s="0" t="s">
        <v>2173</v>
      </c>
      <c r="N4585" s="0" t="n">
        <v>2.394</v>
      </c>
      <c r="O4585" s="60" t="n">
        <v>53.57</v>
      </c>
    </row>
    <row r="4586" customFormat="false" ht="15" hidden="false" customHeight="false" outlineLevel="0" collapsed="false">
      <c r="A4586" s="0" t="n">
        <v>3</v>
      </c>
      <c r="B4586" s="59" t="n">
        <v>46253</v>
      </c>
      <c r="C4586" s="0" t="n">
        <v>100</v>
      </c>
      <c r="D4586" s="0" t="s">
        <v>2181</v>
      </c>
      <c r="E4586" s="0" t="n">
        <v>42</v>
      </c>
      <c r="F4586" s="0" t="s">
        <v>81</v>
      </c>
      <c r="I4586" s="0" t="n">
        <v>1572742</v>
      </c>
      <c r="J4586" s="0" t="n">
        <v>100001</v>
      </c>
      <c r="K4586" s="0" t="n">
        <v>2</v>
      </c>
      <c r="L4586" s="0" t="s">
        <v>2174</v>
      </c>
      <c r="N4586" s="0" t="n">
        <v>10.75</v>
      </c>
      <c r="O4586" s="60" t="n">
        <v>257.14</v>
      </c>
    </row>
    <row r="4587" customFormat="false" ht="15" hidden="false" customHeight="false" outlineLevel="0" collapsed="false">
      <c r="A4587" s="0" t="n">
        <v>3</v>
      </c>
      <c r="B4587" s="59" t="n">
        <v>46253</v>
      </c>
      <c r="C4587" s="0" t="n">
        <v>100</v>
      </c>
      <c r="D4587" s="0" t="s">
        <v>2181</v>
      </c>
      <c r="E4587" s="0" t="n">
        <v>42</v>
      </c>
      <c r="F4587" s="0" t="s">
        <v>81</v>
      </c>
      <c r="I4587" s="0" t="n">
        <v>1572742</v>
      </c>
      <c r="J4587" s="0" t="n">
        <v>100002</v>
      </c>
      <c r="K4587" s="0" t="n">
        <v>3</v>
      </c>
      <c r="L4587" s="0" t="s">
        <v>2175</v>
      </c>
      <c r="N4587" s="0" t="n">
        <v>15.385</v>
      </c>
      <c r="O4587" s="60" t="n">
        <v>379.89</v>
      </c>
    </row>
    <row r="4588" customFormat="false" ht="15" hidden="false" customHeight="false" outlineLevel="0" collapsed="false">
      <c r="A4588" s="0" t="n">
        <v>3</v>
      </c>
      <c r="B4588" s="59" t="n">
        <v>46253</v>
      </c>
      <c r="C4588" s="0" t="n">
        <v>100</v>
      </c>
      <c r="D4588" s="0" t="s">
        <v>2181</v>
      </c>
      <c r="E4588" s="0" t="n">
        <v>42</v>
      </c>
      <c r="F4588" s="0" t="s">
        <v>81</v>
      </c>
      <c r="I4588" s="0" t="n">
        <v>1572742</v>
      </c>
      <c r="J4588" s="0" t="n">
        <v>100003</v>
      </c>
      <c r="K4588" s="0" t="n">
        <v>4</v>
      </c>
      <c r="L4588" s="0" t="s">
        <v>2176</v>
      </c>
      <c r="N4588" s="0" t="n">
        <v>14.171</v>
      </c>
      <c r="O4588" s="60" t="n">
        <v>382.73</v>
      </c>
    </row>
    <row r="4589" customFormat="false" ht="15" hidden="false" customHeight="false" outlineLevel="0" collapsed="false">
      <c r="A4589" s="0" t="n">
        <v>3</v>
      </c>
      <c r="B4589" s="59" t="n">
        <v>46253</v>
      </c>
      <c r="C4589" s="0" t="n">
        <v>100</v>
      </c>
      <c r="D4589" s="0" t="s">
        <v>2181</v>
      </c>
      <c r="E4589" s="0" t="n">
        <v>42</v>
      </c>
      <c r="F4589" s="0" t="s">
        <v>81</v>
      </c>
      <c r="I4589" s="0" t="n">
        <v>1572742</v>
      </c>
      <c r="J4589" s="0" t="n">
        <v>100007</v>
      </c>
      <c r="K4589" s="0" t="n">
        <v>8</v>
      </c>
      <c r="L4589" s="0" t="s">
        <v>2177</v>
      </c>
      <c r="N4589" s="0" t="n">
        <v>2.854</v>
      </c>
      <c r="O4589" s="60" t="n">
        <v>74.88</v>
      </c>
    </row>
    <row r="4590" customFormat="false" ht="15" hidden="false" customHeight="false" outlineLevel="0" collapsed="false">
      <c r="A4590" s="0" t="n">
        <v>3</v>
      </c>
      <c r="B4590" s="59" t="n">
        <v>46253</v>
      </c>
      <c r="C4590" s="0" t="n">
        <v>100</v>
      </c>
      <c r="D4590" s="0" t="s">
        <v>2181</v>
      </c>
      <c r="E4590" s="0" t="n">
        <v>42</v>
      </c>
      <c r="F4590" s="0" t="s">
        <v>81</v>
      </c>
      <c r="I4590" s="0" t="n">
        <v>1572742</v>
      </c>
      <c r="J4590" s="0" t="n">
        <v>100638</v>
      </c>
      <c r="K4590" s="0" t="n">
        <v>508</v>
      </c>
      <c r="L4590" s="0" t="s">
        <v>2178</v>
      </c>
      <c r="N4590" s="0" t="n">
        <v>2.804</v>
      </c>
      <c r="O4590" s="60" t="n">
        <v>4.31</v>
      </c>
    </row>
    <row r="4591" customFormat="false" ht="15" hidden="false" customHeight="false" outlineLevel="0" collapsed="false">
      <c r="A4591" s="0" t="n">
        <v>3</v>
      </c>
      <c r="B4591" s="59" t="n">
        <v>46253</v>
      </c>
      <c r="C4591" s="0" t="n">
        <v>100</v>
      </c>
      <c r="D4591" s="0" t="s">
        <v>2181</v>
      </c>
      <c r="E4591" s="0" t="n">
        <v>42</v>
      </c>
      <c r="F4591" s="0" t="s">
        <v>81</v>
      </c>
      <c r="I4591" s="0" t="n">
        <v>1572742</v>
      </c>
      <c r="J4591" s="0" t="n">
        <v>100520</v>
      </c>
      <c r="K4591" s="0" t="n">
        <v>507</v>
      </c>
      <c r="L4591" s="0" t="s">
        <v>2179</v>
      </c>
      <c r="N4591" s="0" t="n">
        <v>1.728</v>
      </c>
      <c r="O4591" s="60" t="n">
        <v>3.99</v>
      </c>
    </row>
    <row r="4592" customFormat="false" ht="15" hidden="false" customHeight="false" outlineLevel="0" collapsed="false">
      <c r="A4592" s="0" t="n">
        <v>3</v>
      </c>
      <c r="B4592" s="59" t="n">
        <v>46253</v>
      </c>
      <c r="C4592" s="0" t="n">
        <v>100</v>
      </c>
      <c r="D4592" s="0" t="s">
        <v>2181</v>
      </c>
      <c r="E4592" s="0" t="n">
        <v>42</v>
      </c>
      <c r="F4592" s="0" t="s">
        <v>81</v>
      </c>
      <c r="I4592" s="0" t="n">
        <v>1572742</v>
      </c>
      <c r="J4592" s="0" t="n">
        <v>110455</v>
      </c>
      <c r="K4592" s="0" t="n">
        <v>53212</v>
      </c>
      <c r="L4592" s="0" t="s">
        <v>2180</v>
      </c>
      <c r="N4592" s="0" t="n">
        <v>1.314</v>
      </c>
      <c r="O4592" s="60" t="n">
        <v>0</v>
      </c>
    </row>
    <row r="4593" customFormat="false" ht="15" hidden="false" customHeight="false" outlineLevel="0" collapsed="false">
      <c r="A4593" s="0" t="n">
        <v>3</v>
      </c>
      <c r="B4593" s="59" t="n">
        <v>46253</v>
      </c>
      <c r="C4593" s="0" t="n">
        <v>100</v>
      </c>
      <c r="D4593" s="0" t="s">
        <v>2181</v>
      </c>
      <c r="E4593" s="0" t="n">
        <v>42</v>
      </c>
      <c r="F4593" s="0" t="s">
        <v>81</v>
      </c>
      <c r="I4593" s="0" t="n">
        <v>1572746</v>
      </c>
      <c r="J4593" s="0" t="n">
        <v>100006</v>
      </c>
      <c r="K4593" s="0" t="n">
        <v>7</v>
      </c>
      <c r="L4593" s="0" t="s">
        <v>2228</v>
      </c>
      <c r="N4593" s="0" t="n">
        <v>5.89</v>
      </c>
      <c r="O4593" s="60" t="n">
        <v>197.08</v>
      </c>
    </row>
    <row r="4594" customFormat="false" ht="15" hidden="false" customHeight="false" outlineLevel="0" collapsed="false">
      <c r="A4594" s="0" t="n">
        <v>3</v>
      </c>
      <c r="B4594" s="59" t="n">
        <v>46253</v>
      </c>
      <c r="C4594" s="0" t="n">
        <v>100</v>
      </c>
      <c r="D4594" s="0" t="s">
        <v>2181</v>
      </c>
      <c r="E4594" s="0" t="n">
        <v>42</v>
      </c>
      <c r="F4594" s="0" t="s">
        <v>81</v>
      </c>
      <c r="I4594" s="0" t="n">
        <v>1572746</v>
      </c>
      <c r="J4594" s="0" t="n">
        <v>100010</v>
      </c>
      <c r="K4594" s="0" t="n">
        <v>11</v>
      </c>
      <c r="L4594" s="0" t="s">
        <v>2230</v>
      </c>
      <c r="N4594" s="0" t="n">
        <v>2.496</v>
      </c>
      <c r="O4594" s="60" t="n">
        <v>98.14</v>
      </c>
    </row>
    <row r="4595" customFormat="false" ht="15" hidden="false" customHeight="false" outlineLevel="0" collapsed="false">
      <c r="A4595" s="0" t="n">
        <v>3</v>
      </c>
      <c r="B4595" s="59" t="n">
        <v>46253</v>
      </c>
      <c r="C4595" s="0" t="n">
        <v>100</v>
      </c>
      <c r="D4595" s="0" t="s">
        <v>2181</v>
      </c>
      <c r="E4595" s="0" t="n">
        <v>42</v>
      </c>
      <c r="F4595" s="0" t="s">
        <v>81</v>
      </c>
      <c r="I4595" s="0" t="n">
        <v>1572746</v>
      </c>
      <c r="J4595" s="0" t="n">
        <v>100011</v>
      </c>
      <c r="K4595" s="0" t="n">
        <v>12</v>
      </c>
      <c r="L4595" s="0" t="s">
        <v>2231</v>
      </c>
      <c r="N4595" s="0" t="n">
        <v>5.95</v>
      </c>
      <c r="O4595" s="60" t="n">
        <v>233.94</v>
      </c>
    </row>
    <row r="4596" customFormat="false" ht="15" hidden="false" customHeight="false" outlineLevel="0" collapsed="false">
      <c r="A4596" s="0" t="n">
        <v>3</v>
      </c>
      <c r="B4596" s="59" t="n">
        <v>46253</v>
      </c>
      <c r="C4596" s="0" t="n">
        <v>100</v>
      </c>
      <c r="D4596" s="0" t="s">
        <v>2181</v>
      </c>
      <c r="E4596" s="0" t="n">
        <v>42</v>
      </c>
      <c r="F4596" s="0" t="s">
        <v>81</v>
      </c>
      <c r="I4596" s="0" t="n">
        <v>1572746</v>
      </c>
      <c r="J4596" s="0" t="n">
        <v>100012</v>
      </c>
      <c r="K4596" s="0" t="n">
        <v>13</v>
      </c>
      <c r="L4596" s="0" t="s">
        <v>2232</v>
      </c>
      <c r="N4596" s="0" t="n">
        <v>4.748</v>
      </c>
      <c r="O4596" s="60" t="n">
        <v>202.57</v>
      </c>
    </row>
    <row r="4597" customFormat="false" ht="15" hidden="false" customHeight="false" outlineLevel="0" collapsed="false">
      <c r="A4597" s="0" t="n">
        <v>3</v>
      </c>
      <c r="B4597" s="59" t="n">
        <v>46253</v>
      </c>
      <c r="C4597" s="0" t="n">
        <v>100</v>
      </c>
      <c r="D4597" s="0" t="s">
        <v>2181</v>
      </c>
      <c r="E4597" s="0" t="n">
        <v>42</v>
      </c>
      <c r="F4597" s="0" t="s">
        <v>81</v>
      </c>
      <c r="I4597" s="0" t="n">
        <v>1572746</v>
      </c>
      <c r="J4597" s="0" t="n">
        <v>100013</v>
      </c>
      <c r="K4597" s="0" t="n">
        <v>14</v>
      </c>
      <c r="L4597" s="0" t="s">
        <v>2233</v>
      </c>
      <c r="N4597" s="0" t="n">
        <v>9.415</v>
      </c>
      <c r="O4597" s="60" t="n">
        <v>433.2</v>
      </c>
    </row>
    <row r="4598" customFormat="false" ht="15" hidden="false" customHeight="false" outlineLevel="0" collapsed="false">
      <c r="A4598" s="0" t="n">
        <v>3</v>
      </c>
      <c r="B4598" s="59" t="n">
        <v>46253</v>
      </c>
      <c r="C4598" s="0" t="n">
        <v>100</v>
      </c>
      <c r="D4598" s="0" t="s">
        <v>2181</v>
      </c>
      <c r="E4598" s="0" t="n">
        <v>42</v>
      </c>
      <c r="F4598" s="0" t="s">
        <v>81</v>
      </c>
      <c r="I4598" s="0" t="n">
        <v>1572746</v>
      </c>
      <c r="J4598" s="0" t="n">
        <v>100014</v>
      </c>
      <c r="K4598" s="0" t="n">
        <v>15</v>
      </c>
      <c r="L4598" s="0" t="s">
        <v>2234</v>
      </c>
      <c r="N4598" s="0" t="n">
        <v>3.992</v>
      </c>
      <c r="O4598" s="60" t="n">
        <v>187.02</v>
      </c>
    </row>
    <row r="4599" customFormat="false" ht="15" hidden="false" customHeight="false" outlineLevel="0" collapsed="false">
      <c r="A4599" s="0" t="n">
        <v>3</v>
      </c>
      <c r="B4599" s="59" t="n">
        <v>46253</v>
      </c>
      <c r="C4599" s="0" t="n">
        <v>100</v>
      </c>
      <c r="D4599" s="0" t="s">
        <v>2181</v>
      </c>
      <c r="E4599" s="0" t="n">
        <v>42</v>
      </c>
      <c r="F4599" s="0" t="s">
        <v>81</v>
      </c>
      <c r="I4599" s="0" t="n">
        <v>1572746</v>
      </c>
      <c r="J4599" s="0" t="n">
        <v>100015</v>
      </c>
      <c r="K4599" s="0" t="n">
        <v>16</v>
      </c>
      <c r="L4599" s="0" t="s">
        <v>2235</v>
      </c>
      <c r="N4599" s="0" t="n">
        <v>1.278</v>
      </c>
      <c r="O4599" s="60" t="n">
        <v>54.53</v>
      </c>
    </row>
    <row r="4600" customFormat="false" ht="15" hidden="false" customHeight="false" outlineLevel="0" collapsed="false">
      <c r="A4600" s="0" t="n">
        <v>3</v>
      </c>
      <c r="B4600" s="59" t="n">
        <v>46253</v>
      </c>
      <c r="C4600" s="0" t="n">
        <v>100</v>
      </c>
      <c r="D4600" s="0" t="s">
        <v>2181</v>
      </c>
      <c r="E4600" s="0" t="n">
        <v>42</v>
      </c>
      <c r="F4600" s="0" t="s">
        <v>81</v>
      </c>
      <c r="I4600" s="0" t="n">
        <v>1572746</v>
      </c>
      <c r="J4600" s="0" t="n">
        <v>100017</v>
      </c>
      <c r="K4600" s="0" t="n">
        <v>18</v>
      </c>
      <c r="L4600" s="0" t="s">
        <v>2237</v>
      </c>
      <c r="N4600" s="0" t="n">
        <v>1.602</v>
      </c>
      <c r="O4600" s="60" t="n">
        <v>87.12</v>
      </c>
    </row>
    <row r="4601" customFormat="false" ht="15" hidden="false" customHeight="false" outlineLevel="0" collapsed="false">
      <c r="A4601" s="0" t="n">
        <v>3</v>
      </c>
      <c r="B4601" s="59" t="n">
        <v>46253</v>
      </c>
      <c r="C4601" s="0" t="n">
        <v>100</v>
      </c>
      <c r="D4601" s="0" t="s">
        <v>2181</v>
      </c>
      <c r="E4601" s="0" t="n">
        <v>42</v>
      </c>
      <c r="F4601" s="0" t="s">
        <v>81</v>
      </c>
      <c r="I4601" s="0" t="n">
        <v>1572746</v>
      </c>
      <c r="J4601" s="0" t="n">
        <v>100638</v>
      </c>
      <c r="K4601" s="0" t="n">
        <v>508</v>
      </c>
      <c r="L4601" s="0" t="s">
        <v>2178</v>
      </c>
      <c r="N4601" s="0" t="n">
        <v>1.714</v>
      </c>
      <c r="O4601" s="60" t="n">
        <v>2.85</v>
      </c>
    </row>
    <row r="4602" customFormat="false" ht="15" hidden="false" customHeight="false" outlineLevel="0" collapsed="false">
      <c r="A4602" s="0" t="n">
        <v>3</v>
      </c>
      <c r="B4602" s="59" t="n">
        <v>46253</v>
      </c>
      <c r="C4602" s="0" t="n">
        <v>100</v>
      </c>
      <c r="D4602" s="0" t="s">
        <v>2181</v>
      </c>
      <c r="E4602" s="0" t="n">
        <v>42</v>
      </c>
      <c r="F4602" s="0" t="s">
        <v>81</v>
      </c>
      <c r="I4602" s="0" t="n">
        <v>1572746</v>
      </c>
      <c r="J4602" s="0" t="n">
        <v>100520</v>
      </c>
      <c r="K4602" s="0" t="n">
        <v>507</v>
      </c>
      <c r="L4602" s="0" t="s">
        <v>2179</v>
      </c>
      <c r="N4602" s="0" t="n">
        <v>8.512</v>
      </c>
      <c r="O4602" s="60" t="n">
        <v>21.3</v>
      </c>
    </row>
    <row r="4603" customFormat="false" ht="15" hidden="false" customHeight="false" outlineLevel="0" collapsed="false">
      <c r="A4603" s="0" t="n">
        <v>3</v>
      </c>
      <c r="B4603" s="59" t="n">
        <v>46253</v>
      </c>
      <c r="C4603" s="0" t="n">
        <v>100</v>
      </c>
      <c r="D4603" s="0" t="s">
        <v>2181</v>
      </c>
      <c r="E4603" s="0" t="n">
        <v>42</v>
      </c>
      <c r="F4603" s="0" t="s">
        <v>81</v>
      </c>
      <c r="I4603" s="0" t="n">
        <v>1572746</v>
      </c>
      <c r="J4603" s="0" t="n">
        <v>110455</v>
      </c>
      <c r="K4603" s="0" t="n">
        <v>53212</v>
      </c>
      <c r="L4603" s="0" t="s">
        <v>2180</v>
      </c>
      <c r="N4603" s="0" t="n">
        <v>1.103</v>
      </c>
      <c r="O4603" s="60" t="n">
        <v>0</v>
      </c>
    </row>
    <row r="4604" customFormat="false" ht="15" hidden="false" customHeight="false" outlineLevel="0" collapsed="false">
      <c r="A4604" s="0" t="n">
        <v>3</v>
      </c>
      <c r="B4604" s="59" t="n">
        <v>46253</v>
      </c>
      <c r="C4604" s="0" t="n">
        <v>100</v>
      </c>
      <c r="D4604" s="0" t="s">
        <v>2181</v>
      </c>
      <c r="E4604" s="0" t="n">
        <v>42</v>
      </c>
      <c r="F4604" s="0" t="s">
        <v>81</v>
      </c>
      <c r="I4604" s="0" t="n">
        <v>1572759</v>
      </c>
      <c r="J4604" s="0" t="n">
        <v>100006</v>
      </c>
      <c r="K4604" s="0" t="n">
        <v>7</v>
      </c>
      <c r="L4604" s="0" t="s">
        <v>2228</v>
      </c>
      <c r="N4604" s="0" t="n">
        <v>5.38</v>
      </c>
      <c r="O4604" s="60" t="n">
        <v>183.65</v>
      </c>
    </row>
    <row r="4605" customFormat="false" ht="15" hidden="false" customHeight="false" outlineLevel="0" collapsed="false">
      <c r="A4605" s="0" t="n">
        <v>3</v>
      </c>
      <c r="B4605" s="59" t="n">
        <v>46253</v>
      </c>
      <c r="C4605" s="0" t="n">
        <v>100</v>
      </c>
      <c r="D4605" s="0" t="s">
        <v>2181</v>
      </c>
      <c r="E4605" s="0" t="n">
        <v>42</v>
      </c>
      <c r="F4605" s="0" t="s">
        <v>81</v>
      </c>
      <c r="I4605" s="0" t="n">
        <v>1572759</v>
      </c>
      <c r="J4605" s="0" t="n">
        <v>100008</v>
      </c>
      <c r="K4605" s="0" t="n">
        <v>9</v>
      </c>
      <c r="L4605" s="0" t="s">
        <v>2229</v>
      </c>
      <c r="N4605" s="0" t="n">
        <v>11.175</v>
      </c>
      <c r="O4605" s="60" t="n">
        <v>391</v>
      </c>
    </row>
    <row r="4606" customFormat="false" ht="15" hidden="false" customHeight="false" outlineLevel="0" collapsed="false">
      <c r="A4606" s="0" t="n">
        <v>3</v>
      </c>
      <c r="B4606" s="59" t="n">
        <v>46253</v>
      </c>
      <c r="C4606" s="0" t="n">
        <v>100</v>
      </c>
      <c r="D4606" s="0" t="s">
        <v>2181</v>
      </c>
      <c r="E4606" s="0" t="n">
        <v>42</v>
      </c>
      <c r="F4606" s="0" t="s">
        <v>81</v>
      </c>
      <c r="I4606" s="0" t="n">
        <v>1572759</v>
      </c>
      <c r="J4606" s="0" t="n">
        <v>100010</v>
      </c>
      <c r="K4606" s="0" t="n">
        <v>11</v>
      </c>
      <c r="L4606" s="0" t="s">
        <v>2230</v>
      </c>
      <c r="N4606" s="0" t="n">
        <v>1.962</v>
      </c>
      <c r="O4606" s="60" t="n">
        <v>78.7</v>
      </c>
    </row>
    <row r="4607" customFormat="false" ht="15" hidden="false" customHeight="false" outlineLevel="0" collapsed="false">
      <c r="A4607" s="0" t="n">
        <v>3</v>
      </c>
      <c r="B4607" s="59" t="n">
        <v>46253</v>
      </c>
      <c r="C4607" s="0" t="n">
        <v>100</v>
      </c>
      <c r="D4607" s="0" t="s">
        <v>2181</v>
      </c>
      <c r="E4607" s="0" t="n">
        <v>42</v>
      </c>
      <c r="F4607" s="0" t="s">
        <v>81</v>
      </c>
      <c r="I4607" s="0" t="n">
        <v>1572759</v>
      </c>
      <c r="J4607" s="0" t="n">
        <v>100011</v>
      </c>
      <c r="K4607" s="0" t="n">
        <v>12</v>
      </c>
      <c r="L4607" s="0" t="s">
        <v>2231</v>
      </c>
      <c r="N4607" s="0" t="n">
        <v>5</v>
      </c>
      <c r="O4607" s="60" t="n">
        <v>200.55</v>
      </c>
    </row>
    <row r="4608" customFormat="false" ht="15" hidden="false" customHeight="false" outlineLevel="0" collapsed="false">
      <c r="A4608" s="0" t="n">
        <v>3</v>
      </c>
      <c r="B4608" s="59" t="n">
        <v>46253</v>
      </c>
      <c r="C4608" s="0" t="n">
        <v>100</v>
      </c>
      <c r="D4608" s="0" t="s">
        <v>2181</v>
      </c>
      <c r="E4608" s="0" t="n">
        <v>42</v>
      </c>
      <c r="F4608" s="0" t="s">
        <v>81</v>
      </c>
      <c r="I4608" s="0" t="n">
        <v>1572759</v>
      </c>
      <c r="J4608" s="0" t="n">
        <v>100012</v>
      </c>
      <c r="K4608" s="0" t="n">
        <v>13</v>
      </c>
      <c r="L4608" s="0" t="s">
        <v>2232</v>
      </c>
      <c r="N4608" s="0" t="n">
        <v>4.83</v>
      </c>
      <c r="O4608" s="60" t="n">
        <v>210.22</v>
      </c>
    </row>
    <row r="4609" customFormat="false" ht="15" hidden="false" customHeight="false" outlineLevel="0" collapsed="false">
      <c r="A4609" s="0" t="n">
        <v>3</v>
      </c>
      <c r="B4609" s="59" t="n">
        <v>46253</v>
      </c>
      <c r="C4609" s="0" t="n">
        <v>100</v>
      </c>
      <c r="D4609" s="0" t="s">
        <v>2181</v>
      </c>
      <c r="E4609" s="0" t="n">
        <v>42</v>
      </c>
      <c r="F4609" s="0" t="s">
        <v>81</v>
      </c>
      <c r="I4609" s="0" t="n">
        <v>1572759</v>
      </c>
      <c r="J4609" s="0" t="n">
        <v>100013</v>
      </c>
      <c r="K4609" s="0" t="n">
        <v>14</v>
      </c>
      <c r="L4609" s="0" t="s">
        <v>2233</v>
      </c>
      <c r="N4609" s="0" t="n">
        <v>8.595</v>
      </c>
      <c r="O4609" s="60" t="n">
        <v>403.44</v>
      </c>
    </row>
    <row r="4610" customFormat="false" ht="15" hidden="false" customHeight="false" outlineLevel="0" collapsed="false">
      <c r="A4610" s="0" t="n">
        <v>3</v>
      </c>
      <c r="B4610" s="59" t="n">
        <v>46253</v>
      </c>
      <c r="C4610" s="0" t="n">
        <v>100</v>
      </c>
      <c r="D4610" s="0" t="s">
        <v>2181</v>
      </c>
      <c r="E4610" s="0" t="n">
        <v>42</v>
      </c>
      <c r="F4610" s="0" t="s">
        <v>81</v>
      </c>
      <c r="I4610" s="0" t="n">
        <v>1572759</v>
      </c>
      <c r="J4610" s="0" t="n">
        <v>100014</v>
      </c>
      <c r="K4610" s="0" t="n">
        <v>15</v>
      </c>
      <c r="L4610" s="0" t="s">
        <v>2234</v>
      </c>
      <c r="N4610" s="0" t="n">
        <v>3.784</v>
      </c>
      <c r="O4610" s="60" t="n">
        <v>180.85</v>
      </c>
    </row>
    <row r="4611" customFormat="false" ht="15" hidden="false" customHeight="false" outlineLevel="0" collapsed="false">
      <c r="A4611" s="0" t="n">
        <v>3</v>
      </c>
      <c r="B4611" s="59" t="n">
        <v>46253</v>
      </c>
      <c r="C4611" s="0" t="n">
        <v>100</v>
      </c>
      <c r="D4611" s="0" t="s">
        <v>2181</v>
      </c>
      <c r="E4611" s="0" t="n">
        <v>42</v>
      </c>
      <c r="F4611" s="0" t="s">
        <v>81</v>
      </c>
      <c r="I4611" s="0" t="n">
        <v>1572759</v>
      </c>
      <c r="J4611" s="0" t="n">
        <v>100015</v>
      </c>
      <c r="K4611" s="0" t="n">
        <v>16</v>
      </c>
      <c r="L4611" s="0" t="s">
        <v>2235</v>
      </c>
      <c r="N4611" s="0" t="n">
        <v>1.196</v>
      </c>
      <c r="O4611" s="60" t="n">
        <v>52.06</v>
      </c>
    </row>
    <row r="4612" customFormat="false" ht="15" hidden="false" customHeight="false" outlineLevel="0" collapsed="false">
      <c r="A4612" s="0" t="n">
        <v>3</v>
      </c>
      <c r="B4612" s="59" t="n">
        <v>46253</v>
      </c>
      <c r="C4612" s="0" t="n">
        <v>100</v>
      </c>
      <c r="D4612" s="0" t="s">
        <v>2181</v>
      </c>
      <c r="E4612" s="0" t="n">
        <v>42</v>
      </c>
      <c r="F4612" s="0" t="s">
        <v>81</v>
      </c>
      <c r="I4612" s="0" t="n">
        <v>1572759</v>
      </c>
      <c r="J4612" s="0" t="n">
        <v>100016</v>
      </c>
      <c r="K4612" s="0" t="n">
        <v>17</v>
      </c>
      <c r="L4612" s="0" t="s">
        <v>2236</v>
      </c>
      <c r="N4612" s="0" t="n">
        <v>1.604</v>
      </c>
      <c r="O4612" s="60" t="n">
        <v>75.29</v>
      </c>
    </row>
    <row r="4613" customFormat="false" ht="15" hidden="false" customHeight="false" outlineLevel="0" collapsed="false">
      <c r="A4613" s="0" t="n">
        <v>3</v>
      </c>
      <c r="B4613" s="59" t="n">
        <v>46253</v>
      </c>
      <c r="C4613" s="0" t="n">
        <v>100</v>
      </c>
      <c r="D4613" s="0" t="s">
        <v>2181</v>
      </c>
      <c r="E4613" s="0" t="n">
        <v>42</v>
      </c>
      <c r="F4613" s="0" t="s">
        <v>81</v>
      </c>
      <c r="I4613" s="0" t="n">
        <v>1572759</v>
      </c>
      <c r="J4613" s="0" t="n">
        <v>100017</v>
      </c>
      <c r="K4613" s="0" t="n">
        <v>18</v>
      </c>
      <c r="L4613" s="0" t="s">
        <v>2237</v>
      </c>
      <c r="N4613" s="0" t="n">
        <v>1.286</v>
      </c>
      <c r="O4613" s="60" t="n">
        <v>71.34</v>
      </c>
    </row>
    <row r="4614" customFormat="false" ht="15" hidden="false" customHeight="false" outlineLevel="0" collapsed="false">
      <c r="A4614" s="0" t="n">
        <v>3</v>
      </c>
      <c r="B4614" s="59" t="n">
        <v>46253</v>
      </c>
      <c r="C4614" s="0" t="n">
        <v>100</v>
      </c>
      <c r="D4614" s="0" t="s">
        <v>2181</v>
      </c>
      <c r="E4614" s="0" t="n">
        <v>42</v>
      </c>
      <c r="F4614" s="0" t="s">
        <v>81</v>
      </c>
      <c r="I4614" s="0" t="n">
        <v>1572759</v>
      </c>
      <c r="J4614" s="0" t="n">
        <v>100053</v>
      </c>
      <c r="K4614" s="0" t="n">
        <v>54</v>
      </c>
      <c r="L4614" s="0" t="s">
        <v>2238</v>
      </c>
      <c r="N4614" s="0" t="n">
        <v>1.95</v>
      </c>
      <c r="O4614" s="60" t="n">
        <v>74.89</v>
      </c>
    </row>
    <row r="4615" customFormat="false" ht="15" hidden="false" customHeight="false" outlineLevel="0" collapsed="false">
      <c r="A4615" s="0" t="n">
        <v>3</v>
      </c>
      <c r="B4615" s="59" t="n">
        <v>46253</v>
      </c>
      <c r="C4615" s="0" t="n">
        <v>100</v>
      </c>
      <c r="D4615" s="0" t="s">
        <v>2181</v>
      </c>
      <c r="E4615" s="0" t="n">
        <v>42</v>
      </c>
      <c r="F4615" s="0" t="s">
        <v>81</v>
      </c>
      <c r="I4615" s="0" t="n">
        <v>1572759</v>
      </c>
      <c r="J4615" s="0" t="n">
        <v>100638</v>
      </c>
      <c r="K4615" s="0" t="n">
        <v>508</v>
      </c>
      <c r="L4615" s="0" t="s">
        <v>2178</v>
      </c>
      <c r="N4615" s="0" t="n">
        <v>1.972</v>
      </c>
      <c r="O4615" s="60" t="n">
        <v>3.35</v>
      </c>
    </row>
    <row r="4616" customFormat="false" ht="15" hidden="false" customHeight="false" outlineLevel="0" collapsed="false">
      <c r="A4616" s="0" t="n">
        <v>3</v>
      </c>
      <c r="B4616" s="59" t="n">
        <v>46253</v>
      </c>
      <c r="C4616" s="0" t="n">
        <v>100</v>
      </c>
      <c r="D4616" s="0" t="s">
        <v>2181</v>
      </c>
      <c r="E4616" s="0" t="n">
        <v>42</v>
      </c>
      <c r="F4616" s="0" t="s">
        <v>81</v>
      </c>
      <c r="I4616" s="0" t="n">
        <v>1572759</v>
      </c>
      <c r="J4616" s="0" t="n">
        <v>100520</v>
      </c>
      <c r="K4616" s="0" t="n">
        <v>507</v>
      </c>
      <c r="L4616" s="0" t="s">
        <v>2179</v>
      </c>
      <c r="N4616" s="0" t="n">
        <v>9.67</v>
      </c>
      <c r="O4616" s="60" t="n">
        <v>24.68</v>
      </c>
    </row>
    <row r="4617" customFormat="false" ht="15" hidden="false" customHeight="false" outlineLevel="0" collapsed="false">
      <c r="A4617" s="0" t="n">
        <v>3</v>
      </c>
      <c r="B4617" s="59" t="n">
        <v>46253</v>
      </c>
      <c r="C4617" s="0" t="n">
        <v>100</v>
      </c>
      <c r="D4617" s="0" t="s">
        <v>2181</v>
      </c>
      <c r="E4617" s="0" t="n">
        <v>42</v>
      </c>
      <c r="F4617" s="0" t="s">
        <v>81</v>
      </c>
      <c r="I4617" s="0" t="n">
        <v>1572759</v>
      </c>
      <c r="J4617" s="0" t="n">
        <v>110455</v>
      </c>
      <c r="K4617" s="0" t="n">
        <v>53212</v>
      </c>
      <c r="L4617" s="0" t="s">
        <v>2180</v>
      </c>
      <c r="N4617" s="0" t="n">
        <v>1.596</v>
      </c>
      <c r="O4617" s="60" t="n">
        <v>0</v>
      </c>
    </row>
    <row r="4618" customFormat="false" ht="15" hidden="false" customHeight="false" outlineLevel="0" collapsed="false">
      <c r="A4618" s="0" t="n">
        <v>3</v>
      </c>
      <c r="B4618" s="59" t="n">
        <v>46254</v>
      </c>
      <c r="C4618" s="0" t="n">
        <v>6</v>
      </c>
      <c r="D4618" s="0" t="s">
        <v>2125</v>
      </c>
      <c r="E4618" s="0" t="n">
        <v>42</v>
      </c>
      <c r="F4618" s="0" t="s">
        <v>81</v>
      </c>
      <c r="I4618" s="0" t="n">
        <v>4523</v>
      </c>
      <c r="J4618" s="0" t="n">
        <v>109791</v>
      </c>
      <c r="K4618" s="0" t="n">
        <v>9667</v>
      </c>
      <c r="L4618" s="0" t="s">
        <v>2123</v>
      </c>
      <c r="N4618" s="0" t="n">
        <v>6</v>
      </c>
      <c r="O4618" s="60" t="n">
        <v>15</v>
      </c>
    </row>
    <row r="4619" customFormat="false" ht="15" hidden="false" customHeight="false" outlineLevel="0" collapsed="false">
      <c r="A4619" s="0" t="n">
        <v>3</v>
      </c>
      <c r="B4619" s="59" t="n">
        <v>46254</v>
      </c>
      <c r="C4619" s="0" t="n">
        <v>6</v>
      </c>
      <c r="D4619" s="0" t="s">
        <v>2125</v>
      </c>
      <c r="E4619" s="0" t="n">
        <v>42</v>
      </c>
      <c r="F4619" s="0" t="s">
        <v>81</v>
      </c>
      <c r="I4619" s="0" t="n">
        <v>4523</v>
      </c>
      <c r="J4619" s="0" t="n">
        <v>37359</v>
      </c>
      <c r="K4619" s="0" t="n">
        <v>55526</v>
      </c>
      <c r="L4619" s="0" t="s">
        <v>2194</v>
      </c>
      <c r="N4619" s="0" t="n">
        <v>7</v>
      </c>
      <c r="O4619" s="60" t="n">
        <v>42</v>
      </c>
    </row>
    <row r="4620" customFormat="false" ht="15" hidden="false" customHeight="false" outlineLevel="0" collapsed="false">
      <c r="A4620" s="0" t="n">
        <v>3</v>
      </c>
      <c r="B4620" s="59" t="n">
        <v>46254</v>
      </c>
      <c r="C4620" s="0" t="n">
        <v>6</v>
      </c>
      <c r="D4620" s="0" t="s">
        <v>2125</v>
      </c>
      <c r="E4620" s="0" t="n">
        <v>42</v>
      </c>
      <c r="F4620" s="0" t="s">
        <v>81</v>
      </c>
      <c r="I4620" s="0" t="n">
        <v>4523</v>
      </c>
      <c r="J4620" s="0" t="n">
        <v>37361</v>
      </c>
      <c r="K4620" s="0" t="n">
        <v>2240817</v>
      </c>
      <c r="L4620" s="0" t="s">
        <v>2124</v>
      </c>
      <c r="N4620" s="0" t="n">
        <v>50</v>
      </c>
      <c r="O4620" s="60" t="n">
        <v>100</v>
      </c>
    </row>
    <row r="4621" customFormat="false" ht="15" hidden="false" customHeight="false" outlineLevel="0" collapsed="false">
      <c r="A4621" s="0" t="n">
        <v>3</v>
      </c>
      <c r="B4621" s="59" t="n">
        <v>46254</v>
      </c>
      <c r="C4621" s="0" t="n">
        <v>6</v>
      </c>
      <c r="D4621" s="0" t="s">
        <v>2125</v>
      </c>
      <c r="E4621" s="0" t="n">
        <v>42</v>
      </c>
      <c r="F4621" s="0" t="s">
        <v>81</v>
      </c>
      <c r="I4621" s="0" t="n">
        <v>4524</v>
      </c>
      <c r="J4621" s="0" t="n">
        <v>100103</v>
      </c>
      <c r="K4621" s="0" t="n">
        <v>104</v>
      </c>
      <c r="L4621" s="0" t="s">
        <v>2193</v>
      </c>
      <c r="N4621" s="0" t="n">
        <v>40</v>
      </c>
      <c r="O4621" s="60" t="n">
        <v>250</v>
      </c>
    </row>
    <row r="4622" customFormat="false" ht="15" hidden="false" customHeight="false" outlineLevel="0" collapsed="false">
      <c r="A4622" s="0" t="n">
        <v>3</v>
      </c>
      <c r="B4622" s="59" t="n">
        <v>46254</v>
      </c>
      <c r="C4622" s="0" t="n">
        <v>6</v>
      </c>
      <c r="D4622" s="0" t="s">
        <v>2125</v>
      </c>
      <c r="E4622" s="0" t="n">
        <v>42</v>
      </c>
      <c r="F4622" s="0" t="s">
        <v>81</v>
      </c>
      <c r="I4622" s="0" t="n">
        <v>4525</v>
      </c>
      <c r="J4622" s="0" t="n">
        <v>74674</v>
      </c>
      <c r="K4622" s="0" t="n">
        <v>741</v>
      </c>
      <c r="L4622" s="0" t="s">
        <v>2473</v>
      </c>
      <c r="N4622" s="0" t="n">
        <v>50</v>
      </c>
      <c r="O4622" s="60" t="n">
        <v>650</v>
      </c>
    </row>
    <row r="4623" customFormat="false" ht="15" hidden="false" customHeight="false" outlineLevel="0" collapsed="false">
      <c r="A4623" s="0" t="n">
        <v>3</v>
      </c>
      <c r="B4623" s="59" t="n">
        <v>46254</v>
      </c>
      <c r="C4623" s="0" t="n">
        <v>6</v>
      </c>
      <c r="D4623" s="0" t="s">
        <v>2125</v>
      </c>
      <c r="E4623" s="0" t="n">
        <v>42</v>
      </c>
      <c r="F4623" s="0" t="s">
        <v>81</v>
      </c>
      <c r="I4623" s="0" t="n">
        <v>4526</v>
      </c>
      <c r="J4623" s="0" t="n">
        <v>100112</v>
      </c>
      <c r="K4623" s="0" t="n">
        <v>113</v>
      </c>
      <c r="L4623" s="0" t="s">
        <v>2263</v>
      </c>
      <c r="N4623" s="0" t="n">
        <v>12.462</v>
      </c>
      <c r="O4623" s="60" t="n">
        <v>37.38</v>
      </c>
    </row>
    <row r="4624" customFormat="false" ht="15" hidden="false" customHeight="false" outlineLevel="0" collapsed="false">
      <c r="A4624" s="0" t="n">
        <v>3</v>
      </c>
      <c r="B4624" s="59" t="n">
        <v>46254</v>
      </c>
      <c r="C4624" s="0" t="n">
        <v>11</v>
      </c>
      <c r="D4624" s="0" t="s">
        <v>2126</v>
      </c>
      <c r="E4624" s="0" t="n">
        <v>10096</v>
      </c>
      <c r="F4624" s="0" t="s">
        <v>1235</v>
      </c>
      <c r="I4624" s="0" t="n">
        <v>183</v>
      </c>
      <c r="J4624" s="0" t="n">
        <v>61580</v>
      </c>
      <c r="K4624" s="0" t="n">
        <v>2258157</v>
      </c>
      <c r="L4624" s="0" t="s">
        <v>3008</v>
      </c>
      <c r="N4624" s="0" t="n">
        <v>20</v>
      </c>
      <c r="O4624" s="60" t="n">
        <v>240</v>
      </c>
    </row>
    <row r="4625" customFormat="false" ht="15" hidden="false" customHeight="false" outlineLevel="0" collapsed="false">
      <c r="A4625" s="0" t="n">
        <v>3</v>
      </c>
      <c r="B4625" s="59" t="n">
        <v>46254</v>
      </c>
      <c r="C4625" s="0" t="n">
        <v>11</v>
      </c>
      <c r="D4625" s="0" t="s">
        <v>2126</v>
      </c>
      <c r="E4625" s="0" t="n">
        <v>736</v>
      </c>
      <c r="F4625" s="0" t="s">
        <v>1605</v>
      </c>
      <c r="I4625" s="0" t="n">
        <v>195</v>
      </c>
      <c r="J4625" s="0" t="n">
        <v>53774</v>
      </c>
      <c r="K4625" s="0" t="n">
        <v>7898931445990</v>
      </c>
      <c r="L4625" s="0" t="s">
        <v>3985</v>
      </c>
      <c r="N4625" s="0" t="n">
        <v>60</v>
      </c>
      <c r="O4625" s="60" t="n">
        <v>198</v>
      </c>
    </row>
    <row r="4626" customFormat="false" ht="15" hidden="false" customHeight="false" outlineLevel="0" collapsed="false">
      <c r="A4626" s="0" t="n">
        <v>3</v>
      </c>
      <c r="B4626" s="59" t="n">
        <v>46254</v>
      </c>
      <c r="C4626" s="0" t="n">
        <v>11</v>
      </c>
      <c r="D4626" s="0" t="s">
        <v>2126</v>
      </c>
      <c r="E4626" s="0" t="n">
        <v>736</v>
      </c>
      <c r="F4626" s="0" t="s">
        <v>1605</v>
      </c>
      <c r="I4626" s="0" t="n">
        <v>195</v>
      </c>
      <c r="J4626" s="0" t="n">
        <v>72211</v>
      </c>
      <c r="K4626" s="0" t="n">
        <v>7453038481205</v>
      </c>
      <c r="L4626" s="0" t="s">
        <v>3986</v>
      </c>
      <c r="N4626" s="0" t="n">
        <v>12</v>
      </c>
      <c r="O4626" s="60" t="n">
        <v>156</v>
      </c>
    </row>
    <row r="4627" customFormat="false" ht="15" hidden="false" customHeight="false" outlineLevel="0" collapsed="false">
      <c r="A4627" s="0" t="n">
        <v>3</v>
      </c>
      <c r="B4627" s="59" t="n">
        <v>46254</v>
      </c>
      <c r="C4627" s="0" t="n">
        <v>11</v>
      </c>
      <c r="D4627" s="0" t="s">
        <v>2126</v>
      </c>
      <c r="E4627" s="0" t="n">
        <v>1668</v>
      </c>
      <c r="F4627" s="0" t="s">
        <v>160</v>
      </c>
      <c r="I4627" s="0" t="n">
        <v>746264</v>
      </c>
      <c r="J4627" s="0" t="n">
        <v>38862</v>
      </c>
      <c r="K4627" s="0" t="n">
        <v>2242361</v>
      </c>
      <c r="L4627" s="0" t="s">
        <v>3987</v>
      </c>
      <c r="N4627" s="0" t="n">
        <v>100</v>
      </c>
      <c r="O4627" s="60" t="n">
        <v>274.14</v>
      </c>
    </row>
    <row r="4628" customFormat="false" ht="15" hidden="false" customHeight="false" outlineLevel="0" collapsed="false">
      <c r="A4628" s="0" t="n">
        <v>3</v>
      </c>
      <c r="B4628" s="59" t="n">
        <v>46254</v>
      </c>
      <c r="C4628" s="0" t="n">
        <v>11</v>
      </c>
      <c r="D4628" s="0" t="s">
        <v>2126</v>
      </c>
      <c r="E4628" s="0" t="n">
        <v>1642</v>
      </c>
      <c r="F4628" s="0" t="s">
        <v>276</v>
      </c>
      <c r="I4628" s="0" t="n">
        <v>1037767</v>
      </c>
      <c r="J4628" s="0" t="n">
        <v>104335</v>
      </c>
      <c r="K4628" s="0" t="n">
        <v>7896289210512</v>
      </c>
      <c r="L4628" s="0" t="s">
        <v>2734</v>
      </c>
      <c r="N4628" s="0" t="n">
        <v>6</v>
      </c>
      <c r="O4628" s="60" t="n">
        <v>51.6</v>
      </c>
    </row>
    <row r="4629" customFormat="false" ht="15" hidden="false" customHeight="false" outlineLevel="0" collapsed="false">
      <c r="A4629" s="0" t="n">
        <v>3</v>
      </c>
      <c r="B4629" s="59" t="n">
        <v>46254</v>
      </c>
      <c r="C4629" s="0" t="n">
        <v>11</v>
      </c>
      <c r="D4629" s="0" t="s">
        <v>2126</v>
      </c>
      <c r="E4629" s="0" t="n">
        <v>1642</v>
      </c>
      <c r="F4629" s="0" t="s">
        <v>276</v>
      </c>
      <c r="I4629" s="0" t="n">
        <v>1037767</v>
      </c>
      <c r="J4629" s="0" t="n">
        <v>105780</v>
      </c>
      <c r="K4629" s="0" t="n">
        <v>7896289210017</v>
      </c>
      <c r="L4629" s="0" t="s">
        <v>2186</v>
      </c>
      <c r="N4629" s="0" t="n">
        <v>7</v>
      </c>
      <c r="O4629" s="60" t="n">
        <v>74.69</v>
      </c>
    </row>
    <row r="4630" customFormat="false" ht="15" hidden="false" customHeight="false" outlineLevel="0" collapsed="false">
      <c r="A4630" s="0" t="n">
        <v>3</v>
      </c>
      <c r="B4630" s="59" t="n">
        <v>46254</v>
      </c>
      <c r="C4630" s="0" t="n">
        <v>11</v>
      </c>
      <c r="D4630" s="0" t="s">
        <v>2126</v>
      </c>
      <c r="E4630" s="0" t="n">
        <v>1642</v>
      </c>
      <c r="F4630" s="0" t="s">
        <v>276</v>
      </c>
      <c r="I4630" s="0" t="n">
        <v>1037767</v>
      </c>
      <c r="J4630" s="0" t="n">
        <v>105782</v>
      </c>
      <c r="K4630" s="0" t="n">
        <v>7896289210352</v>
      </c>
      <c r="L4630" s="0" t="s">
        <v>2187</v>
      </c>
      <c r="N4630" s="0" t="n">
        <v>7</v>
      </c>
      <c r="O4630" s="60" t="n">
        <v>48.02</v>
      </c>
    </row>
    <row r="4631" customFormat="false" ht="15" hidden="false" customHeight="false" outlineLevel="0" collapsed="false">
      <c r="A4631" s="0" t="n">
        <v>3</v>
      </c>
      <c r="B4631" s="59" t="n">
        <v>46254</v>
      </c>
      <c r="C4631" s="0" t="n">
        <v>11</v>
      </c>
      <c r="D4631" s="0" t="s">
        <v>2126</v>
      </c>
      <c r="E4631" s="0" t="n">
        <v>1642</v>
      </c>
      <c r="F4631" s="0" t="s">
        <v>276</v>
      </c>
      <c r="I4631" s="0" t="n">
        <v>1037767</v>
      </c>
      <c r="J4631" s="0" t="n">
        <v>106079</v>
      </c>
      <c r="K4631" s="0" t="n">
        <v>7896289210130</v>
      </c>
      <c r="L4631" s="0" t="s">
        <v>2188</v>
      </c>
      <c r="N4631" s="0" t="n">
        <v>7</v>
      </c>
      <c r="O4631" s="60" t="n">
        <v>95.9</v>
      </c>
    </row>
    <row r="4632" customFormat="false" ht="15" hidden="false" customHeight="false" outlineLevel="0" collapsed="false">
      <c r="A4632" s="0" t="n">
        <v>3</v>
      </c>
      <c r="B4632" s="59" t="n">
        <v>46254</v>
      </c>
      <c r="C4632" s="0" t="n">
        <v>11</v>
      </c>
      <c r="D4632" s="0" t="s">
        <v>2126</v>
      </c>
      <c r="E4632" s="0" t="n">
        <v>1642</v>
      </c>
      <c r="F4632" s="0" t="s">
        <v>276</v>
      </c>
      <c r="I4632" s="0" t="n">
        <v>1037767</v>
      </c>
      <c r="J4632" s="0" t="n">
        <v>106274</v>
      </c>
      <c r="K4632" s="0" t="n">
        <v>7896289210086</v>
      </c>
      <c r="L4632" s="0" t="s">
        <v>2189</v>
      </c>
      <c r="N4632" s="0" t="n">
        <v>6</v>
      </c>
      <c r="O4632" s="60" t="n">
        <v>75.36</v>
      </c>
    </row>
    <row r="4633" customFormat="false" ht="15" hidden="false" customHeight="false" outlineLevel="0" collapsed="false">
      <c r="A4633" s="0" t="n">
        <v>3</v>
      </c>
      <c r="B4633" s="59" t="n">
        <v>46254</v>
      </c>
      <c r="C4633" s="0" t="n">
        <v>11</v>
      </c>
      <c r="D4633" s="0" t="s">
        <v>2126</v>
      </c>
      <c r="E4633" s="0" t="n">
        <v>1642</v>
      </c>
      <c r="F4633" s="0" t="s">
        <v>276</v>
      </c>
      <c r="I4633" s="0" t="n">
        <v>1037767</v>
      </c>
      <c r="J4633" s="0" t="n">
        <v>106280</v>
      </c>
      <c r="K4633" s="0" t="n">
        <v>7896289210062</v>
      </c>
      <c r="L4633" s="0" t="s">
        <v>2190</v>
      </c>
      <c r="N4633" s="0" t="n">
        <v>6</v>
      </c>
      <c r="O4633" s="60" t="n">
        <v>75.36</v>
      </c>
    </row>
    <row r="4634" customFormat="false" ht="15" hidden="false" customHeight="false" outlineLevel="0" collapsed="false">
      <c r="A4634" s="0" t="n">
        <v>3</v>
      </c>
      <c r="B4634" s="59" t="n">
        <v>46254</v>
      </c>
      <c r="C4634" s="0" t="n">
        <v>11</v>
      </c>
      <c r="D4634" s="0" t="s">
        <v>2126</v>
      </c>
      <c r="E4634" s="0" t="n">
        <v>1642</v>
      </c>
      <c r="F4634" s="0" t="s">
        <v>276</v>
      </c>
      <c r="I4634" s="0" t="n">
        <v>1037767</v>
      </c>
      <c r="J4634" s="0" t="n">
        <v>106407</v>
      </c>
      <c r="K4634" s="0" t="n">
        <v>7896289210031</v>
      </c>
      <c r="L4634" s="0" t="s">
        <v>2191</v>
      </c>
      <c r="N4634" s="0" t="n">
        <v>7</v>
      </c>
      <c r="O4634" s="60" t="n">
        <v>81.48</v>
      </c>
    </row>
    <row r="4635" customFormat="false" ht="15" hidden="false" customHeight="false" outlineLevel="0" collapsed="false">
      <c r="A4635" s="0" t="n">
        <v>3</v>
      </c>
      <c r="B4635" s="59" t="n">
        <v>46254</v>
      </c>
      <c r="C4635" s="0" t="n">
        <v>11</v>
      </c>
      <c r="D4635" s="0" t="s">
        <v>2126</v>
      </c>
      <c r="E4635" s="0" t="n">
        <v>1608</v>
      </c>
      <c r="F4635" s="0" t="s">
        <v>42</v>
      </c>
      <c r="I4635" s="0" t="n">
        <v>1715032</v>
      </c>
      <c r="J4635" s="0" t="n">
        <v>107088</v>
      </c>
      <c r="K4635" s="0" t="n">
        <v>7896828000482</v>
      </c>
      <c r="L4635" s="0" t="s">
        <v>3988</v>
      </c>
      <c r="N4635" s="0" t="n">
        <v>12</v>
      </c>
      <c r="O4635" s="60" t="n">
        <v>67.44</v>
      </c>
    </row>
    <row r="4636" customFormat="false" ht="15" hidden="false" customHeight="false" outlineLevel="0" collapsed="false">
      <c r="A4636" s="0" t="n">
        <v>3</v>
      </c>
      <c r="B4636" s="59" t="n">
        <v>46254</v>
      </c>
      <c r="C4636" s="0" t="n">
        <v>11</v>
      </c>
      <c r="D4636" s="0" t="s">
        <v>2126</v>
      </c>
      <c r="E4636" s="0" t="n">
        <v>1608</v>
      </c>
      <c r="F4636" s="0" t="s">
        <v>42</v>
      </c>
      <c r="I4636" s="0" t="n">
        <v>1715032</v>
      </c>
      <c r="J4636" s="0" t="n">
        <v>102366</v>
      </c>
      <c r="K4636" s="0" t="n">
        <v>7894321722016</v>
      </c>
      <c r="L4636" s="0" t="s">
        <v>3989</v>
      </c>
      <c r="N4636" s="0" t="n">
        <v>81</v>
      </c>
      <c r="O4636" s="60" t="n">
        <v>205.74</v>
      </c>
    </row>
    <row r="4637" customFormat="false" ht="15" hidden="false" customHeight="false" outlineLevel="0" collapsed="false">
      <c r="A4637" s="0" t="n">
        <v>3</v>
      </c>
      <c r="B4637" s="59" t="n">
        <v>46254</v>
      </c>
      <c r="C4637" s="0" t="n">
        <v>11</v>
      </c>
      <c r="D4637" s="0" t="s">
        <v>2126</v>
      </c>
      <c r="E4637" s="0" t="n">
        <v>1608</v>
      </c>
      <c r="F4637" s="0" t="s">
        <v>42</v>
      </c>
      <c r="I4637" s="0" t="n">
        <v>1715032</v>
      </c>
      <c r="J4637" s="0" t="n">
        <v>104454</v>
      </c>
      <c r="K4637" s="0" t="n">
        <v>7892840142124</v>
      </c>
      <c r="L4637" s="0" t="s">
        <v>3062</v>
      </c>
      <c r="N4637" s="0" t="n">
        <v>20</v>
      </c>
      <c r="O4637" s="60" t="n">
        <v>44</v>
      </c>
    </row>
    <row r="4638" customFormat="false" ht="15" hidden="false" customHeight="false" outlineLevel="0" collapsed="false">
      <c r="A4638" s="0" t="n">
        <v>3</v>
      </c>
      <c r="B4638" s="59" t="n">
        <v>46254</v>
      </c>
      <c r="C4638" s="0" t="n">
        <v>11</v>
      </c>
      <c r="D4638" s="0" t="s">
        <v>2126</v>
      </c>
      <c r="E4638" s="0" t="n">
        <v>1608</v>
      </c>
      <c r="F4638" s="0" t="s">
        <v>42</v>
      </c>
      <c r="I4638" s="0" t="n">
        <v>1715032</v>
      </c>
      <c r="J4638" s="0" t="n">
        <v>11626</v>
      </c>
      <c r="K4638" s="0" t="n">
        <v>7896828000239</v>
      </c>
      <c r="L4638" s="0" t="s">
        <v>3990</v>
      </c>
      <c r="N4638" s="0" t="n">
        <v>12</v>
      </c>
      <c r="O4638" s="60" t="n">
        <v>167.04</v>
      </c>
    </row>
    <row r="4639" customFormat="false" ht="15" hidden="false" customHeight="false" outlineLevel="0" collapsed="false">
      <c r="A4639" s="0" t="n">
        <v>3</v>
      </c>
      <c r="B4639" s="59" t="n">
        <v>46254</v>
      </c>
      <c r="C4639" s="0" t="n">
        <v>11</v>
      </c>
      <c r="D4639" s="0" t="s">
        <v>2126</v>
      </c>
      <c r="E4639" s="0" t="n">
        <v>1608</v>
      </c>
      <c r="F4639" s="0" t="s">
        <v>42</v>
      </c>
      <c r="I4639" s="0" t="n">
        <v>1715032</v>
      </c>
      <c r="J4639" s="0" t="n">
        <v>36474</v>
      </c>
      <c r="K4639" s="0" t="n">
        <v>7892840815745</v>
      </c>
      <c r="L4639" s="0" t="s">
        <v>3066</v>
      </c>
      <c r="N4639" s="0" t="n">
        <v>20</v>
      </c>
      <c r="O4639" s="60" t="n">
        <v>44</v>
      </c>
    </row>
    <row r="4640" customFormat="false" ht="15" hidden="false" customHeight="false" outlineLevel="0" collapsed="false">
      <c r="A4640" s="0" t="n">
        <v>3</v>
      </c>
      <c r="B4640" s="59" t="n">
        <v>46254</v>
      </c>
      <c r="C4640" s="0" t="n">
        <v>11</v>
      </c>
      <c r="D4640" s="0" t="s">
        <v>2126</v>
      </c>
      <c r="E4640" s="0" t="n">
        <v>1608</v>
      </c>
      <c r="F4640" s="0" t="s">
        <v>42</v>
      </c>
      <c r="I4640" s="0" t="n">
        <v>1715032</v>
      </c>
      <c r="J4640" s="0" t="n">
        <v>65341</v>
      </c>
      <c r="K4640" s="0" t="n">
        <v>7892840822309</v>
      </c>
      <c r="L4640" s="0" t="s">
        <v>3067</v>
      </c>
      <c r="N4640" s="0" t="n">
        <v>56</v>
      </c>
      <c r="O4640" s="60" t="n">
        <v>186.48</v>
      </c>
    </row>
    <row r="4641" customFormat="false" ht="15" hidden="false" customHeight="false" outlineLevel="0" collapsed="false">
      <c r="A4641" s="0" t="n">
        <v>3</v>
      </c>
      <c r="B4641" s="59" t="n">
        <v>46254</v>
      </c>
      <c r="C4641" s="0" t="n">
        <v>11</v>
      </c>
      <c r="D4641" s="0" t="s">
        <v>2126</v>
      </c>
      <c r="E4641" s="0" t="n">
        <v>1608</v>
      </c>
      <c r="F4641" s="0" t="s">
        <v>42</v>
      </c>
      <c r="I4641" s="0" t="n">
        <v>1715032</v>
      </c>
      <c r="J4641" s="0" t="n">
        <v>65342</v>
      </c>
      <c r="K4641" s="0" t="n">
        <v>7892840822446</v>
      </c>
      <c r="L4641" s="0" t="s">
        <v>3068</v>
      </c>
      <c r="N4641" s="0" t="n">
        <v>6</v>
      </c>
      <c r="O4641" s="60" t="n">
        <v>80.04</v>
      </c>
    </row>
    <row r="4642" customFormat="false" ht="15" hidden="false" customHeight="false" outlineLevel="0" collapsed="false">
      <c r="A4642" s="0" t="n">
        <v>3</v>
      </c>
      <c r="B4642" s="59" t="n">
        <v>46254</v>
      </c>
      <c r="C4642" s="0" t="n">
        <v>11</v>
      </c>
      <c r="D4642" s="0" t="s">
        <v>2126</v>
      </c>
      <c r="E4642" s="0" t="n">
        <v>1608</v>
      </c>
      <c r="F4642" s="0" t="s">
        <v>42</v>
      </c>
      <c r="I4642" s="0" t="n">
        <v>1715032</v>
      </c>
      <c r="J4642" s="0" t="n">
        <v>65383</v>
      </c>
      <c r="K4642" s="0" t="n">
        <v>7892840822859</v>
      </c>
      <c r="L4642" s="0" t="s">
        <v>3069</v>
      </c>
      <c r="N4642" s="0" t="n">
        <v>4</v>
      </c>
      <c r="O4642" s="60" t="n">
        <v>10.6</v>
      </c>
    </row>
    <row r="4643" customFormat="false" ht="15" hidden="false" customHeight="false" outlineLevel="0" collapsed="false">
      <c r="A4643" s="0" t="n">
        <v>3</v>
      </c>
      <c r="B4643" s="59" t="n">
        <v>46254</v>
      </c>
      <c r="C4643" s="0" t="n">
        <v>11</v>
      </c>
      <c r="D4643" s="0" t="s">
        <v>2126</v>
      </c>
      <c r="E4643" s="0" t="n">
        <v>1608</v>
      </c>
      <c r="F4643" s="0" t="s">
        <v>42</v>
      </c>
      <c r="I4643" s="0" t="n">
        <v>1715032</v>
      </c>
      <c r="J4643" s="0" t="n">
        <v>65592</v>
      </c>
      <c r="K4643" s="0" t="n">
        <v>7892840822286</v>
      </c>
      <c r="L4643" s="0" t="s">
        <v>3070</v>
      </c>
      <c r="N4643" s="0" t="n">
        <v>20</v>
      </c>
      <c r="O4643" s="60" t="n">
        <v>66.6</v>
      </c>
    </row>
    <row r="4644" customFormat="false" ht="15" hidden="false" customHeight="false" outlineLevel="0" collapsed="false">
      <c r="A4644" s="0" t="n">
        <v>3</v>
      </c>
      <c r="B4644" s="59" t="n">
        <v>46254</v>
      </c>
      <c r="C4644" s="0" t="n">
        <v>11</v>
      </c>
      <c r="D4644" s="0" t="s">
        <v>2126</v>
      </c>
      <c r="E4644" s="0" t="n">
        <v>1608</v>
      </c>
      <c r="F4644" s="0" t="s">
        <v>42</v>
      </c>
      <c r="I4644" s="0" t="n">
        <v>1715032</v>
      </c>
      <c r="J4644" s="0" t="n">
        <v>65597</v>
      </c>
      <c r="K4644" s="0" t="n">
        <v>7892840822736</v>
      </c>
      <c r="L4644" s="0" t="s">
        <v>3071</v>
      </c>
      <c r="N4644" s="0" t="n">
        <v>3</v>
      </c>
      <c r="O4644" s="60" t="n">
        <v>37.71</v>
      </c>
    </row>
    <row r="4645" customFormat="false" ht="15" hidden="false" customHeight="false" outlineLevel="0" collapsed="false">
      <c r="A4645" s="0" t="n">
        <v>3</v>
      </c>
      <c r="B4645" s="59" t="n">
        <v>46254</v>
      </c>
      <c r="C4645" s="0" t="n">
        <v>11</v>
      </c>
      <c r="D4645" s="0" t="s">
        <v>2126</v>
      </c>
      <c r="E4645" s="0" t="n">
        <v>1608</v>
      </c>
      <c r="F4645" s="0" t="s">
        <v>42</v>
      </c>
      <c r="I4645" s="0" t="n">
        <v>1715032</v>
      </c>
      <c r="J4645" s="0" t="n">
        <v>65725</v>
      </c>
      <c r="K4645" s="0" t="n">
        <v>7892840822866</v>
      </c>
      <c r="L4645" s="0" t="s">
        <v>3073</v>
      </c>
      <c r="N4645" s="0" t="n">
        <v>4</v>
      </c>
      <c r="O4645" s="60" t="n">
        <v>10.6</v>
      </c>
    </row>
    <row r="4646" customFormat="false" ht="15" hidden="false" customHeight="false" outlineLevel="0" collapsed="false">
      <c r="A4646" s="0" t="n">
        <v>3</v>
      </c>
      <c r="B4646" s="59" t="n">
        <v>46254</v>
      </c>
      <c r="C4646" s="0" t="n">
        <v>11</v>
      </c>
      <c r="D4646" s="0" t="s">
        <v>2126</v>
      </c>
      <c r="E4646" s="0" t="n">
        <v>1608</v>
      </c>
      <c r="F4646" s="0" t="s">
        <v>42</v>
      </c>
      <c r="I4646" s="0" t="n">
        <v>1715032</v>
      </c>
      <c r="J4646" s="0" t="n">
        <v>65734</v>
      </c>
      <c r="K4646" s="0" t="n">
        <v>7892840823047</v>
      </c>
      <c r="L4646" s="0" t="s">
        <v>3074</v>
      </c>
      <c r="N4646" s="0" t="n">
        <v>10</v>
      </c>
      <c r="O4646" s="60" t="n">
        <v>64</v>
      </c>
    </row>
    <row r="4647" customFormat="false" ht="15" hidden="false" customHeight="false" outlineLevel="0" collapsed="false">
      <c r="A4647" s="0" t="n">
        <v>3</v>
      </c>
      <c r="B4647" s="59" t="n">
        <v>46254</v>
      </c>
      <c r="C4647" s="0" t="n">
        <v>11</v>
      </c>
      <c r="D4647" s="0" t="s">
        <v>2126</v>
      </c>
      <c r="E4647" s="0" t="n">
        <v>1608</v>
      </c>
      <c r="F4647" s="0" t="s">
        <v>42</v>
      </c>
      <c r="I4647" s="0" t="n">
        <v>1715032</v>
      </c>
      <c r="J4647" s="0" t="n">
        <v>65736</v>
      </c>
      <c r="K4647" s="0" t="n">
        <v>7892840823054</v>
      </c>
      <c r="L4647" s="0" t="s">
        <v>3075</v>
      </c>
      <c r="N4647" s="0" t="n">
        <v>10</v>
      </c>
      <c r="O4647" s="60" t="n">
        <v>64</v>
      </c>
    </row>
    <row r="4648" customFormat="false" ht="15" hidden="false" customHeight="false" outlineLevel="0" collapsed="false">
      <c r="A4648" s="0" t="n">
        <v>3</v>
      </c>
      <c r="B4648" s="59" t="n">
        <v>46254</v>
      </c>
      <c r="C4648" s="0" t="n">
        <v>11</v>
      </c>
      <c r="D4648" s="0" t="s">
        <v>2126</v>
      </c>
      <c r="E4648" s="0" t="n">
        <v>1608</v>
      </c>
      <c r="F4648" s="0" t="s">
        <v>42</v>
      </c>
      <c r="I4648" s="0" t="n">
        <v>1715032</v>
      </c>
      <c r="J4648" s="0" t="n">
        <v>65799</v>
      </c>
      <c r="K4648" s="0" t="n">
        <v>7892840822385</v>
      </c>
      <c r="L4648" s="0" t="s">
        <v>3076</v>
      </c>
      <c r="N4648" s="0" t="n">
        <v>58</v>
      </c>
      <c r="O4648" s="60" t="n">
        <v>218.66</v>
      </c>
    </row>
    <row r="4649" customFormat="false" ht="15" hidden="false" customHeight="false" outlineLevel="0" collapsed="false">
      <c r="A4649" s="0" t="n">
        <v>3</v>
      </c>
      <c r="B4649" s="59" t="n">
        <v>46254</v>
      </c>
      <c r="C4649" s="0" t="n">
        <v>11</v>
      </c>
      <c r="D4649" s="0" t="s">
        <v>2126</v>
      </c>
      <c r="E4649" s="0" t="n">
        <v>1608</v>
      </c>
      <c r="F4649" s="0" t="s">
        <v>42</v>
      </c>
      <c r="I4649" s="0" t="n">
        <v>1715032</v>
      </c>
      <c r="J4649" s="0" t="n">
        <v>66002</v>
      </c>
      <c r="K4649" s="0" t="n">
        <v>7892840823481</v>
      </c>
      <c r="L4649" s="0" t="s">
        <v>3079</v>
      </c>
      <c r="N4649" s="0" t="n">
        <v>12</v>
      </c>
      <c r="O4649" s="60" t="n">
        <v>48.72</v>
      </c>
    </row>
    <row r="4650" customFormat="false" ht="15" hidden="false" customHeight="false" outlineLevel="0" collapsed="false">
      <c r="A4650" s="0" t="n">
        <v>3</v>
      </c>
      <c r="B4650" s="59" t="n">
        <v>46254</v>
      </c>
      <c r="C4650" s="0" t="n">
        <v>11</v>
      </c>
      <c r="D4650" s="0" t="s">
        <v>2126</v>
      </c>
      <c r="E4650" s="0" t="n">
        <v>1608</v>
      </c>
      <c r="F4650" s="0" t="s">
        <v>42</v>
      </c>
      <c r="I4650" s="0" t="n">
        <v>1715032</v>
      </c>
      <c r="J4650" s="0" t="n">
        <v>66089</v>
      </c>
      <c r="K4650" s="0" t="n">
        <v>7892840822323</v>
      </c>
      <c r="L4650" s="0" t="s">
        <v>3080</v>
      </c>
      <c r="N4650" s="0" t="n">
        <v>6</v>
      </c>
      <c r="O4650" s="60" t="n">
        <v>79.14</v>
      </c>
    </row>
    <row r="4651" customFormat="false" ht="15" hidden="false" customHeight="false" outlineLevel="0" collapsed="false">
      <c r="A4651" s="0" t="n">
        <v>3</v>
      </c>
      <c r="B4651" s="59" t="n">
        <v>46254</v>
      </c>
      <c r="C4651" s="0" t="n">
        <v>11</v>
      </c>
      <c r="D4651" s="0" t="s">
        <v>2126</v>
      </c>
      <c r="E4651" s="0" t="n">
        <v>1608</v>
      </c>
      <c r="F4651" s="0" t="s">
        <v>42</v>
      </c>
      <c r="I4651" s="0" t="n">
        <v>1715032</v>
      </c>
      <c r="J4651" s="0" t="n">
        <v>66366</v>
      </c>
      <c r="K4651" s="0" t="n">
        <v>7892840822378</v>
      </c>
      <c r="L4651" s="0" t="s">
        <v>3082</v>
      </c>
      <c r="N4651" s="0" t="n">
        <v>36</v>
      </c>
      <c r="O4651" s="60" t="n">
        <v>146.16</v>
      </c>
    </row>
    <row r="4652" customFormat="false" ht="15" hidden="false" customHeight="false" outlineLevel="0" collapsed="false">
      <c r="A4652" s="0" t="n">
        <v>3</v>
      </c>
      <c r="B4652" s="59" t="n">
        <v>46254</v>
      </c>
      <c r="C4652" s="0" t="n">
        <v>11</v>
      </c>
      <c r="D4652" s="0" t="s">
        <v>2126</v>
      </c>
      <c r="E4652" s="0" t="n">
        <v>1608</v>
      </c>
      <c r="F4652" s="0" t="s">
        <v>42</v>
      </c>
      <c r="I4652" s="0" t="n">
        <v>1715032</v>
      </c>
      <c r="J4652" s="0" t="n">
        <v>66764</v>
      </c>
      <c r="K4652" s="0" t="n">
        <v>7892840822293</v>
      </c>
      <c r="L4652" s="0" t="s">
        <v>3083</v>
      </c>
      <c r="N4652" s="0" t="n">
        <v>56</v>
      </c>
      <c r="O4652" s="60" t="n">
        <v>169.68</v>
      </c>
    </row>
    <row r="4653" customFormat="false" ht="15" hidden="false" customHeight="false" outlineLevel="0" collapsed="false">
      <c r="A4653" s="0" t="n">
        <v>3</v>
      </c>
      <c r="B4653" s="59" t="n">
        <v>46254</v>
      </c>
      <c r="C4653" s="0" t="n">
        <v>11</v>
      </c>
      <c r="D4653" s="0" t="s">
        <v>2126</v>
      </c>
      <c r="E4653" s="0" t="n">
        <v>1608</v>
      </c>
      <c r="F4653" s="0" t="s">
        <v>42</v>
      </c>
      <c r="I4653" s="0" t="n">
        <v>1715032</v>
      </c>
      <c r="J4653" s="0" t="n">
        <v>66993</v>
      </c>
      <c r="K4653" s="0" t="n">
        <v>7892840822347</v>
      </c>
      <c r="L4653" s="0" t="s">
        <v>3068</v>
      </c>
      <c r="N4653" s="0" t="n">
        <v>25</v>
      </c>
      <c r="O4653" s="60" t="n">
        <v>216</v>
      </c>
    </row>
    <row r="4654" customFormat="false" ht="15" hidden="false" customHeight="false" outlineLevel="0" collapsed="false">
      <c r="A4654" s="0" t="n">
        <v>3</v>
      </c>
      <c r="B4654" s="59" t="n">
        <v>46254</v>
      </c>
      <c r="C4654" s="0" t="n">
        <v>11</v>
      </c>
      <c r="D4654" s="0" t="s">
        <v>2126</v>
      </c>
      <c r="E4654" s="0" t="n">
        <v>1608</v>
      </c>
      <c r="F4654" s="0" t="s">
        <v>42</v>
      </c>
      <c r="I4654" s="0" t="n">
        <v>1715032</v>
      </c>
      <c r="J4654" s="0" t="n">
        <v>68927</v>
      </c>
      <c r="K4654" s="0" t="n">
        <v>7892840823030</v>
      </c>
      <c r="L4654" s="0" t="s">
        <v>3084</v>
      </c>
      <c r="N4654" s="0" t="n">
        <v>10</v>
      </c>
      <c r="O4654" s="60" t="n">
        <v>64</v>
      </c>
    </row>
    <row r="4655" customFormat="false" ht="15" hidden="false" customHeight="false" outlineLevel="0" collapsed="false">
      <c r="A4655" s="0" t="n">
        <v>3</v>
      </c>
      <c r="B4655" s="59" t="n">
        <v>46254</v>
      </c>
      <c r="C4655" s="0" t="n">
        <v>11</v>
      </c>
      <c r="D4655" s="0" t="s">
        <v>2126</v>
      </c>
      <c r="E4655" s="0" t="n">
        <v>1608</v>
      </c>
      <c r="F4655" s="0" t="s">
        <v>42</v>
      </c>
      <c r="I4655" s="0" t="n">
        <v>1715032</v>
      </c>
      <c r="J4655" s="0" t="n">
        <v>69425</v>
      </c>
      <c r="K4655" s="0" t="n">
        <v>7892840823610</v>
      </c>
      <c r="L4655" s="0" t="s">
        <v>3085</v>
      </c>
      <c r="N4655" s="0" t="n">
        <v>6</v>
      </c>
      <c r="O4655" s="60" t="n">
        <v>25.86</v>
      </c>
    </row>
    <row r="4656" customFormat="false" ht="15" hidden="false" customHeight="false" outlineLevel="0" collapsed="false">
      <c r="A4656" s="0" t="n">
        <v>3</v>
      </c>
      <c r="B4656" s="59" t="n">
        <v>46254</v>
      </c>
      <c r="C4656" s="0" t="n">
        <v>11</v>
      </c>
      <c r="D4656" s="0" t="s">
        <v>2126</v>
      </c>
      <c r="E4656" s="0" t="n">
        <v>1608</v>
      </c>
      <c r="F4656" s="0" t="s">
        <v>42</v>
      </c>
      <c r="I4656" s="0" t="n">
        <v>1715032</v>
      </c>
      <c r="J4656" s="0" t="n">
        <v>80195</v>
      </c>
      <c r="K4656" s="0" t="n">
        <v>7892840824976</v>
      </c>
      <c r="L4656" s="0" t="s">
        <v>3991</v>
      </c>
      <c r="N4656" s="0" t="n">
        <v>20</v>
      </c>
      <c r="O4656" s="60" t="n">
        <v>66.6</v>
      </c>
    </row>
    <row r="4657" customFormat="false" ht="15" hidden="false" customHeight="false" outlineLevel="0" collapsed="false">
      <c r="A4657" s="0" t="n">
        <v>3</v>
      </c>
      <c r="B4657" s="59" t="n">
        <v>46254</v>
      </c>
      <c r="C4657" s="0" t="n">
        <v>11</v>
      </c>
      <c r="D4657" s="0" t="s">
        <v>2126</v>
      </c>
      <c r="E4657" s="0" t="n">
        <v>1608</v>
      </c>
      <c r="F4657" s="0" t="s">
        <v>42</v>
      </c>
      <c r="I4657" s="0" t="n">
        <v>1715032</v>
      </c>
      <c r="J4657" s="0" t="n">
        <v>80196</v>
      </c>
      <c r="K4657" s="0" t="n">
        <v>7892840824662</v>
      </c>
      <c r="L4657" s="0" t="s">
        <v>3087</v>
      </c>
      <c r="N4657" s="0" t="n">
        <v>10</v>
      </c>
      <c r="O4657" s="60" t="n">
        <v>33.3</v>
      </c>
    </row>
    <row r="4658" customFormat="false" ht="15" hidden="false" customHeight="false" outlineLevel="0" collapsed="false">
      <c r="A4658" s="0" t="n">
        <v>3</v>
      </c>
      <c r="B4658" s="59" t="n">
        <v>46254</v>
      </c>
      <c r="C4658" s="0" t="n">
        <v>11</v>
      </c>
      <c r="D4658" s="0" t="s">
        <v>2126</v>
      </c>
      <c r="E4658" s="0" t="n">
        <v>1608</v>
      </c>
      <c r="F4658" s="0" t="s">
        <v>42</v>
      </c>
      <c r="I4658" s="0" t="n">
        <v>1715032</v>
      </c>
      <c r="J4658" s="0" t="n">
        <v>80197</v>
      </c>
      <c r="K4658" s="0" t="n">
        <v>7892840824648</v>
      </c>
      <c r="L4658" s="0" t="s">
        <v>3088</v>
      </c>
      <c r="N4658" s="0" t="n">
        <v>10</v>
      </c>
      <c r="O4658" s="60" t="n">
        <v>33.3</v>
      </c>
    </row>
    <row r="4659" customFormat="false" ht="15" hidden="false" customHeight="false" outlineLevel="0" collapsed="false">
      <c r="A4659" s="0" t="n">
        <v>3</v>
      </c>
      <c r="B4659" s="59" t="n">
        <v>46254</v>
      </c>
      <c r="C4659" s="0" t="n">
        <v>11</v>
      </c>
      <c r="D4659" s="0" t="s">
        <v>2126</v>
      </c>
      <c r="E4659" s="0" t="n">
        <v>1608</v>
      </c>
      <c r="F4659" s="0" t="s">
        <v>42</v>
      </c>
      <c r="I4659" s="0" t="n">
        <v>1715032</v>
      </c>
      <c r="J4659" s="0" t="n">
        <v>80198</v>
      </c>
      <c r="K4659" s="0" t="n">
        <v>7892840824693</v>
      </c>
      <c r="L4659" s="0" t="s">
        <v>3089</v>
      </c>
      <c r="N4659" s="0" t="n">
        <v>10</v>
      </c>
      <c r="O4659" s="60" t="n">
        <v>33.3</v>
      </c>
    </row>
    <row r="4660" customFormat="false" ht="15" hidden="false" customHeight="false" outlineLevel="0" collapsed="false">
      <c r="A4660" s="0" t="n">
        <v>3</v>
      </c>
      <c r="B4660" s="59" t="n">
        <v>46254</v>
      </c>
      <c r="C4660" s="0" t="n">
        <v>11</v>
      </c>
      <c r="D4660" s="0" t="s">
        <v>2126</v>
      </c>
      <c r="E4660" s="0" t="n">
        <v>1608</v>
      </c>
      <c r="F4660" s="0" t="s">
        <v>42</v>
      </c>
      <c r="I4660" s="0" t="n">
        <v>1715032</v>
      </c>
      <c r="J4660" s="0" t="n">
        <v>80207</v>
      </c>
      <c r="K4660" s="0" t="n">
        <v>7892840825317</v>
      </c>
      <c r="L4660" s="0" t="s">
        <v>3090</v>
      </c>
      <c r="N4660" s="0" t="n">
        <v>15</v>
      </c>
      <c r="O4660" s="60" t="n">
        <v>108.3</v>
      </c>
    </row>
    <row r="4661" customFormat="false" ht="15" hidden="false" customHeight="false" outlineLevel="0" collapsed="false">
      <c r="A4661" s="0" t="n">
        <v>3</v>
      </c>
      <c r="B4661" s="59" t="n">
        <v>46254</v>
      </c>
      <c r="C4661" s="0" t="n">
        <v>11</v>
      </c>
      <c r="D4661" s="0" t="s">
        <v>2126</v>
      </c>
      <c r="E4661" s="0" t="n">
        <v>1608</v>
      </c>
      <c r="F4661" s="0" t="s">
        <v>42</v>
      </c>
      <c r="I4661" s="0" t="n">
        <v>1715032</v>
      </c>
      <c r="J4661" s="0" t="n">
        <v>80464</v>
      </c>
      <c r="K4661" s="0" t="n">
        <v>7892840825126</v>
      </c>
      <c r="L4661" s="0" t="s">
        <v>3992</v>
      </c>
      <c r="N4661" s="0" t="n">
        <v>20</v>
      </c>
      <c r="O4661" s="60" t="n">
        <v>76.6</v>
      </c>
    </row>
    <row r="4662" customFormat="false" ht="15" hidden="false" customHeight="false" outlineLevel="0" collapsed="false">
      <c r="A4662" s="0" t="n">
        <v>3</v>
      </c>
      <c r="B4662" s="59" t="n">
        <v>46254</v>
      </c>
      <c r="C4662" s="0" t="n">
        <v>11</v>
      </c>
      <c r="D4662" s="0" t="s">
        <v>2126</v>
      </c>
      <c r="E4662" s="0" t="n">
        <v>1636</v>
      </c>
      <c r="F4662" s="0" t="s">
        <v>50</v>
      </c>
      <c r="I4662" s="0" t="n">
        <v>3238686</v>
      </c>
      <c r="J4662" s="0" t="n">
        <v>10245</v>
      </c>
      <c r="K4662" s="0" t="n">
        <v>7891010793463</v>
      </c>
      <c r="L4662" s="0" t="s">
        <v>3993</v>
      </c>
      <c r="N4662" s="0" t="n">
        <v>24</v>
      </c>
      <c r="O4662" s="60" t="n">
        <v>144.24</v>
      </c>
    </row>
    <row r="4663" customFormat="false" ht="15" hidden="false" customHeight="false" outlineLevel="0" collapsed="false">
      <c r="A4663" s="0" t="n">
        <v>3</v>
      </c>
      <c r="B4663" s="59" t="n">
        <v>46254</v>
      </c>
      <c r="C4663" s="0" t="n">
        <v>11</v>
      </c>
      <c r="D4663" s="0" t="s">
        <v>2126</v>
      </c>
      <c r="E4663" s="0" t="n">
        <v>1636</v>
      </c>
      <c r="F4663" s="0" t="s">
        <v>50</v>
      </c>
      <c r="I4663" s="0" t="n">
        <v>3238686</v>
      </c>
      <c r="J4663" s="0" t="n">
        <v>20161</v>
      </c>
      <c r="K4663" s="0" t="n">
        <v>7898587774314</v>
      </c>
      <c r="L4663" s="0" t="s">
        <v>3994</v>
      </c>
      <c r="N4663" s="0" t="n">
        <v>3</v>
      </c>
      <c r="O4663" s="60" t="n">
        <v>43.2</v>
      </c>
    </row>
    <row r="4664" customFormat="false" ht="15" hidden="false" customHeight="false" outlineLevel="0" collapsed="false">
      <c r="A4664" s="0" t="n">
        <v>3</v>
      </c>
      <c r="B4664" s="59" t="n">
        <v>46254</v>
      </c>
      <c r="C4664" s="0" t="n">
        <v>11</v>
      </c>
      <c r="D4664" s="0" t="s">
        <v>2126</v>
      </c>
      <c r="E4664" s="0" t="n">
        <v>1636</v>
      </c>
      <c r="F4664" s="0" t="s">
        <v>50</v>
      </c>
      <c r="I4664" s="0" t="n">
        <v>3238686</v>
      </c>
      <c r="J4664" s="0" t="n">
        <v>100418</v>
      </c>
      <c r="K4664" s="0" t="n">
        <v>7891010560737</v>
      </c>
      <c r="L4664" s="0" t="s">
        <v>3995</v>
      </c>
      <c r="N4664" s="0" t="n">
        <v>12</v>
      </c>
      <c r="O4664" s="60" t="n">
        <v>55.92</v>
      </c>
    </row>
    <row r="4665" customFormat="false" ht="15" hidden="false" customHeight="false" outlineLevel="0" collapsed="false">
      <c r="A4665" s="0" t="n">
        <v>3</v>
      </c>
      <c r="B4665" s="59" t="n">
        <v>46254</v>
      </c>
      <c r="C4665" s="0" t="n">
        <v>11</v>
      </c>
      <c r="D4665" s="0" t="s">
        <v>2126</v>
      </c>
      <c r="E4665" s="0" t="n">
        <v>1636</v>
      </c>
      <c r="F4665" s="0" t="s">
        <v>50</v>
      </c>
      <c r="I4665" s="0" t="n">
        <v>3238686</v>
      </c>
      <c r="J4665" s="0" t="n">
        <v>101378</v>
      </c>
      <c r="K4665" s="0" t="n">
        <v>7891010015268</v>
      </c>
      <c r="L4665" s="0" t="s">
        <v>3996</v>
      </c>
      <c r="N4665" s="0" t="n">
        <v>6</v>
      </c>
      <c r="O4665" s="60" t="n">
        <v>34.38</v>
      </c>
    </row>
    <row r="4666" customFormat="false" ht="15" hidden="false" customHeight="false" outlineLevel="0" collapsed="false">
      <c r="A4666" s="0" t="n">
        <v>3</v>
      </c>
      <c r="B4666" s="59" t="n">
        <v>46254</v>
      </c>
      <c r="C4666" s="0" t="n">
        <v>11</v>
      </c>
      <c r="D4666" s="0" t="s">
        <v>2126</v>
      </c>
      <c r="E4666" s="0" t="n">
        <v>1636</v>
      </c>
      <c r="F4666" s="0" t="s">
        <v>50</v>
      </c>
      <c r="I4666" s="0" t="n">
        <v>3238686</v>
      </c>
      <c r="J4666" s="0" t="n">
        <v>101407</v>
      </c>
      <c r="K4666" s="0" t="n">
        <v>7891010503024</v>
      </c>
      <c r="L4666" s="0" t="s">
        <v>3997</v>
      </c>
      <c r="N4666" s="0" t="n">
        <v>48</v>
      </c>
      <c r="O4666" s="60" t="n">
        <v>143.52</v>
      </c>
    </row>
    <row r="4667" customFormat="false" ht="15" hidden="false" customHeight="false" outlineLevel="0" collapsed="false">
      <c r="A4667" s="0" t="n">
        <v>3</v>
      </c>
      <c r="B4667" s="59" t="n">
        <v>46254</v>
      </c>
      <c r="C4667" s="0" t="n">
        <v>11</v>
      </c>
      <c r="D4667" s="0" t="s">
        <v>2126</v>
      </c>
      <c r="E4667" s="0" t="n">
        <v>1636</v>
      </c>
      <c r="F4667" s="0" t="s">
        <v>50</v>
      </c>
      <c r="I4667" s="0" t="n">
        <v>3238686</v>
      </c>
      <c r="J4667" s="0" t="n">
        <v>101410</v>
      </c>
      <c r="K4667" s="0" t="n">
        <v>7891010035631</v>
      </c>
      <c r="L4667" s="0" t="s">
        <v>3998</v>
      </c>
      <c r="N4667" s="0" t="n">
        <v>24</v>
      </c>
      <c r="O4667" s="60" t="n">
        <v>148.56</v>
      </c>
    </row>
    <row r="4668" customFormat="false" ht="15" hidden="false" customHeight="false" outlineLevel="0" collapsed="false">
      <c r="A4668" s="0" t="n">
        <v>3</v>
      </c>
      <c r="B4668" s="59" t="n">
        <v>46254</v>
      </c>
      <c r="C4668" s="0" t="n">
        <v>11</v>
      </c>
      <c r="D4668" s="0" t="s">
        <v>2126</v>
      </c>
      <c r="E4668" s="0" t="n">
        <v>1636</v>
      </c>
      <c r="F4668" s="0" t="s">
        <v>50</v>
      </c>
      <c r="I4668" s="0" t="n">
        <v>3238686</v>
      </c>
      <c r="J4668" s="0" t="n">
        <v>103504</v>
      </c>
      <c r="K4668" s="0" t="n">
        <v>7891010032906</v>
      </c>
      <c r="L4668" s="0" t="s">
        <v>3999</v>
      </c>
      <c r="N4668" s="0" t="n">
        <v>6</v>
      </c>
      <c r="O4668" s="60" t="n">
        <v>31.42</v>
      </c>
    </row>
    <row r="4669" customFormat="false" ht="15" hidden="false" customHeight="false" outlineLevel="0" collapsed="false">
      <c r="A4669" s="0" t="n">
        <v>3</v>
      </c>
      <c r="B4669" s="59" t="n">
        <v>46254</v>
      </c>
      <c r="C4669" s="0" t="n">
        <v>11</v>
      </c>
      <c r="D4669" s="0" t="s">
        <v>2126</v>
      </c>
      <c r="E4669" s="0" t="n">
        <v>1636</v>
      </c>
      <c r="F4669" s="0" t="s">
        <v>50</v>
      </c>
      <c r="I4669" s="0" t="n">
        <v>3238686</v>
      </c>
      <c r="J4669" s="0" t="n">
        <v>107123</v>
      </c>
      <c r="K4669" s="0" t="n">
        <v>7899026400849</v>
      </c>
      <c r="L4669" s="0" t="s">
        <v>4000</v>
      </c>
      <c r="N4669" s="0" t="n">
        <v>6</v>
      </c>
      <c r="O4669" s="60" t="n">
        <v>25.56</v>
      </c>
    </row>
    <row r="4670" customFormat="false" ht="15" hidden="false" customHeight="false" outlineLevel="0" collapsed="false">
      <c r="A4670" s="0" t="n">
        <v>3</v>
      </c>
      <c r="B4670" s="59" t="n">
        <v>46254</v>
      </c>
      <c r="C4670" s="0" t="n">
        <v>11</v>
      </c>
      <c r="D4670" s="0" t="s">
        <v>2126</v>
      </c>
      <c r="E4670" s="0" t="n">
        <v>1636</v>
      </c>
      <c r="F4670" s="0" t="s">
        <v>50</v>
      </c>
      <c r="I4670" s="0" t="n">
        <v>3238686</v>
      </c>
      <c r="J4670" s="0" t="n">
        <v>11213</v>
      </c>
      <c r="K4670" s="0" t="n">
        <v>7896000713186</v>
      </c>
      <c r="L4670" s="0" t="s">
        <v>4001</v>
      </c>
      <c r="N4670" s="0" t="n">
        <v>4</v>
      </c>
      <c r="O4670" s="60" t="n">
        <v>67.88</v>
      </c>
    </row>
    <row r="4671" customFormat="false" ht="15" hidden="false" customHeight="false" outlineLevel="0" collapsed="false">
      <c r="A4671" s="0" t="n">
        <v>3</v>
      </c>
      <c r="B4671" s="59" t="n">
        <v>46254</v>
      </c>
      <c r="C4671" s="0" t="n">
        <v>11</v>
      </c>
      <c r="D4671" s="0" t="s">
        <v>2126</v>
      </c>
      <c r="E4671" s="0" t="n">
        <v>1636</v>
      </c>
      <c r="F4671" s="0" t="s">
        <v>50</v>
      </c>
      <c r="I4671" s="0" t="n">
        <v>3238686</v>
      </c>
      <c r="J4671" s="0" t="n">
        <v>11348</v>
      </c>
      <c r="K4671" s="0" t="n">
        <v>7891010501105</v>
      </c>
      <c r="L4671" s="0" t="s">
        <v>4002</v>
      </c>
      <c r="N4671" s="0" t="n">
        <v>4</v>
      </c>
      <c r="O4671" s="60" t="n">
        <v>51.38</v>
      </c>
    </row>
    <row r="4672" customFormat="false" ht="15" hidden="false" customHeight="false" outlineLevel="0" collapsed="false">
      <c r="A4672" s="0" t="n">
        <v>3</v>
      </c>
      <c r="B4672" s="59" t="n">
        <v>46254</v>
      </c>
      <c r="C4672" s="0" t="n">
        <v>11</v>
      </c>
      <c r="D4672" s="0" t="s">
        <v>2126</v>
      </c>
      <c r="E4672" s="0" t="n">
        <v>1636</v>
      </c>
      <c r="F4672" s="0" t="s">
        <v>50</v>
      </c>
      <c r="I4672" s="0" t="n">
        <v>3238686</v>
      </c>
      <c r="J4672" s="0" t="n">
        <v>16380</v>
      </c>
      <c r="K4672" s="0" t="n">
        <v>7896000717658</v>
      </c>
      <c r="L4672" s="0" t="s">
        <v>4003</v>
      </c>
      <c r="N4672" s="0" t="n">
        <v>3</v>
      </c>
      <c r="O4672" s="60" t="n">
        <v>50.91</v>
      </c>
    </row>
    <row r="4673" customFormat="false" ht="15" hidden="false" customHeight="false" outlineLevel="0" collapsed="false">
      <c r="A4673" s="0" t="n">
        <v>3</v>
      </c>
      <c r="B4673" s="59" t="n">
        <v>46254</v>
      </c>
      <c r="C4673" s="0" t="n">
        <v>11</v>
      </c>
      <c r="D4673" s="0" t="s">
        <v>2126</v>
      </c>
      <c r="E4673" s="0" t="n">
        <v>1636</v>
      </c>
      <c r="F4673" s="0" t="s">
        <v>50</v>
      </c>
      <c r="I4673" s="0" t="n">
        <v>3238686</v>
      </c>
      <c r="J4673" s="0" t="n">
        <v>16710</v>
      </c>
      <c r="K4673" s="0" t="n">
        <v>7894650003787</v>
      </c>
      <c r="L4673" s="0" t="s">
        <v>4004</v>
      </c>
      <c r="N4673" s="0" t="n">
        <v>12</v>
      </c>
      <c r="O4673" s="60" t="n">
        <v>154.68</v>
      </c>
    </row>
    <row r="4674" customFormat="false" ht="15" hidden="false" customHeight="false" outlineLevel="0" collapsed="false">
      <c r="A4674" s="0" t="n">
        <v>3</v>
      </c>
      <c r="B4674" s="59" t="n">
        <v>46254</v>
      </c>
      <c r="C4674" s="0" t="n">
        <v>11</v>
      </c>
      <c r="D4674" s="0" t="s">
        <v>2126</v>
      </c>
      <c r="E4674" s="0" t="n">
        <v>1636</v>
      </c>
      <c r="F4674" s="0" t="s">
        <v>50</v>
      </c>
      <c r="I4674" s="0" t="n">
        <v>3238686</v>
      </c>
      <c r="J4674" s="0" t="n">
        <v>17976</v>
      </c>
      <c r="K4674" s="0" t="n">
        <v>7894650003848</v>
      </c>
      <c r="L4674" s="0" t="s">
        <v>4005</v>
      </c>
      <c r="N4674" s="0" t="n">
        <v>6</v>
      </c>
      <c r="O4674" s="60" t="n">
        <v>86.94</v>
      </c>
    </row>
    <row r="4675" customFormat="false" ht="15" hidden="false" customHeight="false" outlineLevel="0" collapsed="false">
      <c r="A4675" s="0" t="n">
        <v>3</v>
      </c>
      <c r="B4675" s="59" t="n">
        <v>46254</v>
      </c>
      <c r="C4675" s="0" t="n">
        <v>11</v>
      </c>
      <c r="D4675" s="0" t="s">
        <v>2126</v>
      </c>
      <c r="E4675" s="0" t="n">
        <v>1636</v>
      </c>
      <c r="F4675" s="0" t="s">
        <v>50</v>
      </c>
      <c r="I4675" s="0" t="n">
        <v>3238686</v>
      </c>
      <c r="J4675" s="0" t="n">
        <v>20841</v>
      </c>
      <c r="K4675" s="0" t="n">
        <v>7891010973902</v>
      </c>
      <c r="L4675" s="0" t="s">
        <v>4006</v>
      </c>
      <c r="N4675" s="0" t="n">
        <v>3</v>
      </c>
      <c r="O4675" s="60" t="n">
        <v>37.95</v>
      </c>
    </row>
    <row r="4676" customFormat="false" ht="15" hidden="false" customHeight="false" outlineLevel="0" collapsed="false">
      <c r="A4676" s="0" t="n">
        <v>3</v>
      </c>
      <c r="B4676" s="59" t="n">
        <v>46254</v>
      </c>
      <c r="C4676" s="0" t="n">
        <v>11</v>
      </c>
      <c r="D4676" s="0" t="s">
        <v>2126</v>
      </c>
      <c r="E4676" s="0" t="n">
        <v>1636</v>
      </c>
      <c r="F4676" s="0" t="s">
        <v>50</v>
      </c>
      <c r="I4676" s="0" t="n">
        <v>3238686</v>
      </c>
      <c r="J4676" s="0" t="n">
        <v>22241</v>
      </c>
      <c r="K4676" s="0" t="n">
        <v>7896000722577</v>
      </c>
      <c r="L4676" s="0" t="s">
        <v>4007</v>
      </c>
      <c r="N4676" s="0" t="n">
        <v>3</v>
      </c>
      <c r="O4676" s="60" t="n">
        <v>50.91</v>
      </c>
    </row>
    <row r="4677" customFormat="false" ht="15" hidden="false" customHeight="false" outlineLevel="0" collapsed="false">
      <c r="A4677" s="0" t="n">
        <v>3</v>
      </c>
      <c r="B4677" s="59" t="n">
        <v>46254</v>
      </c>
      <c r="C4677" s="0" t="n">
        <v>11</v>
      </c>
      <c r="D4677" s="0" t="s">
        <v>2126</v>
      </c>
      <c r="E4677" s="0" t="n">
        <v>1636</v>
      </c>
      <c r="F4677" s="0" t="s">
        <v>50</v>
      </c>
      <c r="I4677" s="0" t="n">
        <v>3238686</v>
      </c>
      <c r="J4677" s="0" t="n">
        <v>22246</v>
      </c>
      <c r="K4677" s="0" t="n">
        <v>7896000705952</v>
      </c>
      <c r="L4677" s="0" t="s">
        <v>4008</v>
      </c>
      <c r="N4677" s="0" t="n">
        <v>6</v>
      </c>
      <c r="O4677" s="60" t="n">
        <v>57.36</v>
      </c>
    </row>
    <row r="4678" customFormat="false" ht="15" hidden="false" customHeight="false" outlineLevel="0" collapsed="false">
      <c r="A4678" s="0" t="n">
        <v>3</v>
      </c>
      <c r="B4678" s="59" t="n">
        <v>46254</v>
      </c>
      <c r="C4678" s="0" t="n">
        <v>11</v>
      </c>
      <c r="D4678" s="0" t="s">
        <v>2126</v>
      </c>
      <c r="E4678" s="0" t="n">
        <v>1636</v>
      </c>
      <c r="F4678" s="0" t="s">
        <v>50</v>
      </c>
      <c r="I4678" s="0" t="n">
        <v>3238686</v>
      </c>
      <c r="J4678" s="0" t="n">
        <v>22247</v>
      </c>
      <c r="K4678" s="0" t="n">
        <v>7896000705983</v>
      </c>
      <c r="L4678" s="0" t="s">
        <v>4009</v>
      </c>
      <c r="N4678" s="0" t="n">
        <v>6</v>
      </c>
      <c r="O4678" s="60" t="n">
        <v>57.36</v>
      </c>
    </row>
    <row r="4679" customFormat="false" ht="15" hidden="false" customHeight="false" outlineLevel="0" collapsed="false">
      <c r="A4679" s="0" t="n">
        <v>3</v>
      </c>
      <c r="B4679" s="59" t="n">
        <v>46254</v>
      </c>
      <c r="C4679" s="0" t="n">
        <v>11</v>
      </c>
      <c r="D4679" s="0" t="s">
        <v>2126</v>
      </c>
      <c r="E4679" s="0" t="n">
        <v>1636</v>
      </c>
      <c r="F4679" s="0" t="s">
        <v>50</v>
      </c>
      <c r="I4679" s="0" t="n">
        <v>3238686</v>
      </c>
      <c r="J4679" s="0" t="n">
        <v>22253</v>
      </c>
      <c r="K4679" s="0" t="n">
        <v>7896000705969</v>
      </c>
      <c r="L4679" s="0" t="s">
        <v>4010</v>
      </c>
      <c r="N4679" s="0" t="n">
        <v>6</v>
      </c>
      <c r="O4679" s="60" t="n">
        <v>57.36</v>
      </c>
    </row>
    <row r="4680" customFormat="false" ht="15" hidden="false" customHeight="false" outlineLevel="0" collapsed="false">
      <c r="A4680" s="0" t="n">
        <v>3</v>
      </c>
      <c r="B4680" s="59" t="n">
        <v>46254</v>
      </c>
      <c r="C4680" s="0" t="n">
        <v>11</v>
      </c>
      <c r="D4680" s="0" t="s">
        <v>2126</v>
      </c>
      <c r="E4680" s="0" t="n">
        <v>1636</v>
      </c>
      <c r="F4680" s="0" t="s">
        <v>50</v>
      </c>
      <c r="I4680" s="0" t="n">
        <v>3238686</v>
      </c>
      <c r="J4680" s="0" t="n">
        <v>22257</v>
      </c>
      <c r="K4680" s="0" t="n">
        <v>7896000705945</v>
      </c>
      <c r="L4680" s="0" t="s">
        <v>4011</v>
      </c>
      <c r="N4680" s="0" t="n">
        <v>6</v>
      </c>
      <c r="O4680" s="60" t="n">
        <v>57.36</v>
      </c>
    </row>
    <row r="4681" customFormat="false" ht="15" hidden="false" customHeight="false" outlineLevel="0" collapsed="false">
      <c r="A4681" s="0" t="n">
        <v>3</v>
      </c>
      <c r="B4681" s="59" t="n">
        <v>46254</v>
      </c>
      <c r="C4681" s="0" t="n">
        <v>11</v>
      </c>
      <c r="D4681" s="0" t="s">
        <v>2126</v>
      </c>
      <c r="E4681" s="0" t="n">
        <v>1636</v>
      </c>
      <c r="F4681" s="0" t="s">
        <v>50</v>
      </c>
      <c r="I4681" s="0" t="n">
        <v>3238686</v>
      </c>
      <c r="J4681" s="0" t="n">
        <v>22259</v>
      </c>
      <c r="K4681" s="0" t="n">
        <v>7896000705976</v>
      </c>
      <c r="L4681" s="0" t="s">
        <v>4012</v>
      </c>
      <c r="N4681" s="0" t="n">
        <v>6</v>
      </c>
      <c r="O4681" s="60" t="n">
        <v>57.36</v>
      </c>
    </row>
    <row r="4682" customFormat="false" ht="15" hidden="false" customHeight="false" outlineLevel="0" collapsed="false">
      <c r="A4682" s="0" t="n">
        <v>3</v>
      </c>
      <c r="B4682" s="59" t="n">
        <v>46254</v>
      </c>
      <c r="C4682" s="0" t="n">
        <v>11</v>
      </c>
      <c r="D4682" s="0" t="s">
        <v>2126</v>
      </c>
      <c r="E4682" s="0" t="n">
        <v>1636</v>
      </c>
      <c r="F4682" s="0" t="s">
        <v>50</v>
      </c>
      <c r="I4682" s="0" t="n">
        <v>3238686</v>
      </c>
      <c r="J4682" s="0" t="n">
        <v>23113</v>
      </c>
      <c r="K4682" s="0" t="n">
        <v>7894650004241</v>
      </c>
      <c r="L4682" s="0" t="s">
        <v>4013</v>
      </c>
      <c r="N4682" s="0" t="n">
        <v>6</v>
      </c>
      <c r="O4682" s="60" t="n">
        <v>15.12</v>
      </c>
    </row>
    <row r="4683" customFormat="false" ht="15" hidden="false" customHeight="false" outlineLevel="0" collapsed="false">
      <c r="A4683" s="0" t="n">
        <v>3</v>
      </c>
      <c r="B4683" s="59" t="n">
        <v>46254</v>
      </c>
      <c r="C4683" s="0" t="n">
        <v>11</v>
      </c>
      <c r="D4683" s="0" t="s">
        <v>2126</v>
      </c>
      <c r="E4683" s="0" t="n">
        <v>1636</v>
      </c>
      <c r="F4683" s="0" t="s">
        <v>50</v>
      </c>
      <c r="I4683" s="0" t="n">
        <v>3238686</v>
      </c>
      <c r="J4683" s="0" t="n">
        <v>25921</v>
      </c>
      <c r="K4683" s="0" t="n">
        <v>7891010607135</v>
      </c>
      <c r="L4683" s="0" t="s">
        <v>4014</v>
      </c>
      <c r="N4683" s="0" t="n">
        <v>12</v>
      </c>
      <c r="O4683" s="60" t="n">
        <v>138.48</v>
      </c>
    </row>
    <row r="4684" customFormat="false" ht="15" hidden="false" customHeight="false" outlineLevel="0" collapsed="false">
      <c r="A4684" s="0" t="n">
        <v>3</v>
      </c>
      <c r="B4684" s="59" t="n">
        <v>46254</v>
      </c>
      <c r="C4684" s="0" t="n">
        <v>11</v>
      </c>
      <c r="D4684" s="0" t="s">
        <v>2126</v>
      </c>
      <c r="E4684" s="0" t="n">
        <v>1636</v>
      </c>
      <c r="F4684" s="0" t="s">
        <v>50</v>
      </c>
      <c r="I4684" s="0" t="n">
        <v>3238686</v>
      </c>
      <c r="J4684" s="0" t="n">
        <v>26544</v>
      </c>
      <c r="K4684" s="0" t="n">
        <v>7894650013861</v>
      </c>
      <c r="L4684" s="0" t="s">
        <v>4015</v>
      </c>
      <c r="N4684" s="0" t="n">
        <v>3</v>
      </c>
      <c r="O4684" s="60" t="n">
        <v>35.67</v>
      </c>
    </row>
    <row r="4685" customFormat="false" ht="15" hidden="false" customHeight="false" outlineLevel="0" collapsed="false">
      <c r="A4685" s="0" t="n">
        <v>3</v>
      </c>
      <c r="B4685" s="59" t="n">
        <v>46254</v>
      </c>
      <c r="C4685" s="0" t="n">
        <v>11</v>
      </c>
      <c r="D4685" s="0" t="s">
        <v>2126</v>
      </c>
      <c r="E4685" s="0" t="n">
        <v>1636</v>
      </c>
      <c r="F4685" s="0" t="s">
        <v>50</v>
      </c>
      <c r="I4685" s="0" t="n">
        <v>3238686</v>
      </c>
      <c r="J4685" s="0" t="n">
        <v>28018</v>
      </c>
      <c r="K4685" s="0" t="n">
        <v>7894650013502</v>
      </c>
      <c r="L4685" s="0" t="s">
        <v>4016</v>
      </c>
      <c r="N4685" s="0" t="n">
        <v>6</v>
      </c>
      <c r="O4685" s="60" t="n">
        <v>29.94</v>
      </c>
    </row>
    <row r="4686" customFormat="false" ht="15" hidden="false" customHeight="false" outlineLevel="0" collapsed="false">
      <c r="A4686" s="0" t="n">
        <v>3</v>
      </c>
      <c r="B4686" s="59" t="n">
        <v>46254</v>
      </c>
      <c r="C4686" s="0" t="n">
        <v>11</v>
      </c>
      <c r="D4686" s="0" t="s">
        <v>2126</v>
      </c>
      <c r="E4686" s="0" t="n">
        <v>1636</v>
      </c>
      <c r="F4686" s="0" t="s">
        <v>50</v>
      </c>
      <c r="I4686" s="0" t="n">
        <v>3238686</v>
      </c>
      <c r="J4686" s="0" t="n">
        <v>28076</v>
      </c>
      <c r="K4686" s="0" t="n">
        <v>7894650014448</v>
      </c>
      <c r="L4686" s="0" t="s">
        <v>4017</v>
      </c>
      <c r="N4686" s="0" t="n">
        <v>3</v>
      </c>
      <c r="O4686" s="60" t="n">
        <v>35.67</v>
      </c>
    </row>
    <row r="4687" customFormat="false" ht="15" hidden="false" customHeight="false" outlineLevel="0" collapsed="false">
      <c r="A4687" s="0" t="n">
        <v>3</v>
      </c>
      <c r="B4687" s="59" t="n">
        <v>46254</v>
      </c>
      <c r="C4687" s="0" t="n">
        <v>11</v>
      </c>
      <c r="D4687" s="0" t="s">
        <v>2126</v>
      </c>
      <c r="E4687" s="0" t="n">
        <v>1636</v>
      </c>
      <c r="F4687" s="0" t="s">
        <v>50</v>
      </c>
      <c r="I4687" s="0" t="n">
        <v>3238686</v>
      </c>
      <c r="J4687" s="0" t="n">
        <v>29651</v>
      </c>
      <c r="K4687" s="0" t="n">
        <v>7896000727527</v>
      </c>
      <c r="L4687" s="0" t="s">
        <v>4018</v>
      </c>
      <c r="N4687" s="0" t="n">
        <v>3</v>
      </c>
      <c r="O4687" s="60" t="n">
        <v>50.91</v>
      </c>
    </row>
    <row r="4688" customFormat="false" ht="15" hidden="false" customHeight="false" outlineLevel="0" collapsed="false">
      <c r="A4688" s="0" t="n">
        <v>3</v>
      </c>
      <c r="B4688" s="59" t="n">
        <v>46254</v>
      </c>
      <c r="C4688" s="0" t="n">
        <v>11</v>
      </c>
      <c r="D4688" s="0" t="s">
        <v>2126</v>
      </c>
      <c r="E4688" s="0" t="n">
        <v>1636</v>
      </c>
      <c r="F4688" s="0" t="s">
        <v>50</v>
      </c>
      <c r="I4688" s="0" t="n">
        <v>3238686</v>
      </c>
      <c r="J4688" s="0" t="n">
        <v>29684</v>
      </c>
      <c r="K4688" s="0" t="n">
        <v>7891010245603</v>
      </c>
      <c r="L4688" s="0" t="s">
        <v>4019</v>
      </c>
      <c r="N4688" s="0" t="n">
        <v>5</v>
      </c>
      <c r="O4688" s="60" t="n">
        <v>43.84</v>
      </c>
    </row>
    <row r="4689" customFormat="false" ht="15" hidden="false" customHeight="false" outlineLevel="0" collapsed="false">
      <c r="A4689" s="0" t="n">
        <v>3</v>
      </c>
      <c r="B4689" s="59" t="n">
        <v>46254</v>
      </c>
      <c r="C4689" s="0" t="n">
        <v>11</v>
      </c>
      <c r="D4689" s="0" t="s">
        <v>2126</v>
      </c>
      <c r="E4689" s="0" t="n">
        <v>1636</v>
      </c>
      <c r="F4689" s="0" t="s">
        <v>50</v>
      </c>
      <c r="I4689" s="0" t="n">
        <v>3238686</v>
      </c>
      <c r="J4689" s="0" t="n">
        <v>30437</v>
      </c>
      <c r="K4689" s="0" t="n">
        <v>7896000727534</v>
      </c>
      <c r="L4689" s="0" t="s">
        <v>4020</v>
      </c>
      <c r="N4689" s="0" t="n">
        <v>6</v>
      </c>
      <c r="O4689" s="60" t="n">
        <v>57.36</v>
      </c>
    </row>
    <row r="4690" customFormat="false" ht="15" hidden="false" customHeight="false" outlineLevel="0" collapsed="false">
      <c r="A4690" s="0" t="n">
        <v>3</v>
      </c>
      <c r="B4690" s="59" t="n">
        <v>46254</v>
      </c>
      <c r="C4690" s="0" t="n">
        <v>11</v>
      </c>
      <c r="D4690" s="0" t="s">
        <v>2126</v>
      </c>
      <c r="E4690" s="0" t="n">
        <v>1636</v>
      </c>
      <c r="F4690" s="0" t="s">
        <v>50</v>
      </c>
      <c r="I4690" s="0" t="n">
        <v>3238686</v>
      </c>
      <c r="J4690" s="0" t="n">
        <v>31305</v>
      </c>
      <c r="K4690" s="0" t="n">
        <v>7899706170833</v>
      </c>
      <c r="L4690" s="0" t="s">
        <v>4021</v>
      </c>
      <c r="N4690" s="0" t="n">
        <v>3</v>
      </c>
      <c r="O4690" s="60" t="n">
        <v>43.2</v>
      </c>
    </row>
    <row r="4691" customFormat="false" ht="15" hidden="false" customHeight="false" outlineLevel="0" collapsed="false">
      <c r="A4691" s="0" t="n">
        <v>3</v>
      </c>
      <c r="B4691" s="59" t="n">
        <v>46254</v>
      </c>
      <c r="C4691" s="0" t="n">
        <v>11</v>
      </c>
      <c r="D4691" s="0" t="s">
        <v>2126</v>
      </c>
      <c r="E4691" s="0" t="n">
        <v>1636</v>
      </c>
      <c r="F4691" s="0" t="s">
        <v>50</v>
      </c>
      <c r="I4691" s="0" t="n">
        <v>3238686</v>
      </c>
      <c r="J4691" s="0" t="n">
        <v>31329</v>
      </c>
      <c r="K4691" s="0" t="n">
        <v>7894650938430</v>
      </c>
      <c r="L4691" s="0" t="s">
        <v>4022</v>
      </c>
      <c r="N4691" s="0" t="n">
        <v>3</v>
      </c>
      <c r="O4691" s="60" t="n">
        <v>35.67</v>
      </c>
    </row>
    <row r="4692" customFormat="false" ht="15" hidden="false" customHeight="false" outlineLevel="0" collapsed="false">
      <c r="A4692" s="0" t="n">
        <v>3</v>
      </c>
      <c r="B4692" s="59" t="n">
        <v>46254</v>
      </c>
      <c r="C4692" s="0" t="n">
        <v>11</v>
      </c>
      <c r="D4692" s="0" t="s">
        <v>2126</v>
      </c>
      <c r="E4692" s="0" t="n">
        <v>1636</v>
      </c>
      <c r="F4692" s="0" t="s">
        <v>50</v>
      </c>
      <c r="I4692" s="0" t="n">
        <v>3238686</v>
      </c>
      <c r="J4692" s="0" t="n">
        <v>33964</v>
      </c>
      <c r="K4692" s="0" t="n">
        <v>7894650014288</v>
      </c>
      <c r="L4692" s="0" t="s">
        <v>4023</v>
      </c>
      <c r="N4692" s="0" t="n">
        <v>6</v>
      </c>
      <c r="O4692" s="60" t="n">
        <v>15.12</v>
      </c>
    </row>
    <row r="4693" customFormat="false" ht="15" hidden="false" customHeight="false" outlineLevel="0" collapsed="false">
      <c r="A4693" s="0" t="n">
        <v>3</v>
      </c>
      <c r="B4693" s="59" t="n">
        <v>46254</v>
      </c>
      <c r="C4693" s="0" t="n">
        <v>11</v>
      </c>
      <c r="D4693" s="0" t="s">
        <v>2126</v>
      </c>
      <c r="E4693" s="0" t="n">
        <v>1636</v>
      </c>
      <c r="F4693" s="0" t="s">
        <v>50</v>
      </c>
      <c r="I4693" s="0" t="n">
        <v>3238686</v>
      </c>
      <c r="J4693" s="0" t="n">
        <v>35542</v>
      </c>
      <c r="K4693" s="0" t="n">
        <v>7894650014264</v>
      </c>
      <c r="L4693" s="0" t="s">
        <v>4024</v>
      </c>
      <c r="N4693" s="0" t="n">
        <v>6</v>
      </c>
      <c r="O4693" s="60" t="n">
        <v>19.02</v>
      </c>
    </row>
    <row r="4694" customFormat="false" ht="15" hidden="false" customHeight="false" outlineLevel="0" collapsed="false">
      <c r="A4694" s="0" t="n">
        <v>3</v>
      </c>
      <c r="B4694" s="59" t="n">
        <v>46254</v>
      </c>
      <c r="C4694" s="0" t="n">
        <v>11</v>
      </c>
      <c r="D4694" s="0" t="s">
        <v>2126</v>
      </c>
      <c r="E4694" s="0" t="n">
        <v>1636</v>
      </c>
      <c r="F4694" s="0" t="s">
        <v>50</v>
      </c>
      <c r="I4694" s="0" t="n">
        <v>3238686</v>
      </c>
      <c r="J4694" s="0" t="n">
        <v>37037</v>
      </c>
      <c r="K4694" s="0" t="n">
        <v>7899706187404</v>
      </c>
      <c r="L4694" s="0" t="s">
        <v>4025</v>
      </c>
      <c r="N4694" s="0" t="n">
        <v>3</v>
      </c>
      <c r="O4694" s="60" t="n">
        <v>46.68</v>
      </c>
    </row>
    <row r="4695" customFormat="false" ht="15" hidden="false" customHeight="false" outlineLevel="0" collapsed="false">
      <c r="A4695" s="0" t="n">
        <v>3</v>
      </c>
      <c r="B4695" s="59" t="n">
        <v>46254</v>
      </c>
      <c r="C4695" s="0" t="n">
        <v>11</v>
      </c>
      <c r="D4695" s="0" t="s">
        <v>2126</v>
      </c>
      <c r="E4695" s="0" t="n">
        <v>1636</v>
      </c>
      <c r="F4695" s="0" t="s">
        <v>50</v>
      </c>
      <c r="I4695" s="0" t="n">
        <v>3238686</v>
      </c>
      <c r="J4695" s="0" t="n">
        <v>37930</v>
      </c>
      <c r="K4695" s="0" t="n">
        <v>7894650939598</v>
      </c>
      <c r="L4695" s="0" t="s">
        <v>4023</v>
      </c>
      <c r="N4695" s="0" t="n">
        <v>6</v>
      </c>
      <c r="O4695" s="60" t="n">
        <v>15.12</v>
      </c>
    </row>
    <row r="4696" customFormat="false" ht="15" hidden="false" customHeight="false" outlineLevel="0" collapsed="false">
      <c r="A4696" s="0" t="n">
        <v>3</v>
      </c>
      <c r="B4696" s="59" t="n">
        <v>46254</v>
      </c>
      <c r="C4696" s="0" t="n">
        <v>11</v>
      </c>
      <c r="D4696" s="0" t="s">
        <v>2126</v>
      </c>
      <c r="E4696" s="0" t="n">
        <v>1636</v>
      </c>
      <c r="F4696" s="0" t="s">
        <v>50</v>
      </c>
      <c r="I4696" s="0" t="n">
        <v>3238686</v>
      </c>
      <c r="J4696" s="0" t="n">
        <v>43807</v>
      </c>
      <c r="K4696" s="0" t="n">
        <v>7894650940129</v>
      </c>
      <c r="L4696" s="0" t="s">
        <v>4026</v>
      </c>
      <c r="N4696" s="0" t="n">
        <v>3</v>
      </c>
      <c r="O4696" s="60" t="n">
        <v>50.91</v>
      </c>
    </row>
    <row r="4697" customFormat="false" ht="15" hidden="false" customHeight="false" outlineLevel="0" collapsed="false">
      <c r="A4697" s="0" t="n">
        <v>3</v>
      </c>
      <c r="B4697" s="59" t="n">
        <v>46254</v>
      </c>
      <c r="C4697" s="0" t="n">
        <v>11</v>
      </c>
      <c r="D4697" s="0" t="s">
        <v>2126</v>
      </c>
      <c r="E4697" s="0" t="n">
        <v>1636</v>
      </c>
      <c r="F4697" s="0" t="s">
        <v>50</v>
      </c>
      <c r="I4697" s="0" t="n">
        <v>3238686</v>
      </c>
      <c r="J4697" s="0" t="n">
        <v>47718</v>
      </c>
      <c r="K4697" s="0" t="n">
        <v>7896044928539</v>
      </c>
      <c r="L4697" s="0" t="s">
        <v>4027</v>
      </c>
      <c r="N4697" s="0" t="n">
        <v>6</v>
      </c>
      <c r="O4697" s="60" t="n">
        <v>35.46</v>
      </c>
    </row>
    <row r="4698" customFormat="false" ht="15" hidden="false" customHeight="false" outlineLevel="0" collapsed="false">
      <c r="A4698" s="0" t="n">
        <v>3</v>
      </c>
      <c r="B4698" s="59" t="n">
        <v>46254</v>
      </c>
      <c r="C4698" s="0" t="n">
        <v>11</v>
      </c>
      <c r="D4698" s="0" t="s">
        <v>2126</v>
      </c>
      <c r="E4698" s="0" t="n">
        <v>1636</v>
      </c>
      <c r="F4698" s="0" t="s">
        <v>50</v>
      </c>
      <c r="I4698" s="0" t="n">
        <v>3238686</v>
      </c>
      <c r="J4698" s="0" t="n">
        <v>52951</v>
      </c>
      <c r="K4698" s="0" t="n">
        <v>7896044963530</v>
      </c>
      <c r="L4698" s="0" t="s">
        <v>4028</v>
      </c>
      <c r="N4698" s="0" t="n">
        <v>3</v>
      </c>
      <c r="O4698" s="60" t="n">
        <v>35.46</v>
      </c>
    </row>
    <row r="4699" customFormat="false" ht="15" hidden="false" customHeight="false" outlineLevel="0" collapsed="false">
      <c r="A4699" s="0" t="n">
        <v>3</v>
      </c>
      <c r="B4699" s="59" t="n">
        <v>46254</v>
      </c>
      <c r="C4699" s="0" t="n">
        <v>11</v>
      </c>
      <c r="D4699" s="0" t="s">
        <v>2126</v>
      </c>
      <c r="E4699" s="0" t="n">
        <v>1636</v>
      </c>
      <c r="F4699" s="0" t="s">
        <v>50</v>
      </c>
      <c r="I4699" s="0" t="n">
        <v>3238686</v>
      </c>
      <c r="J4699" s="0" t="n">
        <v>57941</v>
      </c>
      <c r="K4699" s="0" t="n">
        <v>7896044942023</v>
      </c>
      <c r="L4699" s="0" t="s">
        <v>4029</v>
      </c>
      <c r="N4699" s="0" t="n">
        <v>6</v>
      </c>
      <c r="O4699" s="60" t="n">
        <v>35.46</v>
      </c>
    </row>
    <row r="4700" customFormat="false" ht="15" hidden="false" customHeight="false" outlineLevel="0" collapsed="false">
      <c r="A4700" s="0" t="n">
        <v>3</v>
      </c>
      <c r="B4700" s="59" t="n">
        <v>46254</v>
      </c>
      <c r="C4700" s="0" t="n">
        <v>11</v>
      </c>
      <c r="D4700" s="0" t="s">
        <v>2126</v>
      </c>
      <c r="E4700" s="0" t="n">
        <v>1636</v>
      </c>
      <c r="F4700" s="0" t="s">
        <v>50</v>
      </c>
      <c r="I4700" s="0" t="n">
        <v>3238686</v>
      </c>
      <c r="J4700" s="0" t="n">
        <v>58863</v>
      </c>
      <c r="K4700" s="0" t="n">
        <v>7908615017297</v>
      </c>
      <c r="L4700" s="0" t="s">
        <v>4030</v>
      </c>
      <c r="N4700" s="0" t="n">
        <v>2</v>
      </c>
      <c r="O4700" s="60" t="n">
        <v>33.94</v>
      </c>
    </row>
    <row r="4701" customFormat="false" ht="15" hidden="false" customHeight="false" outlineLevel="0" collapsed="false">
      <c r="A4701" s="0" t="n">
        <v>3</v>
      </c>
      <c r="B4701" s="59" t="n">
        <v>46254</v>
      </c>
      <c r="C4701" s="0" t="n">
        <v>11</v>
      </c>
      <c r="D4701" s="0" t="s">
        <v>2126</v>
      </c>
      <c r="E4701" s="0" t="n">
        <v>1636</v>
      </c>
      <c r="F4701" s="0" t="s">
        <v>50</v>
      </c>
      <c r="I4701" s="0" t="n">
        <v>3238686</v>
      </c>
      <c r="J4701" s="0" t="n">
        <v>60898</v>
      </c>
      <c r="K4701" s="0" t="n">
        <v>7899026478909</v>
      </c>
      <c r="L4701" s="0" t="s">
        <v>4031</v>
      </c>
      <c r="N4701" s="0" t="n">
        <v>2</v>
      </c>
      <c r="O4701" s="60" t="n">
        <v>75.9</v>
      </c>
    </row>
    <row r="4702" customFormat="false" ht="15" hidden="false" customHeight="false" outlineLevel="0" collapsed="false">
      <c r="A4702" s="0" t="n">
        <v>3</v>
      </c>
      <c r="B4702" s="59" t="n">
        <v>46254</v>
      </c>
      <c r="C4702" s="0" t="n">
        <v>11</v>
      </c>
      <c r="D4702" s="0" t="s">
        <v>2126</v>
      </c>
      <c r="E4702" s="0" t="n">
        <v>1636</v>
      </c>
      <c r="F4702" s="0" t="s">
        <v>50</v>
      </c>
      <c r="I4702" s="0" t="n">
        <v>3238686</v>
      </c>
      <c r="J4702" s="0" t="n">
        <v>62365</v>
      </c>
      <c r="K4702" s="0" t="n">
        <v>7908615062457</v>
      </c>
      <c r="L4702" s="0" t="s">
        <v>4032</v>
      </c>
      <c r="N4702" s="0" t="n">
        <v>6</v>
      </c>
      <c r="O4702" s="60" t="n">
        <v>73.25</v>
      </c>
    </row>
    <row r="4703" customFormat="false" ht="15" hidden="false" customHeight="false" outlineLevel="0" collapsed="false">
      <c r="A4703" s="0" t="n">
        <v>3</v>
      </c>
      <c r="B4703" s="59" t="n">
        <v>46254</v>
      </c>
      <c r="C4703" s="0" t="n">
        <v>11</v>
      </c>
      <c r="D4703" s="0" t="s">
        <v>2126</v>
      </c>
      <c r="E4703" s="0" t="n">
        <v>1636</v>
      </c>
      <c r="F4703" s="0" t="s">
        <v>50</v>
      </c>
      <c r="I4703" s="0" t="n">
        <v>3238686</v>
      </c>
      <c r="J4703" s="0" t="n">
        <v>62920</v>
      </c>
      <c r="K4703" s="0" t="n">
        <v>7908615000190</v>
      </c>
      <c r="L4703" s="0" t="s">
        <v>4033</v>
      </c>
      <c r="N4703" s="0" t="n">
        <v>4</v>
      </c>
      <c r="O4703" s="60" t="n">
        <v>32.17</v>
      </c>
    </row>
    <row r="4704" customFormat="false" ht="15" hidden="false" customHeight="false" outlineLevel="0" collapsed="false">
      <c r="A4704" s="0" t="n">
        <v>3</v>
      </c>
      <c r="B4704" s="59" t="n">
        <v>46254</v>
      </c>
      <c r="C4704" s="0" t="n">
        <v>11</v>
      </c>
      <c r="D4704" s="0" t="s">
        <v>2126</v>
      </c>
      <c r="E4704" s="0" t="n">
        <v>1636</v>
      </c>
      <c r="F4704" s="0" t="s">
        <v>50</v>
      </c>
      <c r="I4704" s="0" t="n">
        <v>3238686</v>
      </c>
      <c r="J4704" s="0" t="n">
        <v>64122</v>
      </c>
      <c r="K4704" s="0" t="n">
        <v>7908615055145</v>
      </c>
      <c r="L4704" s="0" t="s">
        <v>4034</v>
      </c>
      <c r="N4704" s="0" t="n">
        <v>3</v>
      </c>
      <c r="O4704" s="60" t="n">
        <v>46.69</v>
      </c>
    </row>
    <row r="4705" customFormat="false" ht="15" hidden="false" customHeight="false" outlineLevel="0" collapsed="false">
      <c r="A4705" s="0" t="n">
        <v>3</v>
      </c>
      <c r="B4705" s="59" t="n">
        <v>46254</v>
      </c>
      <c r="C4705" s="0" t="n">
        <v>11</v>
      </c>
      <c r="D4705" s="0" t="s">
        <v>2126</v>
      </c>
      <c r="E4705" s="0" t="n">
        <v>1636</v>
      </c>
      <c r="F4705" s="0" t="s">
        <v>50</v>
      </c>
      <c r="I4705" s="0" t="n">
        <v>3238686</v>
      </c>
      <c r="J4705" s="0" t="n">
        <v>64126</v>
      </c>
      <c r="K4705" s="0" t="n">
        <v>7908615060385</v>
      </c>
      <c r="L4705" s="0" t="s">
        <v>4035</v>
      </c>
      <c r="N4705" s="0" t="n">
        <v>1</v>
      </c>
      <c r="O4705" s="60" t="n">
        <v>14.4</v>
      </c>
    </row>
    <row r="4706" customFormat="false" ht="15" hidden="false" customHeight="false" outlineLevel="0" collapsed="false">
      <c r="A4706" s="0" t="n">
        <v>3</v>
      </c>
      <c r="B4706" s="59" t="n">
        <v>46254</v>
      </c>
      <c r="C4706" s="0" t="n">
        <v>11</v>
      </c>
      <c r="D4706" s="0" t="s">
        <v>2126</v>
      </c>
      <c r="E4706" s="0" t="n">
        <v>1636</v>
      </c>
      <c r="F4706" s="0" t="s">
        <v>50</v>
      </c>
      <c r="I4706" s="0" t="n">
        <v>3238686</v>
      </c>
      <c r="J4706" s="0" t="n">
        <v>65737</v>
      </c>
      <c r="K4706" s="0" t="n">
        <v>7894650008539</v>
      </c>
      <c r="L4706" s="0" t="s">
        <v>4036</v>
      </c>
      <c r="N4706" s="0" t="n">
        <v>3</v>
      </c>
      <c r="O4706" s="60" t="n">
        <v>43.47</v>
      </c>
    </row>
    <row r="4707" customFormat="false" ht="15" hidden="false" customHeight="false" outlineLevel="0" collapsed="false">
      <c r="A4707" s="0" t="n">
        <v>3</v>
      </c>
      <c r="B4707" s="59" t="n">
        <v>46254</v>
      </c>
      <c r="C4707" s="0" t="n">
        <v>11</v>
      </c>
      <c r="D4707" s="0" t="s">
        <v>2126</v>
      </c>
      <c r="E4707" s="0" t="n">
        <v>1636</v>
      </c>
      <c r="F4707" s="0" t="s">
        <v>50</v>
      </c>
      <c r="I4707" s="0" t="n">
        <v>3238686</v>
      </c>
      <c r="J4707" s="0" t="n">
        <v>66112</v>
      </c>
      <c r="K4707" s="0" t="n">
        <v>7896914002505</v>
      </c>
      <c r="L4707" s="0" t="s">
        <v>4037</v>
      </c>
      <c r="N4707" s="0" t="n">
        <v>16</v>
      </c>
      <c r="O4707" s="60" t="n">
        <v>229.87</v>
      </c>
    </row>
    <row r="4708" customFormat="false" ht="15" hidden="false" customHeight="false" outlineLevel="0" collapsed="false">
      <c r="A4708" s="0" t="n">
        <v>3</v>
      </c>
      <c r="B4708" s="59" t="n">
        <v>46254</v>
      </c>
      <c r="C4708" s="0" t="n">
        <v>11</v>
      </c>
      <c r="D4708" s="0" t="s">
        <v>2126</v>
      </c>
      <c r="E4708" s="0" t="n">
        <v>1636</v>
      </c>
      <c r="F4708" s="0" t="s">
        <v>50</v>
      </c>
      <c r="I4708" s="0" t="n">
        <v>3238686</v>
      </c>
      <c r="J4708" s="0" t="n">
        <v>66205</v>
      </c>
      <c r="K4708" s="0" t="n">
        <v>7908615077079</v>
      </c>
      <c r="L4708" s="0" t="s">
        <v>4038</v>
      </c>
      <c r="N4708" s="0" t="n">
        <v>3</v>
      </c>
      <c r="O4708" s="60" t="n">
        <v>50.91</v>
      </c>
    </row>
    <row r="4709" customFormat="false" ht="15" hidden="false" customHeight="false" outlineLevel="0" collapsed="false">
      <c r="A4709" s="0" t="n">
        <v>3</v>
      </c>
      <c r="B4709" s="59" t="n">
        <v>46254</v>
      </c>
      <c r="C4709" s="0" t="n">
        <v>11</v>
      </c>
      <c r="D4709" s="0" t="s">
        <v>2126</v>
      </c>
      <c r="E4709" s="0" t="n">
        <v>1636</v>
      </c>
      <c r="F4709" s="0" t="s">
        <v>50</v>
      </c>
      <c r="I4709" s="0" t="n">
        <v>3238686</v>
      </c>
      <c r="J4709" s="0" t="n">
        <v>68021</v>
      </c>
      <c r="K4709" s="0" t="n">
        <v>7899026422308</v>
      </c>
      <c r="L4709" s="0" t="s">
        <v>4039</v>
      </c>
      <c r="N4709" s="0" t="n">
        <v>6</v>
      </c>
      <c r="O4709" s="60" t="n">
        <v>34.02</v>
      </c>
    </row>
    <row r="4710" customFormat="false" ht="15" hidden="false" customHeight="false" outlineLevel="0" collapsed="false">
      <c r="A4710" s="0" t="n">
        <v>3</v>
      </c>
      <c r="B4710" s="59" t="n">
        <v>46254</v>
      </c>
      <c r="C4710" s="0" t="n">
        <v>11</v>
      </c>
      <c r="D4710" s="0" t="s">
        <v>2126</v>
      </c>
      <c r="E4710" s="0" t="n">
        <v>1636</v>
      </c>
      <c r="F4710" s="0" t="s">
        <v>50</v>
      </c>
      <c r="I4710" s="0" t="n">
        <v>3238686</v>
      </c>
      <c r="J4710" s="0" t="n">
        <v>72984</v>
      </c>
      <c r="K4710" s="0" t="n">
        <v>7908785461654</v>
      </c>
      <c r="L4710" s="0" t="s">
        <v>4040</v>
      </c>
      <c r="N4710" s="0" t="n">
        <v>2</v>
      </c>
      <c r="O4710" s="60" t="n">
        <v>31.13</v>
      </c>
    </row>
    <row r="4711" customFormat="false" ht="15" hidden="false" customHeight="false" outlineLevel="0" collapsed="false">
      <c r="A4711" s="0" t="n">
        <v>3</v>
      </c>
      <c r="B4711" s="59" t="n">
        <v>46254</v>
      </c>
      <c r="C4711" s="0" t="n">
        <v>11</v>
      </c>
      <c r="D4711" s="0" t="s">
        <v>2126</v>
      </c>
      <c r="E4711" s="0" t="n">
        <v>1636</v>
      </c>
      <c r="F4711" s="0" t="s">
        <v>50</v>
      </c>
      <c r="I4711" s="0" t="n">
        <v>3238686</v>
      </c>
      <c r="J4711" s="0" t="n">
        <v>72985</v>
      </c>
      <c r="K4711" s="0" t="n">
        <v>7908785461753</v>
      </c>
      <c r="L4711" s="0" t="s">
        <v>4041</v>
      </c>
      <c r="N4711" s="0" t="n">
        <v>3</v>
      </c>
      <c r="O4711" s="60" t="n">
        <v>43.19</v>
      </c>
    </row>
    <row r="4712" customFormat="false" ht="15" hidden="false" customHeight="false" outlineLevel="0" collapsed="false">
      <c r="A4712" s="0" t="n">
        <v>3</v>
      </c>
      <c r="B4712" s="59" t="n">
        <v>46254</v>
      </c>
      <c r="C4712" s="0" t="n">
        <v>11</v>
      </c>
      <c r="D4712" s="0" t="s">
        <v>2126</v>
      </c>
      <c r="E4712" s="0" t="n">
        <v>1636</v>
      </c>
      <c r="F4712" s="0" t="s">
        <v>50</v>
      </c>
      <c r="I4712" s="0" t="n">
        <v>3238686</v>
      </c>
      <c r="J4712" s="0" t="n">
        <v>77163</v>
      </c>
      <c r="K4712" s="0" t="n">
        <v>7908785482659</v>
      </c>
      <c r="L4712" s="0" t="s">
        <v>3666</v>
      </c>
      <c r="N4712" s="0" t="n">
        <v>3</v>
      </c>
      <c r="O4712" s="60" t="n">
        <v>23.91</v>
      </c>
    </row>
    <row r="4713" customFormat="false" ht="15" hidden="false" customHeight="false" outlineLevel="0" collapsed="false">
      <c r="A4713" s="0" t="n">
        <v>3</v>
      </c>
      <c r="B4713" s="59" t="n">
        <v>46254</v>
      </c>
      <c r="C4713" s="0" t="n">
        <v>11</v>
      </c>
      <c r="D4713" s="0" t="s">
        <v>2126</v>
      </c>
      <c r="E4713" s="0" t="n">
        <v>1636</v>
      </c>
      <c r="F4713" s="0" t="s">
        <v>50</v>
      </c>
      <c r="I4713" s="0" t="n">
        <v>3238686</v>
      </c>
      <c r="J4713" s="0" t="n">
        <v>78155</v>
      </c>
      <c r="K4713" s="0" t="n">
        <v>7899026413764</v>
      </c>
      <c r="L4713" s="0" t="s">
        <v>4042</v>
      </c>
      <c r="N4713" s="0" t="n">
        <v>6</v>
      </c>
      <c r="O4713" s="60" t="n">
        <v>25.56</v>
      </c>
    </row>
    <row r="4714" customFormat="false" ht="15" hidden="false" customHeight="false" outlineLevel="0" collapsed="false">
      <c r="A4714" s="0" t="n">
        <v>3</v>
      </c>
      <c r="B4714" s="59" t="n">
        <v>46254</v>
      </c>
      <c r="C4714" s="0" t="n">
        <v>11</v>
      </c>
      <c r="D4714" s="0" t="s">
        <v>2126</v>
      </c>
      <c r="E4714" s="0" t="n">
        <v>1636</v>
      </c>
      <c r="F4714" s="0" t="s">
        <v>50</v>
      </c>
      <c r="I4714" s="0" t="n">
        <v>3238686</v>
      </c>
      <c r="J4714" s="0" t="n">
        <v>78158</v>
      </c>
      <c r="K4714" s="0" t="n">
        <v>7899026408289</v>
      </c>
      <c r="L4714" s="0" t="s">
        <v>4043</v>
      </c>
      <c r="N4714" s="0" t="n">
        <v>6</v>
      </c>
      <c r="O4714" s="60" t="n">
        <v>25.56</v>
      </c>
    </row>
    <row r="4715" customFormat="false" ht="15" hidden="false" customHeight="false" outlineLevel="0" collapsed="false">
      <c r="A4715" s="0" t="n">
        <v>3</v>
      </c>
      <c r="B4715" s="59" t="n">
        <v>46254</v>
      </c>
      <c r="C4715" s="0" t="n">
        <v>11</v>
      </c>
      <c r="D4715" s="0" t="s">
        <v>2126</v>
      </c>
      <c r="E4715" s="0" t="n">
        <v>1636</v>
      </c>
      <c r="F4715" s="0" t="s">
        <v>50</v>
      </c>
      <c r="I4715" s="0" t="n">
        <v>3238686</v>
      </c>
      <c r="J4715" s="0" t="n">
        <v>78214</v>
      </c>
      <c r="K4715" s="0" t="n">
        <v>7908785490166</v>
      </c>
      <c r="L4715" s="0" t="s">
        <v>4044</v>
      </c>
      <c r="N4715" s="0" t="n">
        <v>4</v>
      </c>
      <c r="O4715" s="60" t="n">
        <v>67.88</v>
      </c>
    </row>
    <row r="4716" customFormat="false" ht="15" hidden="false" customHeight="false" outlineLevel="0" collapsed="false">
      <c r="A4716" s="0" t="n">
        <v>3</v>
      </c>
      <c r="B4716" s="59" t="n">
        <v>46254</v>
      </c>
      <c r="C4716" s="0" t="n">
        <v>11</v>
      </c>
      <c r="D4716" s="0" t="s">
        <v>2126</v>
      </c>
      <c r="E4716" s="0" t="n">
        <v>1636</v>
      </c>
      <c r="F4716" s="0" t="s">
        <v>50</v>
      </c>
      <c r="I4716" s="0" t="n">
        <v>3238686</v>
      </c>
      <c r="J4716" s="0" t="n">
        <v>78215</v>
      </c>
      <c r="K4716" s="0" t="n">
        <v>7908785482697</v>
      </c>
      <c r="L4716" s="0" t="s">
        <v>4045</v>
      </c>
      <c r="N4716" s="0" t="n">
        <v>2</v>
      </c>
      <c r="O4716" s="60" t="n">
        <v>29.66</v>
      </c>
    </row>
    <row r="4717" customFormat="false" ht="15" hidden="false" customHeight="false" outlineLevel="0" collapsed="false">
      <c r="A4717" s="0" t="n">
        <v>3</v>
      </c>
      <c r="B4717" s="59" t="n">
        <v>46254</v>
      </c>
      <c r="C4717" s="0" t="n">
        <v>11</v>
      </c>
      <c r="D4717" s="0" t="s">
        <v>2126</v>
      </c>
      <c r="E4717" s="0" t="n">
        <v>1636</v>
      </c>
      <c r="F4717" s="0" t="s">
        <v>50</v>
      </c>
      <c r="I4717" s="0" t="n">
        <v>3238686</v>
      </c>
      <c r="J4717" s="0" t="n">
        <v>79797</v>
      </c>
      <c r="K4717" s="0" t="n">
        <v>7908966527117</v>
      </c>
      <c r="L4717" s="0" t="s">
        <v>4046</v>
      </c>
      <c r="N4717" s="0" t="n">
        <v>3</v>
      </c>
      <c r="O4717" s="60" t="n">
        <v>46.69</v>
      </c>
    </row>
    <row r="4718" customFormat="false" ht="15" hidden="false" customHeight="false" outlineLevel="0" collapsed="false">
      <c r="A4718" s="0" t="n">
        <v>3</v>
      </c>
      <c r="B4718" s="59" t="n">
        <v>46254</v>
      </c>
      <c r="C4718" s="0" t="n">
        <v>11</v>
      </c>
      <c r="D4718" s="0" t="s">
        <v>2126</v>
      </c>
      <c r="E4718" s="0" t="n">
        <v>1636</v>
      </c>
      <c r="F4718" s="0" t="s">
        <v>50</v>
      </c>
      <c r="I4718" s="0" t="n">
        <v>3238686</v>
      </c>
      <c r="J4718" s="0" t="n">
        <v>79798</v>
      </c>
      <c r="K4718" s="0" t="n">
        <v>7908966528404</v>
      </c>
      <c r="L4718" s="0" t="s">
        <v>4047</v>
      </c>
      <c r="N4718" s="0" t="n">
        <v>3</v>
      </c>
      <c r="O4718" s="60" t="n">
        <v>43.19</v>
      </c>
    </row>
    <row r="4719" customFormat="false" ht="15" hidden="false" customHeight="false" outlineLevel="0" collapsed="false">
      <c r="A4719" s="0" t="n">
        <v>3</v>
      </c>
      <c r="B4719" s="59" t="n">
        <v>46254</v>
      </c>
      <c r="C4719" s="0" t="n">
        <v>11</v>
      </c>
      <c r="D4719" s="0" t="s">
        <v>2126</v>
      </c>
      <c r="E4719" s="0" t="n">
        <v>1636</v>
      </c>
      <c r="F4719" s="0" t="s">
        <v>50</v>
      </c>
      <c r="I4719" s="0" t="n">
        <v>3238686</v>
      </c>
      <c r="J4719" s="0" t="n">
        <v>79807</v>
      </c>
      <c r="K4719" s="0" t="n">
        <v>7908966528367</v>
      </c>
      <c r="L4719" s="0" t="s">
        <v>4048</v>
      </c>
      <c r="N4719" s="0" t="n">
        <v>2</v>
      </c>
      <c r="O4719" s="60" t="n">
        <v>52.02</v>
      </c>
    </row>
    <row r="4720" customFormat="false" ht="15" hidden="false" customHeight="false" outlineLevel="0" collapsed="false">
      <c r="A4720" s="0" t="n">
        <v>3</v>
      </c>
      <c r="B4720" s="59" t="n">
        <v>46254</v>
      </c>
      <c r="C4720" s="0" t="n">
        <v>11</v>
      </c>
      <c r="D4720" s="0" t="s">
        <v>2126</v>
      </c>
      <c r="E4720" s="0" t="n">
        <v>1636</v>
      </c>
      <c r="F4720" s="0" t="s">
        <v>50</v>
      </c>
      <c r="I4720" s="0" t="n">
        <v>3238686</v>
      </c>
      <c r="J4720" s="0" t="n">
        <v>80797</v>
      </c>
      <c r="K4720" s="0" t="n">
        <v>7894650015667</v>
      </c>
      <c r="L4720" s="0" t="s">
        <v>4049</v>
      </c>
      <c r="N4720" s="0" t="n">
        <v>6</v>
      </c>
      <c r="O4720" s="60" t="n">
        <v>53.94</v>
      </c>
    </row>
    <row r="4721" customFormat="false" ht="15" hidden="false" customHeight="false" outlineLevel="0" collapsed="false">
      <c r="A4721" s="0" t="n">
        <v>3</v>
      </c>
      <c r="B4721" s="59" t="n">
        <v>46254</v>
      </c>
      <c r="C4721" s="0" t="n">
        <v>11</v>
      </c>
      <c r="D4721" s="0" t="s">
        <v>2126</v>
      </c>
      <c r="E4721" s="0" t="n">
        <v>1636</v>
      </c>
      <c r="F4721" s="0" t="s">
        <v>50</v>
      </c>
      <c r="I4721" s="0" t="n">
        <v>3238686</v>
      </c>
      <c r="J4721" s="0" t="n">
        <v>81435</v>
      </c>
      <c r="K4721" s="0" t="n">
        <v>7896914002536</v>
      </c>
      <c r="L4721" s="0" t="s">
        <v>4050</v>
      </c>
      <c r="N4721" s="0" t="n">
        <v>16</v>
      </c>
      <c r="O4721" s="60" t="n">
        <v>229.87</v>
      </c>
    </row>
    <row r="4722" customFormat="false" ht="15" hidden="false" customHeight="false" outlineLevel="0" collapsed="false">
      <c r="A4722" s="0" t="n">
        <v>3</v>
      </c>
      <c r="B4722" s="59" t="n">
        <v>46254</v>
      </c>
      <c r="C4722" s="0" t="n">
        <v>11</v>
      </c>
      <c r="D4722" s="0" t="s">
        <v>2126</v>
      </c>
      <c r="E4722" s="0" t="n">
        <v>1636</v>
      </c>
      <c r="F4722" s="0" t="s">
        <v>50</v>
      </c>
      <c r="I4722" s="0" t="n">
        <v>3238686</v>
      </c>
      <c r="J4722" s="0" t="n">
        <v>82096</v>
      </c>
      <c r="K4722" s="0" t="n">
        <v>7894650016435</v>
      </c>
      <c r="L4722" s="0" t="s">
        <v>4051</v>
      </c>
      <c r="N4722" s="0" t="n">
        <v>6</v>
      </c>
      <c r="O4722" s="60" t="n">
        <v>53.94</v>
      </c>
    </row>
    <row r="4723" customFormat="false" ht="15" hidden="false" customHeight="false" outlineLevel="0" collapsed="false">
      <c r="A4723" s="0" t="n">
        <v>3</v>
      </c>
      <c r="B4723" s="59" t="n">
        <v>46254</v>
      </c>
      <c r="C4723" s="0" t="n">
        <v>11</v>
      </c>
      <c r="D4723" s="0" t="s">
        <v>2126</v>
      </c>
      <c r="E4723" s="0" t="n">
        <v>1636</v>
      </c>
      <c r="F4723" s="0" t="s">
        <v>50</v>
      </c>
      <c r="I4723" s="0" t="n">
        <v>3238686</v>
      </c>
      <c r="J4723" s="0" t="n">
        <v>82140</v>
      </c>
      <c r="K4723" s="0" t="n">
        <v>7894650002667</v>
      </c>
      <c r="L4723" s="0" t="s">
        <v>4052</v>
      </c>
      <c r="N4723" s="0" t="n">
        <v>3</v>
      </c>
      <c r="O4723" s="60" t="n">
        <v>34.91</v>
      </c>
    </row>
    <row r="4724" customFormat="false" ht="15" hidden="false" customHeight="false" outlineLevel="0" collapsed="false">
      <c r="A4724" s="0" t="n">
        <v>3</v>
      </c>
      <c r="B4724" s="59" t="n">
        <v>46254</v>
      </c>
      <c r="C4724" s="0" t="n">
        <v>11</v>
      </c>
      <c r="D4724" s="0" t="s">
        <v>2126</v>
      </c>
      <c r="E4724" s="0" t="n">
        <v>1636</v>
      </c>
      <c r="F4724" s="0" t="s">
        <v>50</v>
      </c>
      <c r="I4724" s="0" t="n">
        <v>3238686</v>
      </c>
      <c r="J4724" s="0" t="n">
        <v>82147</v>
      </c>
      <c r="K4724" s="0" t="n">
        <v>7908966556735</v>
      </c>
      <c r="L4724" s="0" t="s">
        <v>4053</v>
      </c>
      <c r="N4724" s="0" t="n">
        <v>6</v>
      </c>
      <c r="O4724" s="60" t="n">
        <v>34.86</v>
      </c>
    </row>
    <row r="4725" customFormat="false" ht="15" hidden="false" customHeight="false" outlineLevel="0" collapsed="false">
      <c r="A4725" s="0" t="n">
        <v>3</v>
      </c>
      <c r="B4725" s="59" t="n">
        <v>46254</v>
      </c>
      <c r="C4725" s="0" t="n">
        <v>11</v>
      </c>
      <c r="D4725" s="0" t="s">
        <v>2126</v>
      </c>
      <c r="E4725" s="0" t="n">
        <v>1636</v>
      </c>
      <c r="F4725" s="0" t="s">
        <v>50</v>
      </c>
      <c r="I4725" s="0" t="n">
        <v>3238686</v>
      </c>
      <c r="J4725" s="0" t="n">
        <v>82148</v>
      </c>
      <c r="K4725" s="0" t="n">
        <v>7908966556773</v>
      </c>
      <c r="L4725" s="0" t="s">
        <v>4054</v>
      </c>
      <c r="N4725" s="0" t="n">
        <v>6</v>
      </c>
      <c r="O4725" s="60" t="n">
        <v>34.86</v>
      </c>
    </row>
    <row r="4726" customFormat="false" ht="15" hidden="false" customHeight="false" outlineLevel="0" collapsed="false">
      <c r="A4726" s="0" t="n">
        <v>3</v>
      </c>
      <c r="B4726" s="59" t="n">
        <v>46254</v>
      </c>
      <c r="C4726" s="0" t="n">
        <v>11</v>
      </c>
      <c r="D4726" s="0" t="s">
        <v>2126</v>
      </c>
      <c r="E4726" s="0" t="n">
        <v>1636</v>
      </c>
      <c r="F4726" s="0" t="s">
        <v>50</v>
      </c>
      <c r="I4726" s="0" t="n">
        <v>3238686</v>
      </c>
      <c r="J4726" s="0" t="n">
        <v>82149</v>
      </c>
      <c r="K4726" s="0" t="n">
        <v>7908966556858</v>
      </c>
      <c r="L4726" s="0" t="s">
        <v>4055</v>
      </c>
      <c r="N4726" s="0" t="n">
        <v>6</v>
      </c>
      <c r="O4726" s="60" t="n">
        <v>34.86</v>
      </c>
    </row>
    <row r="4727" customFormat="false" ht="15" hidden="false" customHeight="false" outlineLevel="0" collapsed="false">
      <c r="A4727" s="0" t="n">
        <v>3</v>
      </c>
      <c r="B4727" s="59" t="n">
        <v>46254</v>
      </c>
      <c r="C4727" s="0" t="n">
        <v>11</v>
      </c>
      <c r="D4727" s="0" t="s">
        <v>2126</v>
      </c>
      <c r="E4727" s="0" t="n">
        <v>1636</v>
      </c>
      <c r="F4727" s="0" t="s">
        <v>50</v>
      </c>
      <c r="I4727" s="0" t="n">
        <v>3238686</v>
      </c>
      <c r="J4727" s="0" t="n">
        <v>82150</v>
      </c>
      <c r="K4727" s="0" t="n">
        <v>7908966556810</v>
      </c>
      <c r="L4727" s="0" t="s">
        <v>4056</v>
      </c>
      <c r="N4727" s="0" t="n">
        <v>6</v>
      </c>
      <c r="O4727" s="60" t="n">
        <v>34.86</v>
      </c>
    </row>
    <row r="4728" customFormat="false" ht="15" hidden="false" customHeight="false" outlineLevel="0" collapsed="false">
      <c r="A4728" s="0" t="n">
        <v>3</v>
      </c>
      <c r="B4728" s="59" t="n">
        <v>46254</v>
      </c>
      <c r="C4728" s="0" t="n">
        <v>171</v>
      </c>
      <c r="D4728" s="0" t="s">
        <v>2182</v>
      </c>
      <c r="E4728" s="0" t="n">
        <v>1739</v>
      </c>
      <c r="F4728" s="0" t="s">
        <v>1824</v>
      </c>
      <c r="I4728" s="0" t="n">
        <v>255146</v>
      </c>
      <c r="J4728" s="0" t="n">
        <v>31711</v>
      </c>
      <c r="K4728" s="0" t="n">
        <v>7897169236868</v>
      </c>
      <c r="L4728" s="0" t="s">
        <v>4057</v>
      </c>
      <c r="N4728" s="0" t="n">
        <v>1</v>
      </c>
      <c r="O4728" s="60" t="n">
        <v>5.22</v>
      </c>
    </row>
    <row r="4729" customFormat="false" ht="15" hidden="false" customHeight="false" outlineLevel="0" collapsed="false">
      <c r="A4729" s="0" t="n">
        <v>3</v>
      </c>
      <c r="B4729" s="59" t="n">
        <v>46254</v>
      </c>
      <c r="C4729" s="0" t="n">
        <v>171</v>
      </c>
      <c r="D4729" s="0" t="s">
        <v>2182</v>
      </c>
      <c r="E4729" s="0" t="n">
        <v>1739</v>
      </c>
      <c r="F4729" s="0" t="s">
        <v>1824</v>
      </c>
      <c r="I4729" s="0" t="n">
        <v>255146</v>
      </c>
      <c r="J4729" s="0" t="n">
        <v>39198</v>
      </c>
      <c r="K4729" s="0" t="n">
        <v>7896509975443</v>
      </c>
      <c r="L4729" s="0" t="s">
        <v>4058</v>
      </c>
      <c r="N4729" s="0" t="n">
        <v>4</v>
      </c>
      <c r="O4729" s="60" t="n">
        <v>31.6</v>
      </c>
    </row>
    <row r="4730" customFormat="false" ht="15" hidden="false" customHeight="false" outlineLevel="0" collapsed="false">
      <c r="A4730" s="0" t="n">
        <v>3</v>
      </c>
      <c r="B4730" s="59" t="n">
        <v>46254</v>
      </c>
      <c r="C4730" s="0" t="n">
        <v>171</v>
      </c>
      <c r="D4730" s="0" t="s">
        <v>2182</v>
      </c>
      <c r="E4730" s="0" t="n">
        <v>1739</v>
      </c>
      <c r="F4730" s="0" t="s">
        <v>1824</v>
      </c>
      <c r="I4730" s="0" t="n">
        <v>255146</v>
      </c>
      <c r="J4730" s="0" t="n">
        <v>41971</v>
      </c>
      <c r="K4730" s="0" t="n">
        <v>7896509972077</v>
      </c>
      <c r="L4730" s="0" t="s">
        <v>4059</v>
      </c>
      <c r="N4730" s="0" t="n">
        <v>4</v>
      </c>
      <c r="O4730" s="60" t="n">
        <v>31.6</v>
      </c>
    </row>
    <row r="4731" customFormat="false" ht="15" hidden="false" customHeight="false" outlineLevel="0" collapsed="false">
      <c r="A4731" s="0" t="n">
        <v>3</v>
      </c>
      <c r="B4731" s="59" t="n">
        <v>46254</v>
      </c>
      <c r="C4731" s="0" t="n">
        <v>171</v>
      </c>
      <c r="D4731" s="0" t="s">
        <v>2182</v>
      </c>
      <c r="E4731" s="0" t="n">
        <v>1739</v>
      </c>
      <c r="F4731" s="0" t="s">
        <v>1824</v>
      </c>
      <c r="I4731" s="0" t="n">
        <v>255146</v>
      </c>
      <c r="J4731" s="0" t="n">
        <v>54500</v>
      </c>
      <c r="K4731" s="0" t="n">
        <v>7897169207356</v>
      </c>
      <c r="L4731" s="0" t="s">
        <v>4060</v>
      </c>
      <c r="N4731" s="0" t="n">
        <v>1</v>
      </c>
      <c r="O4731" s="60" t="n">
        <v>1.96</v>
      </c>
    </row>
    <row r="4732" customFormat="false" ht="15" hidden="false" customHeight="false" outlineLevel="0" collapsed="false">
      <c r="A4732" s="0" t="n">
        <v>3</v>
      </c>
      <c r="B4732" s="59" t="n">
        <v>46254</v>
      </c>
      <c r="C4732" s="0" t="n">
        <v>171</v>
      </c>
      <c r="D4732" s="0" t="s">
        <v>2182</v>
      </c>
      <c r="E4732" s="0" t="n">
        <v>1740</v>
      </c>
      <c r="F4732" s="0" t="s">
        <v>171</v>
      </c>
      <c r="I4732" s="0" t="n">
        <v>1260901</v>
      </c>
      <c r="J4732" s="0" t="n">
        <v>81470</v>
      </c>
      <c r="K4732" s="0" t="n">
        <v>7898681940059</v>
      </c>
      <c r="L4732" s="0" t="s">
        <v>4061</v>
      </c>
      <c r="N4732" s="0" t="n">
        <v>2</v>
      </c>
      <c r="O4732" s="60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2026-08-20T21:48:17Z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